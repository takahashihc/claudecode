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全体" sheetId="2" state="visible" r:id="rId4"/>
    <sheet name="水産部X" sheetId="3" state="visible" r:id="rId5"/>
    <sheet name="鳥栖・静岡・東京" sheetId="4" state="visible" r:id="rId6"/>
    <sheet name="松江・境港" sheetId="5" state="visible" r:id="rId7"/>
    <sheet name="下関" sheetId="6" state="visible" r:id="rId8"/>
    <sheet name="石見" sheetId="7" state="visible" r:id="rId9"/>
    <sheet name="担当者マスタ" sheetId="8" state="visible" r:id="rId10"/>
    <sheet name="担当者別集計" sheetId="9" state="visible" r:id="rId11"/>
  </sheets>
  <definedNames>
    <definedName function="false" hidden="false" localSheetId="5" name="_xlnm.Print_Area" vbProcedure="false">下関!$A$1:$AH$122</definedName>
    <definedName function="false" hidden="false" localSheetId="1" name="_xlnm.Print_Area" vbProcedure="false">全体!$A$1:$AH$909</definedName>
    <definedName function="false" hidden="true" localSheetId="1" name="_xlnm._FilterDatabase" vbProcedure="false">全体!$A$1:$AI$908</definedName>
    <definedName function="false" hidden="false" localSheetId="4" name="_xlnm.Print_Area" vbProcedure="false">松江・境港!$A$1:$AH$328</definedName>
    <definedName function="false" hidden="false" localSheetId="2" name="_xlnm.Print_Area" vbProcedure="false">水産部X!$A$1:$AH$119</definedName>
    <definedName function="false" hidden="false" localSheetId="6" name="_xlnm.Print_Area" vbProcedure="false">石見!$A$1:$AH$321</definedName>
    <definedName function="false" hidden="false" localSheetId="3" name="_xlnm.Print_Area" vbProcedure="false">鳥栖・静岡・東京!$A$1:$AH$72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WenQuanYi Zen Hei"/>
            <family val="2"/>
          </rPr>
          <t xml:space="preserve">部門別シートの</t>
        </r>
        <r>
          <rPr>
            <sz val="10"/>
            <rFont val="Arial"/>
            <family val="2"/>
          </rPr>
          <t xml:space="preserve">E</t>
        </r>
        <r>
          <rPr>
            <sz val="10"/>
            <rFont val="WenQuanYi Zen Hei"/>
            <family val="2"/>
          </rPr>
          <t xml:space="preserve">列に入力した新担当者コードが自動で表示されます（このシートでは入力しません）。</t>
        </r>
      </text>
    </comment>
    <comment ref="AI1" authorId="0">
      <text>
        <r>
          <rPr>
            <sz val="10"/>
            <rFont val="WenQuanYi Zen Hei"/>
            <family val="2"/>
          </rPr>
          <t xml:space="preserve">担当者コードから判定した主部門。</t>
        </r>
        <r>
          <rPr>
            <sz val="10"/>
            <rFont val="Arial"/>
            <family val="2"/>
          </rPr>
          <t xml:space="preserve">0017 </t>
        </r>
        <r>
          <rPr>
            <sz val="10"/>
            <rFont val="WenQuanYi Zen Hei"/>
            <family val="2"/>
          </rPr>
          <t xml:space="preserve">鮮魚は参考ファイル同様 水産部</t>
        </r>
        <r>
          <rPr>
            <sz val="10"/>
            <rFont val="Arial"/>
            <family val="2"/>
          </rPr>
          <t xml:space="preserve">X</t>
        </r>
        <r>
          <rPr>
            <sz val="10"/>
            <rFont val="WenQuanYi Zen Hei"/>
            <family val="2"/>
          </rPr>
          <t xml:space="preserve">・石見 の両シートに掲載していますが、主部門は水産部</t>
        </r>
        <r>
          <rPr>
            <sz val="10"/>
            <rFont val="Arial"/>
            <family val="2"/>
          </rPr>
          <t xml:space="preserve">X </t>
        </r>
        <r>
          <rPr>
            <sz val="10"/>
            <rFont val="WenQuanYi Zen Hei"/>
            <family val="2"/>
          </rPr>
          <t xml:space="preserve">です。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月以降の担当者コードをここに入力してください（黄色セル）。</t>
        </r>
        <r>
          <rPr>
            <sz val="10"/>
            <rFont val="Arial"/>
            <family val="2"/>
          </rPr>
          <t xml:space="preserve">F</t>
        </r>
        <r>
          <rPr>
            <sz val="10"/>
            <rFont val="WenQuanYi Zen Hei"/>
            <family val="2"/>
          </rPr>
          <t xml:space="preserve">列の氏名は担当者マスタから自動表示されます。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月以降の担当者コードをここに入力してください（黄色セル）。</t>
        </r>
        <r>
          <rPr>
            <sz val="10"/>
            <rFont val="Arial"/>
            <family val="2"/>
          </rPr>
          <t xml:space="preserve">F</t>
        </r>
        <r>
          <rPr>
            <sz val="10"/>
            <rFont val="WenQuanYi Zen Hei"/>
            <family val="2"/>
          </rPr>
          <t xml:space="preserve">列の氏名は担当者マスタから自動表示されます。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月以降の担当者コードをここに入力してください（黄色セル）。</t>
        </r>
        <r>
          <rPr>
            <sz val="10"/>
            <rFont val="Arial"/>
            <family val="2"/>
          </rPr>
          <t xml:space="preserve">F</t>
        </r>
        <r>
          <rPr>
            <sz val="10"/>
            <rFont val="WenQuanYi Zen Hei"/>
            <family val="2"/>
          </rPr>
          <t xml:space="preserve">列の氏名は担当者マスタから自動表示されます。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月以降の担当者コードをここに入力してください（黄色セル）。</t>
        </r>
        <r>
          <rPr>
            <sz val="10"/>
            <rFont val="Arial"/>
            <family val="2"/>
          </rPr>
          <t xml:space="preserve">F</t>
        </r>
        <r>
          <rPr>
            <sz val="10"/>
            <rFont val="WenQuanYi Zen Hei"/>
            <family val="2"/>
          </rPr>
          <t xml:space="preserve">列の氏名は担当者マスタから自動表示されます。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WenQuanYi Zen Hei"/>
            <family val="2"/>
          </rPr>
          <t xml:space="preserve">月以降の担当者コードをここに入力してください（黄色セル）。</t>
        </r>
        <r>
          <rPr>
            <sz val="10"/>
            <rFont val="Arial"/>
            <family val="2"/>
          </rPr>
          <t xml:space="preserve">F</t>
        </r>
        <r>
          <rPr>
            <sz val="10"/>
            <rFont val="WenQuanYi Zen Hei"/>
            <family val="2"/>
          </rPr>
          <t xml:space="preserve">列の氏名は担当者マスタから自動表示されます。</t>
        </r>
      </text>
    </comment>
  </commentList>
</comments>
</file>

<file path=xl/sharedStrings.xml><?xml version="1.0" encoding="utf-8"?>
<sst xmlns="http://schemas.openxmlformats.org/spreadsheetml/2006/main" count="8667" uniqueCount="1987">
  <si>
    <r>
      <rPr>
        <b val="true"/>
        <sz val="12"/>
        <rFont val="WenQuanYi Zen Hei"/>
        <family val="2"/>
      </rPr>
      <t xml:space="preserve">第</t>
    </r>
    <r>
      <rPr>
        <b val="true"/>
        <sz val="12"/>
        <rFont val="游ゴシック"/>
        <family val="0"/>
        <charset val="1"/>
      </rPr>
      <t xml:space="preserve">52</t>
    </r>
    <r>
      <rPr>
        <b val="true"/>
        <sz val="12"/>
        <rFont val="WenQuanYi Zen Hei"/>
        <family val="2"/>
      </rPr>
      <t xml:space="preserve">期上期 担当者コード（予算策定用）</t>
    </r>
  </si>
  <si>
    <t xml:space="preserve">■ 元データ</t>
  </si>
  <si>
    <r>
      <rPr>
        <sz val="11"/>
        <rFont val="WenQuanYi Zen Hei"/>
        <family val="2"/>
      </rPr>
      <t xml:space="preserve">・「</t>
    </r>
    <r>
      <rPr>
        <sz val="11"/>
        <rFont val="游ゴシック"/>
        <family val="0"/>
        <charset val="1"/>
      </rPr>
      <t xml:space="preserve">20260905 1</t>
    </r>
    <r>
      <rPr>
        <sz val="11"/>
        <rFont val="WenQuanYi Zen Hei"/>
        <family val="2"/>
      </rPr>
      <t xml:space="preserve">頁」シート（第</t>
    </r>
    <r>
      <rPr>
        <sz val="11"/>
        <rFont val="游ゴシック"/>
        <family val="0"/>
        <charset val="1"/>
      </rPr>
      <t xml:space="preserve">52</t>
    </r>
    <r>
      <rPr>
        <sz val="11"/>
        <rFont val="WenQuanYi Zen Hei"/>
        <family val="2"/>
      </rPr>
      <t xml:space="preserve">期上期担当者ファイル）の</t>
    </r>
    <r>
      <rPr>
        <sz val="11"/>
        <rFont val="游ゴシック"/>
        <family val="0"/>
        <charset val="1"/>
      </rPr>
      <t xml:space="preserve">907</t>
    </r>
    <r>
      <rPr>
        <sz val="11"/>
        <rFont val="WenQuanYi Zen Hei"/>
        <family val="2"/>
      </rPr>
      <t xml:space="preserve">得意先を、第</t>
    </r>
    <r>
      <rPr>
        <sz val="11"/>
        <rFont val="游ゴシック"/>
        <family val="0"/>
        <charset val="1"/>
      </rPr>
      <t xml:space="preserve">51</t>
    </r>
    <r>
      <rPr>
        <sz val="11"/>
        <rFont val="WenQuanYi Zen Hei"/>
        <family val="2"/>
      </rPr>
      <t xml:space="preserve">期上期担当者コードファイルと同じ構成で「全体」と部門別</t>
    </r>
    <r>
      <rPr>
        <sz val="11"/>
        <rFont val="游ゴシック"/>
        <family val="0"/>
        <charset val="1"/>
      </rPr>
      <t xml:space="preserve">5</t>
    </r>
    <r>
      <rPr>
        <sz val="11"/>
        <rFont val="WenQuanYi Zen Hei"/>
        <family val="2"/>
      </rPr>
      <t xml:space="preserve">シートに分割しています。</t>
    </r>
  </si>
  <si>
    <r>
      <rPr>
        <sz val="11"/>
        <rFont val="WenQuanYi Zen Hei"/>
        <family val="2"/>
      </rPr>
      <t xml:space="preserve">・前年度 </t>
    </r>
    <r>
      <rPr>
        <sz val="11"/>
        <rFont val="游ゴシック"/>
        <family val="0"/>
        <charset val="1"/>
      </rPr>
      <t xml:space="preserve">= </t>
    </r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51</t>
    </r>
    <r>
      <rPr>
        <sz val="11"/>
        <rFont val="WenQuanYi Zen Hei"/>
        <family val="2"/>
      </rPr>
      <t xml:space="preserve">期上期（</t>
    </r>
    <r>
      <rPr>
        <sz val="11"/>
        <rFont val="游ゴシック"/>
        <family val="0"/>
        <charset val="1"/>
      </rPr>
      <t xml:space="preserve">2024/10</t>
    </r>
    <r>
      <rPr>
        <sz val="11"/>
        <rFont val="WenQuanYi Zen Hei"/>
        <family val="2"/>
      </rPr>
      <t xml:space="preserve">〜</t>
    </r>
    <r>
      <rPr>
        <sz val="11"/>
        <rFont val="游ゴシック"/>
        <family val="0"/>
        <charset val="1"/>
      </rPr>
      <t xml:space="preserve">2025/03</t>
    </r>
    <r>
      <rPr>
        <sz val="11"/>
        <rFont val="WenQuanYi Zen Hei"/>
        <family val="2"/>
      </rPr>
      <t xml:space="preserve">）、今年度 </t>
    </r>
    <r>
      <rPr>
        <sz val="11"/>
        <rFont val="游ゴシック"/>
        <family val="0"/>
        <charset val="1"/>
      </rPr>
      <t xml:space="preserve">= </t>
    </r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52</t>
    </r>
    <r>
      <rPr>
        <sz val="11"/>
        <rFont val="WenQuanYi Zen Hei"/>
        <family val="2"/>
      </rPr>
      <t xml:space="preserve">期上期（</t>
    </r>
    <r>
      <rPr>
        <sz val="11"/>
        <rFont val="游ゴシック"/>
        <family val="0"/>
        <charset val="1"/>
      </rPr>
      <t xml:space="preserve">2025/10</t>
    </r>
    <r>
      <rPr>
        <sz val="11"/>
        <rFont val="WenQuanYi Zen Hei"/>
        <family val="2"/>
      </rPr>
      <t xml:space="preserve">〜</t>
    </r>
    <r>
      <rPr>
        <sz val="11"/>
        <rFont val="游ゴシック"/>
        <family val="0"/>
        <charset val="1"/>
      </rPr>
      <t xml:space="preserve">2026/03</t>
    </r>
    <r>
      <rPr>
        <sz val="11"/>
        <rFont val="WenQuanYi Zen Hei"/>
        <family val="2"/>
      </rPr>
      <t xml:space="preserve">）。金額の単位は元データのまま（千円）です。</t>
    </r>
  </si>
  <si>
    <t xml:space="preserve">・各シートは 担当者コード → 得意先コード の順に並んでいます。合計・集計・総計はすべて数式です。</t>
  </si>
  <si>
    <r>
      <rPr>
        <b val="true"/>
        <sz val="11"/>
        <rFont val="游ゴシック"/>
        <family val="0"/>
        <charset val="1"/>
      </rPr>
      <t xml:space="preserve">■ 2026</t>
    </r>
    <r>
      <rPr>
        <b val="true"/>
        <sz val="11"/>
        <rFont val="WenQuanYi Zen Hei"/>
        <family val="2"/>
      </rPr>
      <t xml:space="preserve">年</t>
    </r>
    <r>
      <rPr>
        <b val="true"/>
        <sz val="11"/>
        <rFont val="游ゴシック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月以降の担当者の設定方法</t>
    </r>
  </si>
  <si>
    <r>
      <rPr>
        <sz val="11"/>
        <rFont val="游ゴシック"/>
        <family val="0"/>
        <charset val="1"/>
      </rPr>
      <t xml:space="preserve">1. </t>
    </r>
    <r>
      <rPr>
        <sz val="11"/>
        <rFont val="WenQuanYi Zen Hei"/>
        <family val="2"/>
      </rPr>
      <t xml:space="preserve">各部門シート（水産部</t>
    </r>
    <r>
      <rPr>
        <sz val="11"/>
        <rFont val="游ゴシック"/>
        <family val="0"/>
        <charset val="1"/>
      </rPr>
      <t xml:space="preserve">X</t>
    </r>
    <r>
      <rPr>
        <sz val="11"/>
        <rFont val="WenQuanYi Zen Hei"/>
        <family val="2"/>
      </rPr>
      <t xml:space="preserve">／鳥栖・静岡・東京／松江・境港／下関／石見）の </t>
    </r>
    <r>
      <rPr>
        <sz val="11"/>
        <rFont val="游ゴシック"/>
        <family val="0"/>
        <charset val="1"/>
      </rPr>
      <t xml:space="preserve">E</t>
    </r>
    <r>
      <rPr>
        <sz val="11"/>
        <rFont val="WenQuanYi Zen Hei"/>
        <family val="2"/>
      </rPr>
      <t xml:space="preserve">列「新担当者コード」（黄色セル）に、新しい担当者コードを入力します。</t>
    </r>
  </si>
  <si>
    <r>
      <rPr>
        <sz val="11"/>
        <rFont val="游ゴシック"/>
        <family val="0"/>
        <charset val="1"/>
      </rPr>
      <t xml:space="preserve">2. F</t>
    </r>
    <r>
      <rPr>
        <sz val="11"/>
        <rFont val="WenQuanYi Zen Hei"/>
        <family val="2"/>
      </rPr>
      <t xml:space="preserve">列「新担当者」は「担当者マスタ」シートから自動表示されます。「※マスタ未登録」と出た場合は担当者マスタにコードを追加してください。</t>
    </r>
  </si>
  <si>
    <r>
      <rPr>
        <sz val="11"/>
        <rFont val="游ゴシック"/>
        <family val="0"/>
        <charset val="1"/>
      </rPr>
      <t xml:space="preserve">3. </t>
    </r>
    <r>
      <rPr>
        <sz val="11"/>
        <rFont val="WenQuanYi Zen Hei"/>
        <family val="2"/>
      </rPr>
      <t xml:space="preserve">新しい担当者（新規コード）は「担当者マスタ」シートの黄色の空行に コード・氏名・部門 を追加します。</t>
    </r>
  </si>
  <si>
    <r>
      <rPr>
        <sz val="11"/>
        <rFont val="游ゴシック"/>
        <family val="0"/>
        <charset val="1"/>
      </rPr>
      <t xml:space="preserve">4. </t>
    </r>
    <r>
      <rPr>
        <sz val="11"/>
        <rFont val="WenQuanYi Zen Hei"/>
        <family val="2"/>
      </rPr>
      <t xml:space="preserve">「全体」シートの </t>
    </r>
    <r>
      <rPr>
        <sz val="11"/>
        <rFont val="游ゴシック"/>
        <family val="0"/>
        <charset val="1"/>
      </rPr>
      <t xml:space="preserve">E</t>
    </r>
    <r>
      <rPr>
        <sz val="11"/>
        <rFont val="WenQuanYi Zen Hei"/>
        <family val="2"/>
      </rPr>
      <t xml:space="preserve">列・</t>
    </r>
    <r>
      <rPr>
        <sz val="11"/>
        <rFont val="游ゴシック"/>
        <family val="0"/>
        <charset val="1"/>
      </rPr>
      <t xml:space="preserve">F</t>
    </r>
    <r>
      <rPr>
        <sz val="11"/>
        <rFont val="WenQuanYi Zen Hei"/>
        <family val="2"/>
      </rPr>
      <t xml:space="preserve">列は部門別シートの入力を自動で反映します（全体シートでは入力不要）。</t>
    </r>
  </si>
  <si>
    <r>
      <rPr>
        <sz val="11"/>
        <rFont val="游ゴシック"/>
        <family val="0"/>
        <charset val="1"/>
      </rPr>
      <t xml:space="preserve">5. </t>
    </r>
    <r>
      <rPr>
        <sz val="11"/>
        <rFont val="WenQuanYi Zen Hei"/>
        <family val="2"/>
      </rPr>
      <t xml:space="preserve">「担当者別集計」シートで、現担当者ベース／新担当者ベースの得意先数・売上・粗利の合計を確認できます。「未設定」行が </t>
    </r>
    <r>
      <rPr>
        <sz val="11"/>
        <rFont val="游ゴシック"/>
        <family val="0"/>
        <charset val="1"/>
      </rPr>
      <t xml:space="preserve">0 </t>
    </r>
    <r>
      <rPr>
        <sz val="11"/>
        <rFont val="WenQuanYi Zen Hei"/>
        <family val="2"/>
      </rPr>
      <t xml:space="preserve">になれば全得意先の割当完了です。</t>
    </r>
  </si>
  <si>
    <r>
      <rPr>
        <b val="true"/>
        <sz val="11"/>
        <rFont val="WenQuanYi Zen Hei"/>
        <family val="2"/>
      </rPr>
      <t xml:space="preserve">■ 部門と担当者コードの対応（第</t>
    </r>
    <r>
      <rPr>
        <b val="true"/>
        <sz val="11"/>
        <rFont val="游ゴシック"/>
        <family val="0"/>
        <charset val="1"/>
      </rPr>
      <t xml:space="preserve">51</t>
    </r>
    <r>
      <rPr>
        <b val="true"/>
        <sz val="11"/>
        <rFont val="WenQuanYi Zen Hei"/>
        <family val="2"/>
      </rPr>
      <t xml:space="preserve">期ファイルの部門別シート構成を踏襲）</t>
    </r>
  </si>
  <si>
    <r>
      <rPr>
        <sz val="11"/>
        <rFont val="WenQuanYi Zen Hei"/>
        <family val="2"/>
      </rPr>
      <t xml:space="preserve">・水産部</t>
    </r>
    <r>
      <rPr>
        <sz val="11"/>
        <rFont val="游ゴシック"/>
        <family val="0"/>
        <charset val="1"/>
      </rPr>
      <t xml:space="preserve">X</t>
    </r>
    <r>
      <rPr>
        <sz val="11"/>
        <rFont val="WenQuanYi Zen Hei"/>
        <family val="2"/>
      </rPr>
      <t xml:space="preserve">：</t>
    </r>
    <r>
      <rPr>
        <sz val="11"/>
        <rFont val="游ゴシック"/>
        <family val="0"/>
        <charset val="1"/>
      </rPr>
      <t xml:space="preserve">0010 JF</t>
    </r>
    <r>
      <rPr>
        <sz val="11"/>
        <rFont val="WenQuanYi Zen Hei"/>
        <family val="2"/>
      </rPr>
      <t xml:space="preserve">、</t>
    </r>
    <r>
      <rPr>
        <sz val="11"/>
        <rFont val="游ゴシック"/>
        <family val="0"/>
        <charset val="1"/>
      </rPr>
      <t xml:space="preserve">0017 </t>
    </r>
    <r>
      <rPr>
        <sz val="11"/>
        <rFont val="WenQuanYi Zen Hei"/>
        <family val="2"/>
      </rPr>
      <t xml:space="preserve">鮮魚、</t>
    </r>
    <r>
      <rPr>
        <sz val="11"/>
        <rFont val="游ゴシック"/>
        <family val="0"/>
        <charset val="1"/>
      </rPr>
      <t xml:space="preserve">0031 JF</t>
    </r>
    <r>
      <rPr>
        <sz val="11"/>
        <rFont val="WenQuanYi Zen Hei"/>
        <family val="2"/>
      </rPr>
      <t xml:space="preserve">境、</t>
    </r>
    <r>
      <rPr>
        <sz val="11"/>
        <rFont val="游ゴシック"/>
        <family val="0"/>
        <charset val="1"/>
      </rPr>
      <t xml:space="preserve">0101 </t>
    </r>
    <r>
      <rPr>
        <sz val="11"/>
        <rFont val="WenQuanYi Zen Hei"/>
        <family val="2"/>
      </rPr>
      <t xml:space="preserve">漁協サービス、</t>
    </r>
    <r>
      <rPr>
        <sz val="11"/>
        <rFont val="游ゴシック"/>
        <family val="0"/>
        <charset val="1"/>
      </rPr>
      <t xml:space="preserve">0102 JF</t>
    </r>
    <r>
      <rPr>
        <sz val="11"/>
        <rFont val="WenQuanYi Zen Hei"/>
        <family val="2"/>
      </rPr>
      <t xml:space="preserve">大田、</t>
    </r>
    <r>
      <rPr>
        <sz val="11"/>
        <rFont val="游ゴシック"/>
        <family val="0"/>
        <charset val="1"/>
      </rPr>
      <t xml:space="preserve">0104 </t>
    </r>
    <r>
      <rPr>
        <sz val="11"/>
        <rFont val="WenQuanYi Zen Hei"/>
        <family val="2"/>
      </rPr>
      <t xml:space="preserve">大田荷役、</t>
    </r>
    <r>
      <rPr>
        <sz val="11"/>
        <rFont val="游ゴシック"/>
        <family val="0"/>
        <charset val="1"/>
      </rPr>
      <t xml:space="preserve">0106 </t>
    </r>
    <r>
      <rPr>
        <sz val="11"/>
        <rFont val="WenQuanYi Zen Hei"/>
        <family val="2"/>
      </rPr>
      <t xml:space="preserve">浜田荷役</t>
    </r>
  </si>
  <si>
    <r>
      <rPr>
        <sz val="11"/>
        <rFont val="WenQuanYi Zen Hei"/>
        <family val="2"/>
      </rPr>
      <t xml:space="preserve">・鳥栖・静岡・東京：</t>
    </r>
    <r>
      <rPr>
        <sz val="11"/>
        <rFont val="游ゴシック"/>
        <family val="0"/>
        <charset val="1"/>
      </rPr>
      <t xml:space="preserve">0042 </t>
    </r>
    <r>
      <rPr>
        <sz val="11"/>
        <rFont val="WenQuanYi Zen Hei"/>
        <family val="2"/>
      </rPr>
      <t xml:space="preserve">馬場部長、</t>
    </r>
    <r>
      <rPr>
        <sz val="11"/>
        <rFont val="游ゴシック"/>
        <family val="0"/>
        <charset val="1"/>
      </rPr>
      <t xml:space="preserve">0046 </t>
    </r>
    <r>
      <rPr>
        <sz val="11"/>
        <rFont val="WenQuanYi Zen Hei"/>
        <family val="2"/>
      </rPr>
      <t xml:space="preserve">角田、</t>
    </r>
    <r>
      <rPr>
        <sz val="11"/>
        <rFont val="游ゴシック"/>
        <family val="0"/>
        <charset val="1"/>
      </rPr>
      <t xml:space="preserve">0552 </t>
    </r>
    <r>
      <rPr>
        <sz val="11"/>
        <rFont val="WenQuanYi Zen Hei"/>
        <family val="2"/>
      </rPr>
      <t xml:space="preserve">馬場部長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東京</t>
    </r>
    <r>
      <rPr>
        <sz val="11"/>
        <rFont val="游ゴシック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</si>
  <si>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・松江・境港：</t>
    </r>
    <r>
      <rPr>
        <sz val="11"/>
        <rFont val="游ゴシック"/>
        <family val="0"/>
        <charset val="1"/>
      </rPr>
      <t xml:space="preserve">0032 </t>
    </r>
    <r>
      <rPr>
        <sz val="11"/>
        <rFont val="WenQuanYi Zen Hei"/>
        <family val="2"/>
      </rPr>
      <t xml:space="preserve">飯塚、</t>
    </r>
    <r>
      <rPr>
        <sz val="11"/>
        <rFont val="游ゴシック"/>
        <family val="0"/>
        <charset val="1"/>
      </rPr>
      <t xml:space="preserve">0033 </t>
    </r>
    <r>
      <rPr>
        <sz val="11"/>
        <rFont val="WenQuanYi Zen Hei"/>
        <family val="2"/>
      </rPr>
      <t xml:space="preserve">前田、</t>
    </r>
    <r>
      <rPr>
        <sz val="11"/>
        <rFont val="游ゴシック"/>
        <family val="0"/>
        <charset val="1"/>
      </rPr>
      <t xml:space="preserve">0034 </t>
    </r>
    <r>
      <rPr>
        <sz val="11"/>
        <rFont val="WenQuanYi Zen Hei"/>
        <family val="2"/>
      </rPr>
      <t xml:space="preserve">原田、</t>
    </r>
    <r>
      <rPr>
        <sz val="11"/>
        <rFont val="游ゴシック"/>
        <family val="0"/>
        <charset val="1"/>
      </rPr>
      <t xml:space="preserve">0035 </t>
    </r>
    <r>
      <rPr>
        <sz val="11"/>
        <rFont val="WenQuanYi Zen Hei"/>
        <family val="2"/>
      </rPr>
      <t xml:space="preserve">自治体、</t>
    </r>
    <r>
      <rPr>
        <sz val="11"/>
        <rFont val="游ゴシック"/>
        <family val="0"/>
        <charset val="1"/>
      </rPr>
      <t xml:space="preserve">0038 </t>
    </r>
    <r>
      <rPr>
        <sz val="11"/>
        <rFont val="WenQuanYi Zen Hei"/>
        <family val="2"/>
      </rPr>
      <t xml:space="preserve">境その他、</t>
    </r>
    <r>
      <rPr>
        <sz val="11"/>
        <rFont val="游ゴシック"/>
        <family val="0"/>
        <charset val="1"/>
      </rPr>
      <t xml:space="preserve">0039 </t>
    </r>
    <r>
      <rPr>
        <sz val="11"/>
        <rFont val="WenQuanYi Zen Hei"/>
        <family val="2"/>
      </rPr>
      <t xml:space="preserve">その他、</t>
    </r>
    <r>
      <rPr>
        <sz val="11"/>
        <rFont val="游ゴシック"/>
        <family val="0"/>
        <charset val="1"/>
      </rPr>
      <t xml:space="preserve">0903 </t>
    </r>
    <r>
      <rPr>
        <sz val="11"/>
        <rFont val="WenQuanYi Zen Hei"/>
        <family val="2"/>
      </rPr>
      <t xml:space="preserve">西岡、</t>
    </r>
    <r>
      <rPr>
        <sz val="11"/>
        <rFont val="游ゴシック"/>
        <family val="0"/>
        <charset val="1"/>
      </rPr>
      <t xml:space="preserve">0904 </t>
    </r>
    <r>
      <rPr>
        <sz val="11"/>
        <rFont val="WenQuanYi Zen Hei"/>
        <family val="2"/>
      </rPr>
      <t xml:space="preserve">足立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直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、</t>
    </r>
    <r>
      <rPr>
        <sz val="11"/>
        <rFont val="游ゴシック"/>
        <family val="0"/>
        <charset val="1"/>
      </rPr>
      <t xml:space="preserve">0909 </t>
    </r>
    <r>
      <rPr>
        <sz val="11"/>
        <rFont val="WenQuanYi Zen Hei"/>
        <family val="2"/>
      </rPr>
      <t xml:space="preserve">藤波、</t>
    </r>
    <r>
      <rPr>
        <sz val="11"/>
        <rFont val="游ゴシック"/>
        <family val="0"/>
        <charset val="1"/>
      </rPr>
      <t xml:space="preserve">0911 </t>
    </r>
    <r>
      <rPr>
        <sz val="11"/>
        <rFont val="WenQuanYi Zen Hei"/>
        <family val="2"/>
      </rPr>
      <t xml:space="preserve">川邊、</t>
    </r>
    <r>
      <rPr>
        <sz val="11"/>
        <rFont val="游ゴシック"/>
        <family val="0"/>
        <charset val="1"/>
      </rPr>
      <t xml:space="preserve">0914 </t>
    </r>
    <r>
      <rPr>
        <sz val="11"/>
        <rFont val="WenQuanYi Zen Hei"/>
        <family val="2"/>
      </rPr>
      <t xml:space="preserve">白根、</t>
    </r>
    <r>
      <rPr>
        <sz val="11"/>
        <rFont val="游ゴシック"/>
        <family val="0"/>
        <charset val="1"/>
      </rPr>
      <t xml:space="preserve">0918 </t>
    </r>
    <r>
      <rPr>
        <sz val="11"/>
        <rFont val="WenQuanYi Zen Hei"/>
        <family val="2"/>
      </rPr>
      <t xml:space="preserve">足立秀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海外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、</t>
    </r>
    <r>
      <rPr>
        <sz val="11"/>
        <rFont val="游ゴシック"/>
        <family val="0"/>
        <charset val="1"/>
      </rPr>
      <t xml:space="preserve">0919 </t>
    </r>
    <r>
      <rPr>
        <sz val="11"/>
        <rFont val="WenQuanYi Zen Hei"/>
        <family val="2"/>
      </rPr>
      <t xml:space="preserve">その他、</t>
    </r>
    <r>
      <rPr>
        <sz val="11"/>
        <rFont val="游ゴシック"/>
        <family val="0"/>
        <charset val="1"/>
      </rPr>
      <t xml:space="preserve">0930 </t>
    </r>
    <r>
      <rPr>
        <sz val="11"/>
        <rFont val="WenQuanYi Zen Hei"/>
        <family val="2"/>
      </rPr>
      <t xml:space="preserve">自治体</t>
    </r>
  </si>
  <si>
    <r>
      <rPr>
        <sz val="11"/>
        <rFont val="WenQuanYi Zen Hei"/>
        <family val="2"/>
      </rPr>
      <t xml:space="preserve">・下関：</t>
    </r>
    <r>
      <rPr>
        <sz val="11"/>
        <rFont val="游ゴシック"/>
        <family val="0"/>
        <charset val="1"/>
      </rPr>
      <t xml:space="preserve">0021 </t>
    </r>
    <r>
      <rPr>
        <sz val="11"/>
        <rFont val="WenQuanYi Zen Hei"/>
        <family val="2"/>
      </rPr>
      <t xml:space="preserve">高橋所長、</t>
    </r>
    <r>
      <rPr>
        <sz val="11"/>
        <rFont val="游ゴシック"/>
        <family val="0"/>
        <charset val="1"/>
      </rPr>
      <t xml:space="preserve">0024 </t>
    </r>
    <r>
      <rPr>
        <sz val="11"/>
        <rFont val="WenQuanYi Zen Hei"/>
        <family val="2"/>
      </rPr>
      <t xml:space="preserve">東野、</t>
    </r>
    <r>
      <rPr>
        <sz val="11"/>
        <rFont val="游ゴシック"/>
        <family val="0"/>
        <charset val="1"/>
      </rPr>
      <t xml:space="preserve">0025 </t>
    </r>
    <r>
      <rPr>
        <sz val="11"/>
        <rFont val="WenQuanYi Zen Hei"/>
        <family val="2"/>
      </rPr>
      <t xml:space="preserve">橋本、</t>
    </r>
    <r>
      <rPr>
        <sz val="11"/>
        <rFont val="游ゴシック"/>
        <family val="0"/>
        <charset val="1"/>
      </rPr>
      <t xml:space="preserve">0026 </t>
    </r>
    <r>
      <rPr>
        <sz val="11"/>
        <rFont val="WenQuanYi Zen Hei"/>
        <family val="2"/>
      </rPr>
      <t xml:space="preserve">井上、</t>
    </r>
    <r>
      <rPr>
        <sz val="11"/>
        <rFont val="游ゴシック"/>
        <family val="0"/>
        <charset val="1"/>
      </rPr>
      <t xml:space="preserve">0028 </t>
    </r>
    <r>
      <rPr>
        <sz val="11"/>
        <rFont val="WenQuanYi Zen Hei"/>
        <family val="2"/>
      </rPr>
      <t xml:space="preserve">自治体、</t>
    </r>
    <r>
      <rPr>
        <sz val="11"/>
        <rFont val="游ゴシック"/>
        <family val="0"/>
        <charset val="1"/>
      </rPr>
      <t xml:space="preserve">0029 </t>
    </r>
    <r>
      <rPr>
        <sz val="11"/>
        <rFont val="WenQuanYi Zen Hei"/>
        <family val="2"/>
      </rPr>
      <t xml:space="preserve">その他</t>
    </r>
  </si>
  <si>
    <r>
      <rPr>
        <sz val="11"/>
        <rFont val="WenQuanYi Zen Hei"/>
        <family val="2"/>
      </rPr>
      <t xml:space="preserve">・石見：</t>
    </r>
    <r>
      <rPr>
        <sz val="11"/>
        <rFont val="游ゴシック"/>
        <family val="0"/>
        <charset val="1"/>
      </rPr>
      <t xml:space="preserve">0011 </t>
    </r>
    <r>
      <rPr>
        <sz val="11"/>
        <rFont val="WenQuanYi Zen Hei"/>
        <family val="2"/>
      </rPr>
      <t xml:space="preserve">佐々木邦、</t>
    </r>
    <r>
      <rPr>
        <sz val="11"/>
        <rFont val="游ゴシック"/>
        <family val="0"/>
        <charset val="1"/>
      </rPr>
      <t xml:space="preserve">0012 </t>
    </r>
    <r>
      <rPr>
        <sz val="11"/>
        <rFont val="WenQuanYi Zen Hei"/>
        <family val="2"/>
      </rPr>
      <t xml:space="preserve">川上、</t>
    </r>
    <r>
      <rPr>
        <sz val="11"/>
        <rFont val="游ゴシック"/>
        <family val="0"/>
        <charset val="1"/>
      </rPr>
      <t xml:space="preserve">0013 </t>
    </r>
    <r>
      <rPr>
        <sz val="11"/>
        <rFont val="WenQuanYi Zen Hei"/>
        <family val="2"/>
      </rPr>
      <t xml:space="preserve">三浦、</t>
    </r>
    <r>
      <rPr>
        <sz val="11"/>
        <rFont val="游ゴシック"/>
        <family val="0"/>
        <charset val="1"/>
      </rPr>
      <t xml:space="preserve">0014 </t>
    </r>
    <r>
      <rPr>
        <sz val="11"/>
        <rFont val="WenQuanYi Zen Hei"/>
        <family val="2"/>
      </rPr>
      <t xml:space="preserve">木村、</t>
    </r>
    <r>
      <rPr>
        <sz val="11"/>
        <rFont val="游ゴシック"/>
        <family val="0"/>
        <charset val="1"/>
      </rPr>
      <t xml:space="preserve">0017 </t>
    </r>
    <r>
      <rPr>
        <sz val="11"/>
        <rFont val="WenQuanYi Zen Hei"/>
        <family val="2"/>
      </rPr>
      <t xml:space="preserve">鮮魚、</t>
    </r>
    <r>
      <rPr>
        <sz val="11"/>
        <rFont val="游ゴシック"/>
        <family val="0"/>
        <charset val="1"/>
      </rPr>
      <t xml:space="preserve">0019 </t>
    </r>
    <r>
      <rPr>
        <sz val="11"/>
        <rFont val="WenQuanYi Zen Hei"/>
        <family val="2"/>
      </rPr>
      <t xml:space="preserve">その他、</t>
    </r>
    <r>
      <rPr>
        <sz val="11"/>
        <rFont val="游ゴシック"/>
        <family val="0"/>
        <charset val="1"/>
      </rPr>
      <t xml:space="preserve">0020 </t>
    </r>
    <r>
      <rPr>
        <sz val="11"/>
        <rFont val="WenQuanYi Zen Hei"/>
        <family val="2"/>
      </rPr>
      <t xml:space="preserve">自治体</t>
    </r>
  </si>
  <si>
    <r>
      <rPr>
        <sz val="11"/>
        <rFont val="WenQuanYi Zen Hei"/>
        <family val="2"/>
      </rPr>
      <t xml:space="preserve">・</t>
    </r>
    <r>
      <rPr>
        <sz val="11"/>
        <rFont val="游ゴシック"/>
        <family val="0"/>
        <charset val="1"/>
      </rPr>
      <t xml:space="preserve">0028 </t>
    </r>
    <r>
      <rPr>
        <sz val="11"/>
        <rFont val="WenQuanYi Zen Hei"/>
        <family val="2"/>
      </rPr>
      <t xml:space="preserve">自治体（下関市）と </t>
    </r>
    <r>
      <rPr>
        <sz val="11"/>
        <rFont val="游ゴシック"/>
        <family val="0"/>
        <charset val="1"/>
      </rPr>
      <t xml:space="preserve">0930 </t>
    </r>
    <r>
      <rPr>
        <sz val="11"/>
        <rFont val="WenQuanYi Zen Hei"/>
        <family val="2"/>
      </rPr>
      <t xml:space="preserve">自治体（境港市）は第</t>
    </r>
    <r>
      <rPr>
        <sz val="11"/>
        <rFont val="游ゴシック"/>
        <family val="0"/>
        <charset val="1"/>
      </rPr>
      <t xml:space="preserve">52</t>
    </r>
    <r>
      <rPr>
        <sz val="11"/>
        <rFont val="WenQuanYi Zen Hei"/>
        <family val="2"/>
      </rPr>
      <t xml:space="preserve">期で新たに登場したコードのため、それぞれ 下関・松江・境港 に配置しています。</t>
    </r>
  </si>
  <si>
    <r>
      <rPr>
        <sz val="11"/>
        <rFont val="WenQuanYi Zen Hei"/>
        <family val="2"/>
      </rPr>
      <t xml:space="preserve">・</t>
    </r>
    <r>
      <rPr>
        <sz val="11"/>
        <rFont val="游ゴシック"/>
        <family val="0"/>
        <charset val="1"/>
      </rPr>
      <t xml:space="preserve">0017 </t>
    </r>
    <r>
      <rPr>
        <sz val="11"/>
        <rFont val="WenQuanYi Zen Hei"/>
        <family val="2"/>
      </rPr>
      <t xml:space="preserve">鮮魚 は第</t>
    </r>
    <r>
      <rPr>
        <sz val="11"/>
        <rFont val="游ゴシック"/>
        <family val="0"/>
        <charset val="1"/>
      </rPr>
      <t xml:space="preserve">51</t>
    </r>
    <r>
      <rPr>
        <sz val="11"/>
        <rFont val="WenQuanYi Zen Hei"/>
        <family val="2"/>
      </rPr>
      <t xml:space="preserve">期ファイルと同様に 水産部</t>
    </r>
    <r>
      <rPr>
        <sz val="11"/>
        <rFont val="游ゴシック"/>
        <family val="0"/>
        <charset val="1"/>
      </rPr>
      <t xml:space="preserve">X </t>
    </r>
    <r>
      <rPr>
        <sz val="11"/>
        <rFont val="WenQuanYi Zen Hei"/>
        <family val="2"/>
      </rPr>
      <t xml:space="preserve">と 石見 の両方に掲載しています（全体シートでは</t>
    </r>
    <r>
      <rPr>
        <sz val="11"/>
        <rFont val="游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件のみ・主部門は水産部</t>
    </r>
    <r>
      <rPr>
        <sz val="11"/>
        <rFont val="游ゴシック"/>
        <family val="0"/>
        <charset val="1"/>
      </rPr>
      <t xml:space="preserve">X</t>
    </r>
    <r>
      <rPr>
        <sz val="11"/>
        <rFont val="WenQuanYi Zen Hei"/>
        <family val="2"/>
      </rPr>
      <t xml:space="preserve">）。石見シート側の新担当者コードは水産部</t>
    </r>
    <r>
      <rPr>
        <sz val="11"/>
        <rFont val="游ゴシック"/>
        <family val="0"/>
        <charset val="1"/>
      </rPr>
      <t xml:space="preserve">X </t>
    </r>
    <r>
      <rPr>
        <sz val="11"/>
        <rFont val="WenQuanYi Zen Hei"/>
        <family val="2"/>
      </rPr>
      <t xml:space="preserve">の入力を参照します。</t>
    </r>
  </si>
  <si>
    <t xml:space="preserve">■ セルの色</t>
  </si>
  <si>
    <r>
      <rPr>
        <sz val="11"/>
        <rFont val="WenQuanYi Zen Hei"/>
        <family val="2"/>
      </rPr>
      <t xml:space="preserve">・黄色 </t>
    </r>
    <r>
      <rPr>
        <sz val="11"/>
        <rFont val="游ゴシック"/>
        <family val="0"/>
        <charset val="1"/>
      </rPr>
      <t xml:space="preserve">= </t>
    </r>
    <r>
      <rPr>
        <sz val="11"/>
        <rFont val="WenQuanYi Zen Hei"/>
        <family val="2"/>
      </rPr>
      <t xml:space="preserve">入力欄（部門別シートの</t>
    </r>
    <r>
      <rPr>
        <sz val="11"/>
        <rFont val="游ゴシック"/>
        <family val="0"/>
        <charset val="1"/>
      </rPr>
      <t xml:space="preserve">E</t>
    </r>
    <r>
      <rPr>
        <sz val="11"/>
        <rFont val="WenQuanYi Zen Hei"/>
        <family val="2"/>
      </rPr>
      <t xml:space="preserve">列、担当者マスタの空行）　・緑文字 </t>
    </r>
    <r>
      <rPr>
        <sz val="11"/>
        <rFont val="游ゴシック"/>
        <family val="0"/>
        <charset val="1"/>
      </rPr>
      <t xml:space="preserve">= </t>
    </r>
    <r>
      <rPr>
        <sz val="11"/>
        <rFont val="WenQuanYi Zen Hei"/>
        <family val="2"/>
      </rPr>
      <t xml:space="preserve">他シート参照　・灰色 </t>
    </r>
    <r>
      <rPr>
        <sz val="11"/>
        <rFont val="游ゴシック"/>
        <family val="0"/>
        <charset val="1"/>
      </rPr>
      <t xml:space="preserve">= </t>
    </r>
    <r>
      <rPr>
        <sz val="11"/>
        <rFont val="WenQuanYi Zen Hei"/>
        <family val="2"/>
      </rPr>
      <t xml:space="preserve">集計／総計行</t>
    </r>
  </si>
  <si>
    <t xml:space="preserve">得意先コード</t>
  </si>
  <si>
    <t xml:space="preserve">得意先略称</t>
  </si>
  <si>
    <t xml:space="preserve">担当者コード</t>
  </si>
  <si>
    <t xml:space="preserve">担当者名</t>
  </si>
  <si>
    <t xml:space="preserve">新担当者コード</t>
  </si>
  <si>
    <t xml:space="preserve">新担当者</t>
  </si>
  <si>
    <r>
      <rPr>
        <b val="true"/>
        <sz val="11"/>
        <rFont val="游ゴシック"/>
        <family val="0"/>
        <charset val="1"/>
      </rPr>
      <t xml:space="preserve">2024/10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</si>
  <si>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2024/11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</si>
  <si>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2024/12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</si>
  <si>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2025/01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</si>
  <si>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2025/02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</si>
  <si>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2025/03</t>
    </r>
    <r>
      <rPr>
        <b val="true"/>
        <sz val="11"/>
        <rFont val="WenQuanYi Zen Hei"/>
        <family val="2"/>
      </rPr>
      <t xml:space="preserve">売上</t>
    </r>
  </si>
  <si>
    <t xml:space="preserve">前年度売上合計</t>
  </si>
  <si>
    <r>
      <rPr>
        <b val="true"/>
        <sz val="11"/>
        <rFont val="游ゴシック"/>
        <family val="0"/>
        <charset val="1"/>
      </rPr>
      <t xml:space="preserve">2024/10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</si>
  <si>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2024/11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</si>
  <si>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2024/12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</si>
  <si>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2025/01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</si>
  <si>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2025/02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</si>
  <si>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2025/03</t>
    </r>
    <r>
      <rPr>
        <b val="true"/>
        <sz val="11"/>
        <rFont val="WenQuanYi Zen Hei"/>
        <family val="2"/>
      </rPr>
      <t xml:space="preserve">粗利益</t>
    </r>
  </si>
  <si>
    <t xml:space="preserve">前年度粗利益合計</t>
  </si>
  <si>
    <r>
      <rPr>
        <b val="true"/>
        <sz val="11"/>
        <rFont val="游ゴシック"/>
        <family val="0"/>
        <charset val="1"/>
      </rPr>
      <t xml:space="preserve">2025/10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</si>
  <si>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2025/11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</si>
  <si>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2025/12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</si>
  <si>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2026/01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</si>
  <si>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2026/02</t>
    </r>
    <r>
      <rPr>
        <b val="true"/>
        <sz val="11"/>
        <rFont val="WenQuanYi Zen Hei"/>
        <family val="2"/>
      </rPr>
      <t xml:space="preserve">売上</t>
    </r>
  </si>
  <si>
    <r>
      <rPr>
        <b val="true"/>
        <sz val="11"/>
        <rFont val="游ゴシック"/>
        <family val="0"/>
        <charset val="1"/>
      </rPr>
      <t xml:space="preserve">2026/03</t>
    </r>
    <r>
      <rPr>
        <b val="true"/>
        <sz val="11"/>
        <rFont val="WenQuanYi Zen Hei"/>
        <family val="2"/>
      </rPr>
      <t xml:space="preserve">売上</t>
    </r>
  </si>
  <si>
    <t xml:space="preserve">今年度売上合計</t>
  </si>
  <si>
    <r>
      <rPr>
        <b val="true"/>
        <sz val="11"/>
        <rFont val="游ゴシック"/>
        <family val="0"/>
        <charset val="1"/>
      </rPr>
      <t xml:space="preserve">2025/10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</si>
  <si>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2025/11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</si>
  <si>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2025/12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</si>
  <si>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2026/01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</si>
  <si>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2026/02</t>
    </r>
    <r>
      <rPr>
        <b val="true"/>
        <sz val="11"/>
        <rFont val="WenQuanYi Zen Hei"/>
        <family val="2"/>
      </rPr>
      <t xml:space="preserve">粗利益</t>
    </r>
  </si>
  <si>
    <r>
      <rPr>
        <b val="true"/>
        <sz val="11"/>
        <rFont val="游ゴシック"/>
        <family val="0"/>
        <charset val="1"/>
      </rPr>
      <t xml:space="preserve">2026/03</t>
    </r>
    <r>
      <rPr>
        <b val="true"/>
        <sz val="11"/>
        <rFont val="WenQuanYi Zen Hei"/>
        <family val="2"/>
      </rPr>
      <t xml:space="preserve">粗利益</t>
    </r>
  </si>
  <si>
    <t xml:space="preserve">今年度粗利益合計</t>
  </si>
  <si>
    <t xml:space="preserve">部門</t>
  </si>
  <si>
    <t xml:space="preserve">0000000000541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</si>
  <si>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しまね冷蔵庫</t>
    </r>
  </si>
  <si>
    <t xml:space="preserve">0010</t>
  </si>
  <si>
    <t xml:space="preserve">JF</t>
  </si>
  <si>
    <r>
      <rPr>
        <sz val="11"/>
        <rFont val="WenQuanYi Zen Hei"/>
        <family val="2"/>
      </rPr>
      <t xml:space="preserve">水産部</t>
    </r>
    <r>
      <rPr>
        <sz val="11"/>
        <rFont val="游ゴシック"/>
        <family val="0"/>
        <charset val="1"/>
      </rPr>
      <t xml:space="preserve">X</t>
    </r>
  </si>
  <si>
    <t xml:space="preserve">0000000000561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</si>
  <si>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しまねｻｰﾋﾞｽ</t>
    </r>
  </si>
  <si>
    <t xml:space="preserve">0000000000691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</si>
  <si>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しまね浜田支所総務</t>
    </r>
  </si>
  <si>
    <t xml:space="preserve">0000000100191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</si>
  <si>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浜田販売部</t>
    </r>
  </si>
  <si>
    <t xml:space="preserve">0000000015661</t>
  </si>
  <si>
    <r>
      <rPr>
        <sz val="11"/>
        <rFont val="游ゴシック"/>
        <family val="0"/>
        <charset val="1"/>
      </rPr>
      <t xml:space="preserve">156 </t>
    </r>
    <r>
      <rPr>
        <sz val="11"/>
        <rFont val="WenQuanYi Zen Hei"/>
        <family val="2"/>
      </rPr>
      <t xml:space="preserve">中山 圭司</t>
    </r>
  </si>
  <si>
    <t xml:space="preserve">0011</t>
  </si>
  <si>
    <t xml:space="preserve">佐々木邦</t>
  </si>
  <si>
    <t xml:space="preserve">石見</t>
  </si>
  <si>
    <t xml:space="preserve">0000000034561</t>
  </si>
  <si>
    <r>
      <rPr>
        <sz val="11"/>
        <rFont val="游ゴシック"/>
        <family val="0"/>
        <charset val="1"/>
      </rPr>
      <t xml:space="preserve">345 </t>
    </r>
    <r>
      <rPr>
        <sz val="11"/>
        <rFont val="WenQuanYi Zen Hei"/>
        <family val="2"/>
      </rPr>
      <t xml:space="preserve">田中乾魚店</t>
    </r>
  </si>
  <si>
    <t xml:space="preserve">0000000038561</t>
  </si>
  <si>
    <r>
      <rPr>
        <sz val="11"/>
        <rFont val="游ゴシック"/>
        <family val="0"/>
        <charset val="1"/>
      </rPr>
      <t xml:space="preserve">385 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吉本重義商店</t>
    </r>
  </si>
  <si>
    <t xml:space="preserve">0000000052561</t>
  </si>
  <si>
    <r>
      <rPr>
        <sz val="11"/>
        <rFont val="游ゴシック"/>
        <family val="0"/>
        <charset val="1"/>
      </rPr>
      <t xml:space="preserve">525 </t>
    </r>
    <r>
      <rPr>
        <sz val="11"/>
        <rFont val="WenQuanYi Zen Hei"/>
        <family val="2"/>
      </rPr>
      <t xml:space="preserve">植野 信幸</t>
    </r>
  </si>
  <si>
    <t xml:space="preserve">0000000052761</t>
  </si>
  <si>
    <r>
      <rPr>
        <sz val="11"/>
        <rFont val="游ゴシック"/>
        <family val="0"/>
        <charset val="1"/>
      </rPr>
      <t xml:space="preserve">※527 </t>
    </r>
    <r>
      <rPr>
        <sz val="11"/>
        <rFont val="WenQuanYi Zen Hei"/>
        <family val="2"/>
      </rPr>
      <t xml:space="preserve">中井 浩</t>
    </r>
  </si>
  <si>
    <t xml:space="preserve">0000000053661</t>
  </si>
  <si>
    <r>
      <rPr>
        <sz val="11"/>
        <rFont val="游ゴシック"/>
        <family val="0"/>
        <charset val="1"/>
      </rPr>
      <t xml:space="preserve">536 </t>
    </r>
    <r>
      <rPr>
        <sz val="11"/>
        <rFont val="WenQuanYi Zen Hei"/>
        <family val="2"/>
      </rPr>
      <t xml:space="preserve">新田健二 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魚新</t>
    </r>
    <r>
      <rPr>
        <sz val="11"/>
        <rFont val="游ゴシック"/>
        <family val="0"/>
        <charset val="1"/>
      </rPr>
      <t xml:space="preserve">)</t>
    </r>
  </si>
  <si>
    <t xml:space="preserve">0000000054061</t>
  </si>
  <si>
    <r>
      <rPr>
        <sz val="11"/>
        <rFont val="游ゴシック"/>
        <family val="0"/>
        <charset val="1"/>
      </rPr>
      <t xml:space="preserve">540 </t>
    </r>
    <r>
      <rPr>
        <sz val="11"/>
        <rFont val="WenQuanYi Zen Hei"/>
        <family val="2"/>
      </rPr>
      <t xml:space="preserve">浜原</t>
    </r>
  </si>
  <si>
    <t xml:space="preserve">0000000055761</t>
  </si>
  <si>
    <r>
      <rPr>
        <sz val="11"/>
        <rFont val="游ゴシック"/>
        <family val="0"/>
        <charset val="1"/>
      </rPr>
      <t xml:space="preserve">557</t>
    </r>
    <r>
      <rPr>
        <sz val="11"/>
        <rFont val="WenQuanYi Zen Hei"/>
        <family val="2"/>
      </rPr>
      <t xml:space="preserve">山末鮮魚店</t>
    </r>
  </si>
  <si>
    <t xml:space="preserve">0000000056461</t>
  </si>
  <si>
    <r>
      <rPr>
        <sz val="11"/>
        <rFont val="游ゴシック"/>
        <family val="0"/>
        <charset val="1"/>
      </rPr>
      <t xml:space="preserve">564</t>
    </r>
    <r>
      <rPr>
        <sz val="11"/>
        <rFont val="WenQuanYi Zen Hei"/>
        <family val="2"/>
      </rPr>
      <t xml:space="preserve">渡辺鮮魚店㈱</t>
    </r>
  </si>
  <si>
    <t xml:space="preserve">0000000090081</t>
  </si>
  <si>
    <t xml:space="preserve">ｾﾌﾞﾝｲﾚﾌﾞﾝ浅利店</t>
  </si>
  <si>
    <t xml:space="preserve">0000000100481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</si>
  <si>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江木蒲鉾店</t>
    </r>
  </si>
  <si>
    <t xml:space="preserve">0000000100691</t>
  </si>
  <si>
    <r>
      <rPr>
        <sz val="11"/>
        <rFont val="WenQuanYi Zen Hei"/>
        <family val="2"/>
      </rPr>
      <t xml:space="preserve">石見糀屋 発酵</t>
    </r>
    <r>
      <rPr>
        <sz val="11"/>
        <rFont val="游ゴシック"/>
        <family val="0"/>
        <charset val="1"/>
      </rPr>
      <t xml:space="preserve">-LABO</t>
    </r>
  </si>
  <si>
    <t xml:space="preserve">0000000100731</t>
  </si>
  <si>
    <t xml:space="preserve">共同青果㈱</t>
  </si>
  <si>
    <t xml:space="preserve">0000000100851</t>
  </si>
  <si>
    <t xml:space="preserve">油屋ﾀﾞｯﾌﾟｽ</t>
  </si>
  <si>
    <t xml:space="preserve">0000000101051</t>
  </si>
  <si>
    <t xml:space="preserve">ｺｰﾋﾝ商会調理課</t>
  </si>
  <si>
    <t xml:space="preserve">0000000101461</t>
  </si>
  <si>
    <t xml:space="preserve">中山農園㈱</t>
  </si>
  <si>
    <t xml:space="preserve">0000000102061</t>
  </si>
  <si>
    <t xml:space="preserve">島根互助会浜田</t>
  </si>
  <si>
    <t xml:space="preserve">0000000102461</t>
  </si>
  <si>
    <t xml:space="preserve">西川病院</t>
  </si>
  <si>
    <t xml:space="preserve">0000000102661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</si>
  <si>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公財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浜田市学校給食</t>
    </r>
  </si>
  <si>
    <t xml:space="preserve">0000000102691</t>
  </si>
  <si>
    <t xml:space="preserve">島根県立浜田水産高校</t>
  </si>
  <si>
    <t xml:space="preserve">0000000102821</t>
  </si>
  <si>
    <t xml:space="preserve">㈱浜田青果市場</t>
  </si>
  <si>
    <t xml:space="preserve">0000000103141</t>
  </si>
  <si>
    <t xml:space="preserve">県立浜田養護学校長</t>
  </si>
  <si>
    <t xml:space="preserve">0000000103151</t>
  </si>
  <si>
    <r>
      <rPr>
        <sz val="11"/>
        <rFont val="WenQuanYi Zen Hei"/>
        <family val="2"/>
      </rPr>
      <t xml:space="preserve">橋本鐵工</t>
    </r>
    <r>
      <rPr>
        <sz val="11"/>
        <rFont val="游ゴシック"/>
        <family val="0"/>
        <charset val="1"/>
      </rPr>
      <t xml:space="preserve">Y</t>
    </r>
    <r>
      <rPr>
        <sz val="11"/>
        <rFont val="WenQuanYi Zen Hei"/>
        <family val="2"/>
      </rPr>
      <t xml:space="preserve">ｼｮｯﾌﾟ下府</t>
    </r>
  </si>
  <si>
    <t xml:space="preserve">0000000103541</t>
  </si>
  <si>
    <r>
      <rPr>
        <sz val="11"/>
        <rFont val="WenQuanYi Zen Hei"/>
        <family val="2"/>
      </rPr>
      <t xml:space="preserve">ﾐｳﾗ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三浦農園</t>
    </r>
    <r>
      <rPr>
        <sz val="11"/>
        <rFont val="游ゴシック"/>
        <family val="0"/>
        <charset val="1"/>
      </rPr>
      <t xml:space="preserve">)</t>
    </r>
  </si>
  <si>
    <t xml:space="preserve">0000000103741</t>
  </si>
  <si>
    <t xml:space="preserve">山本精肉</t>
  </si>
  <si>
    <t xml:space="preserve">0000000103751</t>
  </si>
  <si>
    <r>
      <rPr>
        <sz val="11"/>
        <rFont val="游ゴシック"/>
        <family val="0"/>
        <charset val="1"/>
      </rPr>
      <t xml:space="preserve">553</t>
    </r>
    <r>
      <rPr>
        <sz val="11"/>
        <rFont val="WenQuanYi Zen Hei"/>
        <family val="2"/>
      </rPr>
      <t xml:space="preserve">やなぎ水産</t>
    </r>
  </si>
  <si>
    <t xml:space="preserve">0000000104011</t>
  </si>
  <si>
    <t xml:space="preserve">いわみ中央経済課</t>
  </si>
  <si>
    <t xml:space="preserve">0000000120131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</si>
  <si>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同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浜守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海で生活す</t>
    </r>
    <r>
      <rPr>
        <sz val="11"/>
        <rFont val="游ゴシック"/>
        <family val="0"/>
        <charset val="1"/>
      </rPr>
      <t xml:space="preserve">)</t>
    </r>
  </si>
  <si>
    <t xml:space="preserve">0000000120141</t>
  </si>
  <si>
    <t xml:space="preserve">山本蒲鉾店</t>
  </si>
  <si>
    <t xml:space="preserve">0000000120201</t>
  </si>
  <si>
    <t xml:space="preserve">㈱三島ﾌｧｰﾑ</t>
  </si>
  <si>
    <t xml:space="preserve">0000000120241</t>
  </si>
  <si>
    <t xml:space="preserve">㈱ｱｸｼｽ島根支店</t>
  </si>
  <si>
    <t xml:space="preserve">0000000120261</t>
  </si>
  <si>
    <r>
      <rPr>
        <sz val="11"/>
        <rFont val="WenQuanYi Zen Hei"/>
        <family val="2"/>
      </rPr>
      <t xml:space="preserve">亀谷窯業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</si>
  <si>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0000000190081</t>
  </si>
  <si>
    <t xml:space="preserve">ゆうひﾊﾟｰｸ浜田㈱物販</t>
  </si>
  <si>
    <t xml:space="preserve">0000000200321</t>
  </si>
  <si>
    <t xml:space="preserve">㈱魚勝商店</t>
  </si>
  <si>
    <t xml:space="preserve">0000000200531</t>
  </si>
  <si>
    <t xml:space="preserve">㈲大秀商店</t>
  </si>
  <si>
    <t xml:space="preserve">0000000200601</t>
  </si>
  <si>
    <t xml:space="preserve">㈲香住屋</t>
  </si>
  <si>
    <t xml:space="preserve">0000000201001</t>
  </si>
  <si>
    <t xml:space="preserve">河野乾魚店合同会社</t>
  </si>
  <si>
    <t xml:space="preserve">0000000201011</t>
  </si>
  <si>
    <t xml:space="preserve">越山商店</t>
  </si>
  <si>
    <t xml:space="preserve">0000000201111</t>
  </si>
  <si>
    <t xml:space="preserve">㈲あけぼの丸ﾌｧｸﾄﾘｰ※</t>
  </si>
  <si>
    <t xml:space="preserve">0000000201151</t>
  </si>
  <si>
    <r>
      <rPr>
        <sz val="11"/>
        <rFont val="WenQuanYi Zen Hei"/>
        <family val="2"/>
      </rPr>
      <t xml:space="preserve">㈲本田国府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信港</t>
    </r>
    <r>
      <rPr>
        <sz val="11"/>
        <rFont val="游ゴシック"/>
        <family val="0"/>
        <charset val="1"/>
      </rPr>
      <t xml:space="preserve">)</t>
    </r>
  </si>
  <si>
    <t xml:space="preserve">0000000201411</t>
  </si>
  <si>
    <t xml:space="preserve">竹田乾魚店</t>
  </si>
  <si>
    <t xml:space="preserve">0000000201711</t>
  </si>
  <si>
    <t xml:space="preserve">㈲多田商店</t>
  </si>
  <si>
    <t xml:space="preserve">0000000201851</t>
  </si>
  <si>
    <r>
      <rPr>
        <sz val="11"/>
        <rFont val="WenQuanYi Zen Hei"/>
        <family val="2"/>
      </rPr>
      <t xml:space="preserve">㈱令和ｼｰﾌｰｽﾞ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中村水</t>
    </r>
    <r>
      <rPr>
        <sz val="11"/>
        <rFont val="游ゴシック"/>
        <family val="0"/>
        <charset val="1"/>
      </rPr>
      <t xml:space="preserve">)</t>
    </r>
  </si>
  <si>
    <t xml:space="preserve">0000000202071</t>
  </si>
  <si>
    <t xml:space="preserve">㈱ﾊﾏｼｮｳ</t>
  </si>
  <si>
    <t xml:space="preserve">0000000202081</t>
  </si>
  <si>
    <t xml:space="preserve">㈱はまちく</t>
  </si>
  <si>
    <t xml:space="preserve">0000000202091</t>
  </si>
  <si>
    <t xml:space="preserve">浜田中央水産加工業協</t>
  </si>
  <si>
    <t xml:space="preserve">0000000202211</t>
  </si>
  <si>
    <r>
      <rPr>
        <sz val="11"/>
        <rFont val="游ゴシック"/>
        <family val="0"/>
        <charset val="1"/>
      </rPr>
      <t xml:space="preserve">372</t>
    </r>
    <r>
      <rPr>
        <sz val="11"/>
        <rFont val="WenQuanYi Zen Hei"/>
        <family val="2"/>
      </rPr>
      <t xml:space="preserve">㈲本田商店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松原</t>
    </r>
    <r>
      <rPr>
        <sz val="11"/>
        <rFont val="游ゴシック"/>
        <family val="0"/>
        <charset val="1"/>
      </rPr>
      <t xml:space="preserve">)</t>
    </r>
  </si>
  <si>
    <t xml:space="preserve">0000000202801</t>
  </si>
  <si>
    <r>
      <rPr>
        <sz val="11"/>
        <rFont val="游ゴシック"/>
        <family val="0"/>
        <charset val="1"/>
      </rPr>
      <t xml:space="preserve">319 </t>
    </r>
    <r>
      <rPr>
        <sz val="11"/>
        <rFont val="WenQuanYi Zen Hei"/>
        <family val="2"/>
      </rPr>
      <t xml:space="preserve">㈲和田商店</t>
    </r>
  </si>
  <si>
    <t xml:space="preserve">0000000202821</t>
  </si>
  <si>
    <t xml:space="preserve">㈱弘伸ｺｳｼﾝ</t>
  </si>
  <si>
    <t xml:space="preserve">0000000300121</t>
  </si>
  <si>
    <t xml:space="preserve">※大崎鮮魚店</t>
  </si>
  <si>
    <t xml:space="preserve">0000000300931</t>
  </si>
  <si>
    <t xml:space="preserve">村田漁村㈱</t>
  </si>
  <si>
    <t xml:space="preserve">0000000400141</t>
  </si>
  <si>
    <t xml:space="preserve">浅利観光㈱</t>
  </si>
  <si>
    <t xml:space="preserve">0000000400411</t>
  </si>
  <si>
    <t xml:space="preserve">中央弁当㈱中央</t>
  </si>
  <si>
    <t xml:space="preserve">0000000400521</t>
  </si>
  <si>
    <t xml:space="preserve">㈱永島青果</t>
  </si>
  <si>
    <t xml:space="preserve">0000000400531</t>
  </si>
  <si>
    <t xml:space="preserve">㈲肉のこごし</t>
  </si>
  <si>
    <t xml:space="preserve">0000000400711</t>
  </si>
  <si>
    <t xml:space="preserve">丸田鮮魚店</t>
  </si>
  <si>
    <t xml:space="preserve">0000000400981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</si>
  <si>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木村電機ﾌﾞﾙｰｼﾞｰ</t>
    </r>
  </si>
  <si>
    <t xml:space="preserve">0000000400991</t>
  </si>
  <si>
    <t xml:space="preserve">㈱石見商店</t>
  </si>
  <si>
    <t xml:space="preserve">0000000401111</t>
  </si>
  <si>
    <t xml:space="preserve">若女食品㈱</t>
  </si>
  <si>
    <t xml:space="preserve">0000000404491</t>
  </si>
  <si>
    <t xml:space="preserve">ふるさと支援めぐみ</t>
  </si>
  <si>
    <t xml:space="preserve">0000000404521</t>
  </si>
  <si>
    <t xml:space="preserve">西部医療整肢学園</t>
  </si>
  <si>
    <t xml:space="preserve">0000000404531</t>
  </si>
  <si>
    <t xml:space="preserve">鈴なりﾌｰｽﾞ</t>
  </si>
  <si>
    <t xml:space="preserve">0000000404541</t>
  </si>
  <si>
    <t xml:space="preserve">やまあいﾋﾟｸﾙｽ</t>
  </si>
  <si>
    <t xml:space="preserve">0000000404711</t>
  </si>
  <si>
    <r>
      <rPr>
        <sz val="11"/>
        <rFont val="WenQuanYi Zen Hei"/>
        <family val="2"/>
      </rPr>
      <t xml:space="preserve">ﾗ</t>
    </r>
    <r>
      <rPr>
        <sz val="11"/>
        <rFont val="游ゴシック"/>
        <family val="0"/>
        <charset val="1"/>
      </rPr>
      <t xml:space="preserve">.</t>
    </r>
    <r>
      <rPr>
        <sz val="11"/>
        <rFont val="WenQuanYi Zen Hei"/>
        <family val="2"/>
      </rPr>
      <t xml:space="preserve">ｻﾝｾﾘﾃ志</t>
    </r>
  </si>
  <si>
    <t xml:space="preserve">0000000404731</t>
  </si>
  <si>
    <t xml:space="preserve">日本製紙㈱江津工場</t>
  </si>
  <si>
    <t xml:space="preserve">0000000404741</t>
  </si>
  <si>
    <t xml:space="preserve">ﾄｯﾌﾟ金属工業㈱江津</t>
  </si>
  <si>
    <t xml:space="preserve">0000000420101</t>
  </si>
  <si>
    <t xml:space="preserve">大阪惣菜ﾏﾙｼｪ浅利店</t>
  </si>
  <si>
    <t xml:space="preserve">0000000500181</t>
  </si>
  <si>
    <t xml:space="preserve">金城加工友の会河野芳</t>
  </si>
  <si>
    <t xml:space="preserve">0000000500511</t>
  </si>
  <si>
    <r>
      <rPr>
        <sz val="11"/>
        <rFont val="WenQuanYi Zen Hei"/>
        <family val="2"/>
      </rPr>
      <t xml:space="preserve">長谷特産部そよ風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</si>
  <si>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0000000500611</t>
  </si>
  <si>
    <t xml:space="preserve">元重製陶所</t>
  </si>
  <si>
    <t xml:space="preserve">0000000501171</t>
  </si>
  <si>
    <t xml:space="preserve">㈱ﾍﾞﾘｰﾈ</t>
  </si>
  <si>
    <t xml:space="preserve">0000000503091</t>
  </si>
  <si>
    <r>
      <rPr>
        <sz val="11"/>
        <rFont val="WenQuanYi Zen Hei"/>
        <family val="2"/>
      </rPr>
      <t xml:space="preserve">市木土産を作る会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</si>
  <si>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0000000503531</t>
  </si>
  <si>
    <t xml:space="preserve">ｹﾝﾎﾞﾛｰ手づくりﾊﾑ工房</t>
  </si>
  <si>
    <t xml:space="preserve">0000000503601</t>
  </si>
  <si>
    <r>
      <rPr>
        <sz val="11"/>
        <rFont val="WenQuanYi Zen Hei"/>
        <family val="2"/>
      </rPr>
      <t xml:space="preserve">西谷友紀商店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</si>
  <si>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0000000503761</t>
  </si>
  <si>
    <t xml:space="preserve">大和ﾗﾁﾞｴｰﾀｰ工業㈱</t>
  </si>
  <si>
    <t xml:space="preserve">0000000504111</t>
  </si>
  <si>
    <r>
      <rPr>
        <sz val="11"/>
        <rFont val="WenQuanYi Zen Hei"/>
        <family val="2"/>
      </rPr>
      <t xml:space="preserve">野田ｱﾔﾒ </t>
    </r>
    <r>
      <rPr>
        <sz val="11"/>
        <rFont val="游ゴシック"/>
        <family val="0"/>
        <charset val="1"/>
      </rPr>
      <t xml:space="preserve">*A4</t>
    </r>
  </si>
  <si>
    <t xml:space="preserve">0000000504151</t>
  </si>
  <si>
    <r>
      <rPr>
        <sz val="11"/>
        <rFont val="游ゴシック"/>
        <family val="0"/>
        <charset val="1"/>
      </rPr>
      <t xml:space="preserve">SPC</t>
    </r>
    <r>
      <rPr>
        <sz val="11"/>
        <rFont val="WenQuanYi Zen Hei"/>
        <family val="2"/>
      </rPr>
      <t xml:space="preserve">ｱｸｰﾙ</t>
    </r>
  </si>
  <si>
    <t xml:space="preserve">0000000504531</t>
  </si>
  <si>
    <t xml:space="preserve">藤若将浩</t>
  </si>
  <si>
    <t xml:space="preserve">0000000505061</t>
  </si>
  <si>
    <t xml:space="preserve">㈱ｼｬﾄﾗﾝ</t>
  </si>
  <si>
    <t xml:space="preserve">0000000510121</t>
  </si>
  <si>
    <r>
      <rPr>
        <sz val="11"/>
        <rFont val="游ゴシック"/>
        <family val="0"/>
        <charset val="1"/>
      </rPr>
      <t xml:space="preserve">TC</t>
    </r>
    <r>
      <rPr>
        <sz val="11"/>
        <rFont val="WenQuanYi Zen Hei"/>
        <family val="2"/>
      </rPr>
      <t xml:space="preserve">浜田農場㈱</t>
    </r>
  </si>
  <si>
    <t xml:space="preserve">0000000510221</t>
  </si>
  <si>
    <t xml:space="preserve">しまね有機ﾌｧｰﾑ㈱</t>
  </si>
  <si>
    <t xml:space="preserve">0000000510231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</si>
  <si>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ｽﾌﾟﾗｳﾄ島根</t>
    </r>
  </si>
  <si>
    <t xml:space="preserve">0000000510241</t>
  </si>
  <si>
    <t xml:space="preserve">㈱ｴﾊﾞｰｸﾞﾘｰﾝ</t>
  </si>
  <si>
    <t xml:space="preserve">0000000700131</t>
  </si>
  <si>
    <t xml:space="preserve">㈲岡富商店</t>
  </si>
  <si>
    <t xml:space="preserve">0000000703171</t>
  </si>
  <si>
    <t xml:space="preserve">㈱魚の屋</t>
  </si>
  <si>
    <t xml:space="preserve">0000000703691</t>
  </si>
  <si>
    <t xml:space="preserve">五十猛ﾜｶﾒ会 竹下睦夫</t>
  </si>
  <si>
    <t xml:space="preserve">0000000703741</t>
  </si>
  <si>
    <t xml:space="preserve">㈱ﾄﾗｼﾞ</t>
  </si>
  <si>
    <t xml:space="preserve">0000000820011</t>
  </si>
  <si>
    <t xml:space="preserve">若女食品㈱ 段ﾎﾞｰﾙ</t>
  </si>
  <si>
    <t xml:space="preserve">0000000820041</t>
  </si>
  <si>
    <t xml:space="preserve">りせらや養蜂園㈱</t>
  </si>
  <si>
    <t xml:space="preserve">0000000820071</t>
  </si>
  <si>
    <t xml:space="preserve">玉鮨</t>
  </si>
  <si>
    <t xml:space="preserve">0000000820081</t>
  </si>
  <si>
    <t xml:space="preserve">㈱石見麦酒</t>
  </si>
  <si>
    <t xml:space="preserve">0000000820181</t>
  </si>
  <si>
    <r>
      <rPr>
        <sz val="11"/>
        <rFont val="WenQuanYi Zen Hei"/>
        <family val="2"/>
      </rPr>
      <t xml:space="preserve">日興建材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</si>
  <si>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0000000820201</t>
  </si>
  <si>
    <t xml:space="preserve">㈱しまねﾌﾟﾗﾈｯﾂ</t>
  </si>
  <si>
    <t xml:space="preserve">0000000901581</t>
  </si>
  <si>
    <t xml:space="preserve">大和ﾗﾁﾞｴｰﾀｰ販売㈱</t>
  </si>
  <si>
    <t xml:space="preserve">0000000908801</t>
  </si>
  <si>
    <t xml:space="preserve">松江ﾘｰｽ㈱若女食品</t>
  </si>
  <si>
    <t xml:space="preserve">0000000000441</t>
  </si>
  <si>
    <t xml:space="preserve">江川漁協</t>
  </si>
  <si>
    <t xml:space="preserve">0012</t>
  </si>
  <si>
    <t xml:space="preserve">川上</t>
  </si>
  <si>
    <t xml:space="preserve">0000000090041</t>
  </si>
  <si>
    <t xml:space="preserve">日和青年部</t>
  </si>
  <si>
    <t xml:space="preserve">0000000501321</t>
  </si>
  <si>
    <t xml:space="preserve">㈲ｱｸﾞﾘみと</t>
  </si>
  <si>
    <t xml:space="preserve">0000000501361</t>
  </si>
  <si>
    <t xml:space="preserve">㈱ｸｲｰｼﾞ美郷支店</t>
  </si>
  <si>
    <t xml:space="preserve">0000000501441</t>
  </si>
  <si>
    <t xml:space="preserve">おおなんﾁｰｽﾞ工房</t>
  </si>
  <si>
    <t xml:space="preserve">0000000501461</t>
  </si>
  <si>
    <t xml:space="preserve">川本ﾜｰｸｽ</t>
  </si>
  <si>
    <t xml:space="preserve">0000000501471</t>
  </si>
  <si>
    <r>
      <rPr>
        <sz val="11"/>
        <rFont val="WenQuanYi Zen Hei"/>
        <family val="2"/>
      </rPr>
      <t xml:space="preserve">ぶどう屋</t>
    </r>
    <r>
      <rPr>
        <sz val="11"/>
        <rFont val="游ゴシック"/>
        <family val="0"/>
        <charset val="1"/>
      </rPr>
      <t xml:space="preserve">T'sfam</t>
    </r>
    <r>
      <rPr>
        <sz val="11"/>
        <rFont val="WenQuanYi Zen Hei"/>
        <family val="2"/>
      </rPr>
      <t xml:space="preserve">ﾃｨｰｽﾞ</t>
    </r>
  </si>
  <si>
    <t xml:space="preserve">0000000501481</t>
  </si>
  <si>
    <t xml:space="preserve">㈱ｾﾚﾋﾞｱ</t>
  </si>
  <si>
    <t xml:space="preserve">0000000501491</t>
  </si>
  <si>
    <t xml:space="preserve">香木の森さくらﾗｲﾝ</t>
  </si>
  <si>
    <t xml:space="preserve">0000000502331</t>
  </si>
  <si>
    <t xml:space="preserve">㈲はんだ</t>
  </si>
  <si>
    <t xml:space="preserve">0000000502481</t>
  </si>
  <si>
    <t xml:space="preserve">島根おおち瑞穂生産資</t>
  </si>
  <si>
    <t xml:space="preserve">0000000503131</t>
  </si>
  <si>
    <t xml:space="preserve">雲井の里</t>
  </si>
  <si>
    <t xml:space="preserve">0000000503311</t>
  </si>
  <si>
    <r>
      <rPr>
        <sz val="11"/>
        <rFont val="WenQuanYi Zen Hei"/>
        <family val="2"/>
      </rPr>
      <t xml:space="preserve">羽須美里山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農産加工</t>
    </r>
    <r>
      <rPr>
        <sz val="11"/>
        <rFont val="游ゴシック"/>
        <family val="0"/>
        <charset val="1"/>
      </rPr>
      <t xml:space="preserve">)</t>
    </r>
  </si>
  <si>
    <t xml:space="preserve">0000000503681</t>
  </si>
  <si>
    <t xml:space="preserve">山里の会栗原ｲﾁ子</t>
  </si>
  <si>
    <t xml:space="preserve">0000000503751</t>
  </si>
  <si>
    <t xml:space="preserve">さんべ食品工業㈱</t>
  </si>
  <si>
    <t xml:space="preserve">0000000503781</t>
  </si>
  <si>
    <r>
      <rPr>
        <sz val="11"/>
        <rFont val="WenQuanYi Zen Hei"/>
        <family val="2"/>
      </rPr>
      <t xml:space="preserve">㈱</t>
    </r>
    <r>
      <rPr>
        <sz val="11"/>
        <rFont val="游ゴシック"/>
        <family val="0"/>
        <charset val="1"/>
      </rPr>
      <t xml:space="preserve">Mui</t>
    </r>
    <r>
      <rPr>
        <sz val="11"/>
        <rFont val="WenQuanYi Zen Hei"/>
        <family val="2"/>
      </rPr>
      <t xml:space="preserve">ﾐｭｰｲ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ｼｯｸｽﾌﾟﾛ</t>
    </r>
    <r>
      <rPr>
        <sz val="11"/>
        <rFont val="游ゴシック"/>
        <family val="0"/>
        <charset val="1"/>
      </rPr>
      <t xml:space="preserve">)</t>
    </r>
  </si>
  <si>
    <t xml:space="preserve">0000000503871</t>
  </si>
  <si>
    <r>
      <rPr>
        <sz val="11"/>
        <rFont val="WenQuanYi Zen Hei"/>
        <family val="2"/>
      </rPr>
      <t xml:space="preserve">上大畑谷日野出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</si>
  <si>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0000000503881</t>
  </si>
  <si>
    <t xml:space="preserve">福村食堂</t>
  </si>
  <si>
    <t xml:space="preserve">0000000504601</t>
  </si>
  <si>
    <t xml:space="preserve">産直市みずほ企業組合</t>
  </si>
  <si>
    <t xml:space="preserve">0000000506081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</si>
  <si>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魚彰</t>
    </r>
  </si>
  <si>
    <t xml:space="preserve">0000000508131</t>
  </si>
  <si>
    <t xml:space="preserve">新田農園</t>
  </si>
  <si>
    <t xml:space="preserve">0000000508191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</si>
  <si>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福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愛香園</t>
    </r>
  </si>
  <si>
    <t xml:space="preserve">0000000508291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</si>
  <si>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垣崎醤油店</t>
    </r>
  </si>
  <si>
    <t xml:space="preserve">0000000508351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</si>
  <si>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みずほ食品</t>
    </r>
  </si>
  <si>
    <t xml:space="preserve">0000000508411</t>
  </si>
  <si>
    <t xml:space="preserve">美郷ﾊﾞﾚｰ･ﾀｲｶﾞｰ㈱</t>
  </si>
  <si>
    <t xml:space="preserve">0000000508431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</si>
  <si>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藤屋</t>
    </r>
  </si>
  <si>
    <t xml:space="preserve">0000000510271</t>
  </si>
  <si>
    <t xml:space="preserve">ｲｹﾓﾄﾀﾞｲﾆﾝｸﾞﾎﾟﾝﾄﾞ池本</t>
  </si>
  <si>
    <t xml:space="preserve">0000000510291</t>
  </si>
  <si>
    <t xml:space="preserve">合同会社ふくのや</t>
  </si>
  <si>
    <t xml:space="preserve">0000000510301</t>
  </si>
  <si>
    <t xml:space="preserve">ﾋﾞﾚｯｼﾞﾌﾟﾗｲﾄﾞ邑学館</t>
  </si>
  <si>
    <t xml:space="preserve">0000000700011</t>
  </si>
  <si>
    <t xml:space="preserve">ﾛｰﾄﾞ銀山</t>
  </si>
  <si>
    <t xml:space="preserve">0000000700031</t>
  </si>
  <si>
    <t xml:space="preserve">尾原貞義商店</t>
  </si>
  <si>
    <t xml:space="preserve">0000000700271</t>
  </si>
  <si>
    <t xml:space="preserve">上野屋蒲鉾店</t>
  </si>
  <si>
    <t xml:space="preserve">0000000700341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</si>
  <si>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奥出雲薔薇園</t>
    </r>
  </si>
  <si>
    <t xml:space="preserve">0000000700431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</si>
  <si>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鳥井</t>
    </r>
  </si>
  <si>
    <t xml:space="preserve">0000000700441</t>
  </si>
  <si>
    <t xml:space="preserve">東西丸森山末美</t>
  </si>
  <si>
    <t xml:space="preserve">0000000700451</t>
  </si>
  <si>
    <t xml:space="preserve">鮮魚中田商店</t>
  </si>
  <si>
    <t xml:space="preserve">0000000700621</t>
  </si>
  <si>
    <t xml:space="preserve">福島鮮魚店</t>
  </si>
  <si>
    <t xml:space="preserve">0000000700731</t>
  </si>
  <si>
    <t xml:space="preserve">森井商店</t>
  </si>
  <si>
    <t xml:space="preserve">0000000700821</t>
  </si>
  <si>
    <t xml:space="preserve">やませ商店</t>
  </si>
  <si>
    <t xml:space="preserve">0000000700861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</si>
  <si>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ﾏﾆﾜ鮮魚</t>
    </r>
  </si>
  <si>
    <t xml:space="preserve">0000000700901</t>
  </si>
  <si>
    <t xml:space="preserve">㈱和田珍味</t>
  </si>
  <si>
    <t xml:space="preserve">0000000701001</t>
  </si>
  <si>
    <t xml:space="preserve">石見銀山農業協同組合</t>
  </si>
  <si>
    <t xml:space="preserve">0000000701211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</si>
  <si>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丸貴商店</t>
    </r>
  </si>
  <si>
    <t xml:space="preserve">0000000703311</t>
  </si>
  <si>
    <t xml:space="preserve">㈲さひめﾗﾝﾄﾞﾘｰ</t>
  </si>
  <si>
    <t xml:space="preserve">0000000703321</t>
  </si>
  <si>
    <t xml:space="preserve">㈱ｻﾝﾏﾙｺ</t>
  </si>
  <si>
    <t xml:space="preserve">0000000703331</t>
  </si>
  <si>
    <t xml:space="preserve">㈱島根ﾘﾈﾝ</t>
  </si>
  <si>
    <t xml:space="preserve">0000000703361</t>
  </si>
  <si>
    <t xml:space="preserve">㈲内藤米穀</t>
  </si>
  <si>
    <t xml:space="preserve">0000000703381</t>
  </si>
  <si>
    <t xml:space="preserve">㈲旭養鶏舎</t>
  </si>
  <si>
    <t xml:space="preserve">0000000703461</t>
  </si>
  <si>
    <t xml:space="preserve">三瓶ﾊﾞｰｶﾞｰ本店</t>
  </si>
  <si>
    <t xml:space="preserve">0000000703601</t>
  </si>
  <si>
    <t xml:space="preserve">ﾊﾟﾅﾍﾞﾘｰﾌｧｰﾑ慶陽</t>
  </si>
  <si>
    <t xml:space="preserve">0000000703611</t>
  </si>
  <si>
    <t xml:space="preserve">㈲山陰食品ｾﾝﾀｰ</t>
  </si>
  <si>
    <t xml:space="preserve">0000000703701</t>
  </si>
  <si>
    <t xml:space="preserve">竹下睦夫</t>
  </si>
  <si>
    <t xml:space="preserve">0000000703831</t>
  </si>
  <si>
    <t xml:space="preserve">㈱ﾊｰﾄﾞﾘｰﾌｸﾘｴｲﾄ</t>
  </si>
  <si>
    <t xml:space="preserve">0000000703841</t>
  </si>
  <si>
    <t xml:space="preserve">山羊ｺｰﾋｰ</t>
  </si>
  <si>
    <t xml:space="preserve">0000000703861</t>
  </si>
  <si>
    <t xml:space="preserve">㈱みちのくﾌｧｰﾑ</t>
  </si>
  <si>
    <t xml:space="preserve">0000000703871</t>
  </si>
  <si>
    <t xml:space="preserve">松下蒲鉾店</t>
  </si>
  <si>
    <t xml:space="preserve">0000000703891</t>
  </si>
  <si>
    <t xml:space="preserve">すし蔵大田店</t>
  </si>
  <si>
    <t xml:space="preserve">0000000703901</t>
  </si>
  <si>
    <t xml:space="preserve">桜彩七ささな</t>
  </si>
  <si>
    <t xml:space="preserve">0000000703911</t>
  </si>
  <si>
    <t xml:space="preserve">ｻﾝｼﾙﾊﾞｰさわらび</t>
  </si>
  <si>
    <t xml:space="preserve">0000000703931</t>
  </si>
  <si>
    <t xml:space="preserve">にこむすび</t>
  </si>
  <si>
    <t xml:space="preserve">0000000703941</t>
  </si>
  <si>
    <t xml:space="preserve">やなぎ水産やましろ屋</t>
  </si>
  <si>
    <t xml:space="preserve">0000000909121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</si>
  <si>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藤屋</t>
    </r>
    <r>
      <rPr>
        <sz val="11"/>
        <rFont val="游ゴシック"/>
        <family val="0"/>
        <charset val="1"/>
      </rPr>
      <t xml:space="preserve">-</t>
    </r>
    <r>
      <rPr>
        <sz val="11"/>
        <rFont val="WenQuanYi Zen Hei"/>
        <family val="2"/>
      </rPr>
      <t xml:space="preserve">機械</t>
    </r>
    <r>
      <rPr>
        <sz val="11"/>
        <rFont val="游ゴシック"/>
        <family val="0"/>
        <charset val="1"/>
      </rPr>
      <t xml:space="preserve">-</t>
    </r>
  </si>
  <si>
    <t xml:space="preserve">0000000120281</t>
  </si>
  <si>
    <t xml:space="preserve">柏村印刷㈱</t>
  </si>
  <si>
    <t xml:space="preserve">0013</t>
  </si>
  <si>
    <t xml:space="preserve">三浦</t>
  </si>
  <si>
    <t xml:space="preserve">0000000301771</t>
  </si>
  <si>
    <t xml:space="preserve">ますだ季の香きのこ</t>
  </si>
  <si>
    <t xml:space="preserve">0000000301781</t>
  </si>
  <si>
    <t xml:space="preserve">湟川鮮魚ほりかわ</t>
  </si>
  <si>
    <t xml:space="preserve">0000000302331</t>
  </si>
  <si>
    <t xml:space="preserve">㈱安正</t>
  </si>
  <si>
    <t xml:space="preserve">0000000399271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</si>
  <si>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福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梅寿会ますだﾊｲﾂ</t>
    </r>
  </si>
  <si>
    <t xml:space="preserve">0000000399321</t>
  </si>
  <si>
    <t xml:space="preserve">㈲鶏卵堂</t>
  </si>
  <si>
    <t xml:space="preserve">0000000620001</t>
  </si>
  <si>
    <t xml:space="preserve">ｷﾇﾔ★</t>
  </si>
  <si>
    <t xml:space="preserve">0000000820131</t>
  </si>
  <si>
    <t xml:space="preserve">高津川ﾘﾊﾞｰﾋﾞｱ㈱</t>
  </si>
  <si>
    <t xml:space="preserve">0000000901941</t>
  </si>
  <si>
    <t xml:space="preserve">㈱あつまる</t>
  </si>
  <si>
    <t xml:space="preserve">0000000901951</t>
  </si>
  <si>
    <t xml:space="preserve">あさひ製菓㈱</t>
  </si>
  <si>
    <t xml:space="preserve">0000000100371</t>
  </si>
  <si>
    <t xml:space="preserve">ｹｰﾋﾟｰ㈱</t>
  </si>
  <si>
    <t xml:space="preserve">0014</t>
  </si>
  <si>
    <t xml:space="preserve">木村</t>
  </si>
  <si>
    <t xml:space="preserve">0000000100431</t>
  </si>
  <si>
    <t xml:space="preserve">㈱ｴﾋﾞｽ</t>
  </si>
  <si>
    <t xml:space="preserve">0000000100611</t>
  </si>
  <si>
    <t xml:space="preserve">かとうすし店※</t>
  </si>
  <si>
    <t xml:space="preserve">0000000100721</t>
  </si>
  <si>
    <t xml:space="preserve">㈱大川清風堂</t>
  </si>
  <si>
    <t xml:space="preserve">0000000100831</t>
  </si>
  <si>
    <t xml:space="preserve">福徳食品㈱</t>
  </si>
  <si>
    <t xml:space="preserve">0000000101381</t>
  </si>
  <si>
    <t xml:space="preserve">島根県水産技術ｾﾝﾀｰ</t>
  </si>
  <si>
    <t xml:space="preserve">0000000101581</t>
  </si>
  <si>
    <t xml:space="preserve">すし蔵浜田店㈱ﾌｧﾝﾃｰﾌ</t>
  </si>
  <si>
    <t xml:space="preserve">0000000101681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</si>
  <si>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ｼﾞｬﾊﾟﾝﾌﾟﾛｼﾞｪｸﾄ</t>
    </r>
  </si>
  <si>
    <t xml:space="preserve">0000000101761</t>
  </si>
  <si>
    <t xml:space="preserve">㈲浜田ﾐﾂﾜ運輸</t>
  </si>
  <si>
    <t xml:space="preserve">0000000102031</t>
  </si>
  <si>
    <t xml:space="preserve">㈱大西ｺﾙｸ下関</t>
  </si>
  <si>
    <t xml:space="preserve">0000000103941</t>
  </si>
  <si>
    <r>
      <rPr>
        <sz val="11"/>
        <rFont val="WenQuanYi Zen Hei"/>
        <family val="2"/>
      </rPr>
      <t xml:space="preserve">浜田市観光協会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ｻﾛﾝ</t>
    </r>
    <r>
      <rPr>
        <sz val="11"/>
        <rFont val="游ゴシック"/>
        <family val="0"/>
        <charset val="1"/>
      </rPr>
      <t xml:space="preserve">)</t>
    </r>
  </si>
  <si>
    <t xml:space="preserve">0000000105001</t>
  </si>
  <si>
    <t xml:space="preserve">九州惣菜ｽｰﾊﾟｰ ﾀﾞｯﾌﾟｽ</t>
  </si>
  <si>
    <t xml:space="preserve">0000000105081</t>
  </si>
  <si>
    <t xml:space="preserve">九州惣菜笠柄花よし</t>
  </si>
  <si>
    <t xml:space="preserve">0000000105171</t>
  </si>
  <si>
    <r>
      <rPr>
        <sz val="11"/>
        <rFont val="WenQuanYi Zen Hei"/>
        <family val="2"/>
      </rPr>
      <t xml:space="preserve">ｴﾑｴｽﾌｰｽﾞ</t>
    </r>
    <r>
      <rPr>
        <sz val="11"/>
        <rFont val="游ゴシック"/>
        <family val="0"/>
        <charset val="1"/>
      </rPr>
      <t xml:space="preserve">6</t>
    </r>
    <r>
      <rPr>
        <sz val="11"/>
        <rFont val="WenQuanYi Zen Hei"/>
        <family val="2"/>
      </rPr>
      <t xml:space="preserve">課</t>
    </r>
    <r>
      <rPr>
        <sz val="11"/>
        <rFont val="游ゴシック"/>
        <family val="0"/>
        <charset val="1"/>
      </rPr>
      <t xml:space="preserve">4063</t>
    </r>
  </si>
  <si>
    <t xml:space="preserve">0000000120071</t>
  </si>
  <si>
    <t xml:space="preserve">石州冷凍協同組合</t>
  </si>
  <si>
    <t xml:space="preserve">0000000120101</t>
  </si>
  <si>
    <t xml:space="preserve">島根合板㈱第一</t>
  </si>
  <si>
    <t xml:space="preserve">0000000190051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</si>
  <si>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装巧舎</t>
    </r>
  </si>
  <si>
    <t xml:space="preserve">0000000200521</t>
  </si>
  <si>
    <t xml:space="preserve">㈱大磯</t>
  </si>
  <si>
    <t xml:space="preserve">0000000201201</t>
  </si>
  <si>
    <r>
      <rPr>
        <sz val="11"/>
        <rFont val="游ゴシック"/>
        <family val="0"/>
        <charset val="1"/>
      </rPr>
      <t xml:space="preserve">※102 </t>
    </r>
    <r>
      <rPr>
        <sz val="11"/>
        <rFont val="WenQuanYi Zen Hei"/>
        <family val="2"/>
      </rPr>
      <t xml:space="preserve">㈱島水</t>
    </r>
  </si>
  <si>
    <t xml:space="preserve">0000000201241</t>
  </si>
  <si>
    <t xml:space="preserve">島根さんれい㈱</t>
  </si>
  <si>
    <t xml:space="preserve">0000000201291</t>
  </si>
  <si>
    <t xml:space="preserve">㈱ｼｰﾗｲﾌ</t>
  </si>
  <si>
    <t xml:space="preserve">0000000201941</t>
  </si>
  <si>
    <t xml:space="preserve">山陰海宝水産</t>
  </si>
  <si>
    <t xml:space="preserve">0000000202161</t>
  </si>
  <si>
    <t xml:space="preserve">㈱えん･ｺﾐｭﾆｹｰｼｮﾝｽﾞ</t>
  </si>
  <si>
    <t xml:space="preserve">0000000202431</t>
  </si>
  <si>
    <r>
      <rPr>
        <sz val="11"/>
        <rFont val="游ゴシック"/>
        <family val="0"/>
        <charset val="1"/>
      </rPr>
      <t xml:space="preserve">310 </t>
    </r>
    <r>
      <rPr>
        <sz val="11"/>
        <rFont val="WenQuanYi Zen Hei"/>
        <family val="2"/>
      </rPr>
      <t xml:space="preserve">㈱</t>
    </r>
    <r>
      <rPr>
        <sz val="11"/>
        <rFont val="游ゴシック"/>
        <family val="0"/>
        <charset val="1"/>
      </rPr>
      <t xml:space="preserve">H.M</t>
    </r>
    <r>
      <rPr>
        <sz val="11"/>
        <rFont val="WenQuanYi Zen Hei"/>
        <family val="2"/>
      </rPr>
      <t xml:space="preserve">ｻﾌﾟﾗｲ</t>
    </r>
  </si>
  <si>
    <t xml:space="preserve">0000000202451</t>
  </si>
  <si>
    <t xml:space="preserve">㈲みなと水産</t>
  </si>
  <si>
    <t xml:space="preserve">0000000300071</t>
  </si>
  <si>
    <t xml:space="preserve">石見空港ﾀｰﾐﾅﾙﾋﾞﾙ</t>
  </si>
  <si>
    <t xml:space="preserve">0000000300081</t>
  </si>
  <si>
    <r>
      <rPr>
        <sz val="11"/>
        <rFont val="WenQuanYi Zen Hei"/>
        <family val="2"/>
      </rPr>
      <t xml:space="preserve">西田和紙工房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ﾚｼﾞ</t>
    </r>
    <r>
      <rPr>
        <sz val="11"/>
        <rFont val="游ゴシック"/>
        <family val="0"/>
        <charset val="1"/>
      </rPr>
      <t xml:space="preserve">*</t>
    </r>
  </si>
  <si>
    <t xml:space="preserve">0000000300101</t>
  </si>
  <si>
    <t xml:space="preserve">伊藤鮮魚店</t>
  </si>
  <si>
    <t xml:space="preserve">0000000300271</t>
  </si>
  <si>
    <t xml:space="preserve">㈲ｵｰｴﾑ産業</t>
  </si>
  <si>
    <t xml:space="preserve">0000000300421</t>
  </si>
  <si>
    <t xml:space="preserve">ちるちる駅前店</t>
  </si>
  <si>
    <t xml:space="preserve">0000000300541</t>
  </si>
  <si>
    <t xml:space="preserve">西田文具店</t>
  </si>
  <si>
    <t xml:space="preserve">0000000300971</t>
  </si>
  <si>
    <t xml:space="preserve">㈱益田ｸｯｷﾝｸﾞﾌｰｽﾞ</t>
  </si>
  <si>
    <t xml:space="preserve">0000000301041</t>
  </si>
  <si>
    <t xml:space="preserve">㈱観光農園ｽｶｲﾌｧｰﾑ</t>
  </si>
  <si>
    <t xml:space="preserve">0000000301181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</si>
  <si>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しまねﾒﾓﾘｱﾙｾﾝﾀｰ</t>
    </r>
  </si>
  <si>
    <t xml:space="preserve">0000000301251</t>
  </si>
  <si>
    <t xml:space="preserve">高津川漁業協同組合</t>
  </si>
  <si>
    <t xml:space="preserve">0000000301261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</si>
  <si>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合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農夢</t>
    </r>
  </si>
  <si>
    <t xml:space="preserve">0000000301421</t>
  </si>
  <si>
    <t xml:space="preserve">島根県立益田養護学校</t>
  </si>
  <si>
    <t xml:space="preserve">0000000301431</t>
  </si>
  <si>
    <t xml:space="preserve">県立益田翔陽高校</t>
  </si>
  <si>
    <t xml:space="preserve">0000000301481</t>
  </si>
  <si>
    <r>
      <rPr>
        <sz val="11"/>
        <rFont val="游ゴシック"/>
        <family val="0"/>
        <charset val="1"/>
      </rPr>
      <t xml:space="preserve">CANDY</t>
    </r>
    <r>
      <rPr>
        <sz val="11"/>
        <rFont val="WenQuanYi Zen Hei"/>
        <family val="2"/>
      </rPr>
      <t xml:space="preserve">ｷｬﾝﾃﾞ千両まんじ</t>
    </r>
  </si>
  <si>
    <t xml:space="preserve">0000000301511</t>
  </si>
  <si>
    <t xml:space="preserve">千舎の木</t>
  </si>
  <si>
    <t xml:space="preserve">0000000301521</t>
  </si>
  <si>
    <t xml:space="preserve">益田興産㈱苺</t>
  </si>
  <si>
    <t xml:space="preserve">0000000301651</t>
  </si>
  <si>
    <t xml:space="preserve">益田ｸｯｷﾝｸﾞｻｸﾗｷｯﾁﾝ</t>
  </si>
  <si>
    <t xml:space="preserve">0000000301671</t>
  </si>
  <si>
    <t xml:space="preserve">益田ｸｯｷﾝｸｻｸﾗｷｯﾁﾝ消耗</t>
  </si>
  <si>
    <t xml:space="preserve">0000000301701</t>
  </si>
  <si>
    <t xml:space="preserve">益田興産㈱柿ﾌｧｰﾑ</t>
  </si>
  <si>
    <t xml:space="preserve">0000000301711</t>
  </si>
  <si>
    <t xml:space="preserve">都野守農園</t>
  </si>
  <si>
    <t xml:space="preserve">0000000301731</t>
  </si>
  <si>
    <t xml:space="preserve">益田興産空港はちみつ</t>
  </si>
  <si>
    <t xml:space="preserve">0000000301741</t>
  </si>
  <si>
    <t xml:space="preserve">おかず処あんのえき</t>
  </si>
  <si>
    <t xml:space="preserve">0000000301761</t>
  </si>
  <si>
    <r>
      <rPr>
        <sz val="11"/>
        <rFont val="WenQuanYi Zen Hei"/>
        <family val="2"/>
      </rPr>
      <t xml:space="preserve">益田ｸｯｷﾝｸﾞｸｯｸ</t>
    </r>
    <r>
      <rPr>
        <sz val="11"/>
        <rFont val="游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号消耗</t>
    </r>
  </si>
  <si>
    <t xml:space="preserve">0000000302021</t>
  </si>
  <si>
    <t xml:space="preserve">すし蔵益田店</t>
  </si>
  <si>
    <t xml:space="preserve">0000000302151</t>
  </si>
  <si>
    <t xml:space="preserve">益田青果㈱</t>
  </si>
  <si>
    <t xml:space="preserve">0000000302311</t>
  </si>
  <si>
    <t xml:space="preserve">黒沢まちづくり委員会</t>
  </si>
  <si>
    <t xml:space="preserve">0000000302321</t>
  </si>
  <si>
    <t xml:space="preserve">ﾚｽﾄﾗﾝｱﾝﾉ</t>
  </si>
  <si>
    <t xml:space="preserve">0000000302341</t>
  </si>
  <si>
    <t xml:space="preserve">ｷｰﾊﾟｰ㈱三隅工場</t>
  </si>
  <si>
    <t xml:space="preserve">0000000304031</t>
  </si>
  <si>
    <r>
      <rPr>
        <sz val="11"/>
        <rFont val="WenQuanYi Zen Hei"/>
        <family val="2"/>
      </rPr>
      <t xml:space="preserve">九州惣菜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ｺｰﾌﾟﾗﾎﾟ店</t>
    </r>
  </si>
  <si>
    <t xml:space="preserve">0000000305051</t>
  </si>
  <si>
    <r>
      <rPr>
        <sz val="11"/>
        <rFont val="WenQuanYi Zen Hei"/>
        <family val="2"/>
      </rPr>
      <t xml:space="preserve">九州惣菜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ｺｰﾌﾟ益田中</t>
    </r>
  </si>
  <si>
    <t xml:space="preserve">0000000305071</t>
  </si>
  <si>
    <r>
      <rPr>
        <sz val="11"/>
        <rFont val="WenQuanYi Zen Hei"/>
        <family val="2"/>
      </rPr>
      <t xml:space="preserve">九州惣菜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ｺｰﾌﾟみすみ</t>
    </r>
  </si>
  <si>
    <t xml:space="preserve">0000000305091</t>
  </si>
  <si>
    <t xml:space="preserve">九州惣菜ｻﾝﾌﾟﾗﾑ</t>
  </si>
  <si>
    <t xml:space="preserve">0000000396021</t>
  </si>
  <si>
    <t xml:space="preserve">有限会社  真砂</t>
  </si>
  <si>
    <t xml:space="preserve">0000000396041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</si>
  <si>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光明堂</t>
    </r>
  </si>
  <si>
    <t xml:space="preserve">0000000396061</t>
  </si>
  <si>
    <t xml:space="preserve">㈱高津川倶楽部</t>
  </si>
  <si>
    <t xml:space="preserve">0000000396071</t>
  </si>
  <si>
    <t xml:space="preserve">㈱岡田屋本店</t>
  </si>
  <si>
    <t xml:space="preserve">0000000396091</t>
  </si>
  <si>
    <t xml:space="preserve">都吹㈱島根工場</t>
  </si>
  <si>
    <t xml:space="preserve">0000000396101</t>
  </si>
  <si>
    <t xml:space="preserve">ｶﾂﾃﾞﾝ㈱島根益田</t>
  </si>
  <si>
    <t xml:space="preserve">0000000396111</t>
  </si>
  <si>
    <t xml:space="preserve">ﾄﾐｽ商店</t>
  </si>
  <si>
    <t xml:space="preserve">0000000396131</t>
  </si>
  <si>
    <t xml:space="preserve">㈲たちばな</t>
  </si>
  <si>
    <t xml:space="preserve">0000000399211</t>
  </si>
  <si>
    <t xml:space="preserve">ますだや</t>
  </si>
  <si>
    <t xml:space="preserve">0000000399241</t>
  </si>
  <si>
    <t xml:space="preserve">大元気㈱持石海陽王国</t>
  </si>
  <si>
    <t xml:space="preserve">0000000399261</t>
  </si>
  <si>
    <t xml:space="preserve">空と小さな屋根の農園</t>
  </si>
  <si>
    <t xml:space="preserve">0000000399311</t>
  </si>
  <si>
    <t xml:space="preserve">ｷｯﾁﾝｶｰﾘﾍﾞﾛ</t>
  </si>
  <si>
    <t xml:space="preserve">0000000399341</t>
  </si>
  <si>
    <t xml:space="preserve">㈱ｷｭｰｻｲﾌｧｰﾑ島根</t>
  </si>
  <si>
    <t xml:space="preserve">0000000400021</t>
  </si>
  <si>
    <t xml:space="preserve">すし蔵江津店</t>
  </si>
  <si>
    <t xml:space="preserve">0000000400971</t>
  </si>
  <si>
    <t xml:space="preserve">㈱丸新明石本社</t>
  </si>
  <si>
    <t xml:space="preserve">0000000420001</t>
  </si>
  <si>
    <r>
      <rPr>
        <sz val="11"/>
        <rFont val="WenQuanYi Zen Hei"/>
        <family val="2"/>
      </rPr>
      <t xml:space="preserve">九州惣菜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ｺｰﾌﾟごうつ</t>
    </r>
  </si>
  <si>
    <t xml:space="preserve">0000000420041</t>
  </si>
  <si>
    <r>
      <rPr>
        <sz val="11"/>
        <rFont val="WenQuanYi Zen Hei"/>
        <family val="2"/>
      </rPr>
      <t xml:space="preserve">九州惣菜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ｺｰﾌﾟ川本</t>
    </r>
  </si>
  <si>
    <t xml:space="preserve">0000000420081</t>
  </si>
  <si>
    <r>
      <rPr>
        <sz val="11"/>
        <rFont val="WenQuanYi Zen Hei"/>
        <family val="2"/>
      </rPr>
      <t xml:space="preserve">九州惣菜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ｺｰﾌﾟいわみ</t>
    </r>
  </si>
  <si>
    <t xml:space="preserve">0000000500451</t>
  </si>
  <si>
    <t xml:space="preserve">西いわみ地区本部資材</t>
  </si>
  <si>
    <t xml:space="preserve">0000000500981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</si>
  <si>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匹見加工場わさび</t>
    </r>
  </si>
  <si>
    <t xml:space="preserve">0000000501051</t>
  </si>
  <si>
    <t xml:space="preserve">益田市社会福祉協匹見</t>
  </si>
  <si>
    <t xml:space="preserve">0000000504741</t>
  </si>
  <si>
    <t xml:space="preserve">㈲岡村工務店</t>
  </si>
  <si>
    <t xml:space="preserve">0000000506031</t>
  </si>
  <si>
    <r>
      <rPr>
        <sz val="11"/>
        <rFont val="WenQuanYi Zen Hei"/>
        <family val="2"/>
      </rPr>
      <t xml:space="preserve">日和高原の里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</si>
  <si>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0000000508011</t>
  </si>
  <si>
    <t xml:space="preserve">㈲生垣産業</t>
  </si>
  <si>
    <t xml:space="preserve">0000000508101</t>
  </si>
  <si>
    <t xml:space="preserve">㈱沙羅の木</t>
  </si>
  <si>
    <t xml:space="preserve">0000000508151</t>
  </si>
  <si>
    <t xml:space="preserve">㈱美加登家</t>
  </si>
  <si>
    <t xml:space="preserve">0000000508211</t>
  </si>
  <si>
    <t xml:space="preserve">吉賀町農業公社やくろ</t>
  </si>
  <si>
    <t xml:space="preserve">0000000508371</t>
  </si>
  <si>
    <t xml:space="preserve">障がい者就労ｱｽﾉﾜ</t>
  </si>
  <si>
    <t xml:space="preserve">0000000508381</t>
  </si>
  <si>
    <t xml:space="preserve">㈱美都森林</t>
  </si>
  <si>
    <t xml:space="preserve">0000000508441</t>
  </si>
  <si>
    <t xml:space="preserve">きくつぎﾌｧｰﾑ</t>
  </si>
  <si>
    <t xml:space="preserve">0000000820031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</si>
  <si>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やさか共同農場</t>
    </r>
  </si>
  <si>
    <t xml:space="preserve">0000000820051</t>
  </si>
  <si>
    <t xml:space="preserve">えんや歯科ｸﾘﾆｯｸ</t>
  </si>
  <si>
    <t xml:space="preserve">0000000820061</t>
  </si>
  <si>
    <t xml:space="preserve">㈱石田弥太郎商店</t>
  </si>
  <si>
    <t xml:space="preserve">0000000820091</t>
  </si>
  <si>
    <t xml:space="preserve">どぶろく工房清成</t>
  </si>
  <si>
    <t xml:space="preserve">0000000820141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</si>
  <si>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同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高津川ﾌｧｰﾑ</t>
    </r>
  </si>
  <si>
    <t xml:space="preserve">0000000900321</t>
  </si>
  <si>
    <t xml:space="preserve">㈱ﾓﾙﾃﾝﾒﾃﾞｨｶﾙ</t>
  </si>
  <si>
    <t xml:space="preserve">0000000900351</t>
  </si>
  <si>
    <t xml:space="preserve">ﾓﾙﾃﾝ購買部</t>
  </si>
  <si>
    <t xml:space="preserve">0000000900361</t>
  </si>
  <si>
    <t xml:space="preserve">㈱ﾓﾙﾃﾝ美土里</t>
  </si>
  <si>
    <t xml:space="preserve">0000000900441</t>
  </si>
  <si>
    <t xml:space="preserve">ｱｰｹﾑﾋﾞｼﾞﾈｽｼﾞｬﾊﾟﾝ㈱</t>
  </si>
  <si>
    <t xml:space="preserve">0000000900521</t>
  </si>
  <si>
    <t xml:space="preserve">住野工業㈱</t>
  </si>
  <si>
    <t xml:space="preserve">0000000900531</t>
  </si>
  <si>
    <t xml:space="preserve">徳山産業㈱</t>
  </si>
  <si>
    <t xml:space="preserve">0000000900601</t>
  </si>
  <si>
    <t xml:space="preserve">㈱ﾊｲﾚｯｸｽ島根</t>
  </si>
  <si>
    <t xml:space="preserve">0000000900621</t>
  </si>
  <si>
    <t xml:space="preserve">㈲かわすみ</t>
  </si>
  <si>
    <t xml:space="preserve">0000000900781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</si>
  <si>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全農ﾐｰﾄﾌｰｽﾞ㈱</t>
    </r>
  </si>
  <si>
    <t xml:space="preserve">0000000900841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</si>
  <si>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渋谷塗装店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</si>
  <si>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0000000901001</t>
  </si>
  <si>
    <r>
      <rPr>
        <sz val="11"/>
        <rFont val="WenQuanYi Zen Hei"/>
        <family val="2"/>
      </rPr>
      <t xml:space="preserve">広島第一ﾌﾞﾛｯｸ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協</t>
    </r>
    <r>
      <rPr>
        <sz val="11"/>
        <rFont val="游ゴシック"/>
        <family val="0"/>
        <charset val="1"/>
      </rPr>
      <t xml:space="preserve">)</t>
    </r>
  </si>
  <si>
    <t xml:space="preserve">0000000901361</t>
  </si>
  <si>
    <t xml:space="preserve">㈱益田ｸｯｷﾝｸﾞ機械</t>
  </si>
  <si>
    <t xml:space="preserve">0000000901621</t>
  </si>
  <si>
    <t xml:space="preserve">ﾄｰﾎｰ㈱広島工場</t>
  </si>
  <si>
    <t xml:space="preserve">0000000901901</t>
  </si>
  <si>
    <t xml:space="preserve">㈱たまがわ</t>
  </si>
  <si>
    <t xml:space="preserve">0000000901961</t>
  </si>
  <si>
    <t xml:space="preserve">日化ﾎﾟﾘﾏｰ中国㈱</t>
  </si>
  <si>
    <t xml:space="preserve">0000000901981</t>
  </si>
  <si>
    <t xml:space="preserve">㈱きたひろ市場響ﾋﾋﾞｷ</t>
  </si>
  <si>
    <t xml:space="preserve">0000000902011</t>
  </si>
  <si>
    <t xml:space="preserve">㈱ｴﾝｳﾞｨｼﾞｮﾝ</t>
  </si>
  <si>
    <t xml:space="preserve">0000000902091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</si>
  <si>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林風月堂</t>
    </r>
  </si>
  <si>
    <t xml:space="preserve">0000000902211</t>
  </si>
  <si>
    <t xml:space="preserve">㈱ﾐｸﾛﾝﾌﾟﾗｽﾁｯｸｽ</t>
  </si>
  <si>
    <t xml:space="preserve">0000000909031</t>
  </si>
  <si>
    <r>
      <rPr>
        <sz val="11"/>
        <rFont val="WenQuanYi Zen Hei"/>
        <family val="2"/>
      </rPr>
      <t xml:space="preserve">㈱大磯</t>
    </r>
    <r>
      <rPr>
        <sz val="11"/>
        <rFont val="游ゴシック"/>
        <family val="0"/>
        <charset val="1"/>
      </rPr>
      <t xml:space="preserve">-</t>
    </r>
    <r>
      <rPr>
        <sz val="11"/>
        <rFont val="WenQuanYi Zen Hei"/>
        <family val="2"/>
      </rPr>
      <t xml:space="preserve">機械</t>
    </r>
    <r>
      <rPr>
        <sz val="11"/>
        <rFont val="游ゴシック"/>
        <family val="0"/>
        <charset val="1"/>
      </rPr>
      <t xml:space="preserve">-</t>
    </r>
  </si>
  <si>
    <t xml:space="preserve">0000000000341</t>
  </si>
  <si>
    <r>
      <rPr>
        <sz val="11"/>
        <rFont val="游ゴシック"/>
        <family val="0"/>
        <charset val="1"/>
      </rPr>
      <t xml:space="preserve">153 </t>
    </r>
    <r>
      <rPr>
        <sz val="11"/>
        <rFont val="WenQuanYi Zen Hei"/>
        <family val="2"/>
      </rPr>
      <t xml:space="preserve">新家商店</t>
    </r>
  </si>
  <si>
    <t xml:space="preserve">0017</t>
  </si>
  <si>
    <t xml:space="preserve">鮮魚</t>
  </si>
  <si>
    <t xml:space="preserve">0000000090221</t>
  </si>
  <si>
    <t xml:space="preserve">西部農林水産振興ｾﾝﾀｰ</t>
  </si>
  <si>
    <t xml:space="preserve">0000000103121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</si>
  <si>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浜田運送</t>
    </r>
  </si>
  <si>
    <t xml:space="preserve">0000000202131</t>
  </si>
  <si>
    <r>
      <rPr>
        <sz val="11"/>
        <rFont val="游ゴシック"/>
        <family val="0"/>
        <charset val="1"/>
      </rPr>
      <t xml:space="preserve">220 </t>
    </r>
    <r>
      <rPr>
        <sz val="11"/>
        <rFont val="WenQuanYi Zen Hei"/>
        <family val="2"/>
      </rPr>
      <t xml:space="preserve">福田水産㈱</t>
    </r>
  </si>
  <si>
    <t xml:space="preserve">0000000202471</t>
  </si>
  <si>
    <t xml:space="preserve">㈱浜田あけぼの水産</t>
  </si>
  <si>
    <t xml:space="preserve">0000000202601</t>
  </si>
  <si>
    <r>
      <rPr>
        <sz val="11"/>
        <rFont val="游ゴシック"/>
        <family val="0"/>
        <charset val="1"/>
      </rPr>
      <t xml:space="preserve">103</t>
    </r>
    <r>
      <rPr>
        <sz val="11"/>
        <rFont val="WenQuanYi Zen Hei"/>
        <family val="2"/>
      </rPr>
      <t xml:space="preserve">㈲山本一枝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鮮魚</t>
    </r>
    <r>
      <rPr>
        <sz val="11"/>
        <rFont val="游ゴシック"/>
        <family val="0"/>
        <charset val="1"/>
      </rPr>
      <t xml:space="preserve">)</t>
    </r>
  </si>
  <si>
    <t xml:space="preserve">0000000202891</t>
  </si>
  <si>
    <t xml:space="preserve">㈱かもしま資材</t>
  </si>
  <si>
    <t xml:space="preserve">0000000820021</t>
  </si>
  <si>
    <r>
      <rPr>
        <sz val="11"/>
        <rFont val="游ゴシック"/>
        <family val="0"/>
        <charset val="1"/>
      </rPr>
      <t xml:space="preserve">116</t>
    </r>
    <r>
      <rPr>
        <sz val="11"/>
        <rFont val="WenQuanYi Zen Hei"/>
        <family val="2"/>
      </rPr>
      <t xml:space="preserve">ﾏﾙｾｲ商店 ｽﾁﾛｰﾙ他</t>
    </r>
  </si>
  <si>
    <t xml:space="preserve">0000000000011</t>
  </si>
  <si>
    <t xml:space="preserve">現金</t>
  </si>
  <si>
    <t xml:space="preserve">0019</t>
  </si>
  <si>
    <t xml:space="preserve">その他</t>
  </si>
  <si>
    <t xml:space="preserve">0000000000031</t>
  </si>
  <si>
    <r>
      <rPr>
        <sz val="11"/>
        <rFont val="WenQuanYi Zen Hei"/>
        <family val="2"/>
      </rPr>
      <t xml:space="preserve">現金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営業</t>
    </r>
    <r>
      <rPr>
        <sz val="11"/>
        <rFont val="游ゴシック"/>
        <family val="0"/>
        <charset val="1"/>
      </rPr>
      <t xml:space="preserve">)</t>
    </r>
  </si>
  <si>
    <t xml:space="preserve">0000000009001</t>
  </si>
  <si>
    <t xml:space="preserve">㈱ｴﾌﾋﾟｺ ﾍﾟｯﾄﾎﾞﾄﾙ回収</t>
  </si>
  <si>
    <t xml:space="preserve">0000000090011</t>
  </si>
  <si>
    <r>
      <rPr>
        <sz val="11"/>
        <rFont val="WenQuanYi Zen Hei"/>
        <family val="2"/>
      </rPr>
      <t xml:space="preserve">杉の森ﾃﾞｲｻｰﾋﾞｽ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</si>
  <si>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0000000090061</t>
  </si>
  <si>
    <t xml:space="preserve">金城支所産業建設課</t>
  </si>
  <si>
    <t xml:space="preserve">0000000090091</t>
  </si>
  <si>
    <t xml:space="preserve">浜田市社会福祉協金城</t>
  </si>
  <si>
    <t xml:space="preserve">0000000090131</t>
  </si>
  <si>
    <t xml:space="preserve">土井屋</t>
  </si>
  <si>
    <t xml:space="preserve">0000000100601</t>
  </si>
  <si>
    <r>
      <rPr>
        <sz val="11"/>
        <rFont val="WenQuanYi Zen Hei"/>
        <family val="2"/>
      </rPr>
      <t xml:space="preserve">大下船具店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ﾚｼﾞ</t>
    </r>
    <r>
      <rPr>
        <sz val="11"/>
        <rFont val="游ゴシック"/>
        <family val="0"/>
        <charset val="1"/>
      </rPr>
      <t xml:space="preserve">*</t>
    </r>
  </si>
  <si>
    <t xml:space="preserve">0000000100751</t>
  </si>
  <si>
    <r>
      <rPr>
        <sz val="11"/>
        <rFont val="WenQuanYi Zen Hei"/>
        <family val="2"/>
      </rPr>
      <t xml:space="preserve">くいしん坊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ﾚｼﾞ</t>
    </r>
    <r>
      <rPr>
        <sz val="11"/>
        <rFont val="游ゴシック"/>
        <family val="0"/>
        <charset val="1"/>
      </rPr>
      <t xml:space="preserve">*</t>
    </r>
  </si>
  <si>
    <t xml:space="preserve">0000000101101</t>
  </si>
  <si>
    <t xml:space="preserve">ｽｰﾊﾟｰさいとう</t>
  </si>
  <si>
    <t xml:space="preserve">0000000120181</t>
  </si>
  <si>
    <r>
      <rPr>
        <sz val="11"/>
        <rFont val="WenQuanYi Zen Hei"/>
        <family val="2"/>
      </rPr>
      <t xml:space="preserve">むさしの 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ﾚｼﾞ</t>
    </r>
    <r>
      <rPr>
        <sz val="11"/>
        <rFont val="游ゴシック"/>
        <family val="0"/>
        <charset val="1"/>
      </rPr>
      <t xml:space="preserve">*</t>
    </r>
  </si>
  <si>
    <t xml:space="preserve">0000000190041</t>
  </si>
  <si>
    <r>
      <rPr>
        <sz val="11"/>
        <rFont val="WenQuanYi Zen Hei"/>
        <family val="2"/>
      </rPr>
      <t xml:space="preserve">ｸﾞﾘｰﾝｽﾎﾟｯﾄ</t>
    </r>
    <r>
      <rPr>
        <sz val="11"/>
        <rFont val="游ゴシック"/>
        <family val="0"/>
        <charset val="1"/>
      </rPr>
      <t xml:space="preserve">F  *</t>
    </r>
    <r>
      <rPr>
        <sz val="11"/>
        <rFont val="WenQuanYi Zen Hei"/>
        <family val="2"/>
      </rPr>
      <t xml:space="preserve">ﾚｼﾞ</t>
    </r>
    <r>
      <rPr>
        <sz val="11"/>
        <rFont val="游ゴシック"/>
        <family val="0"/>
        <charset val="1"/>
      </rPr>
      <t xml:space="preserve">*</t>
    </r>
  </si>
  <si>
    <t xml:space="preserve">0000000500191</t>
  </si>
  <si>
    <t xml:space="preserve">あられの会</t>
  </si>
  <si>
    <t xml:space="preserve">0000000501011</t>
  </si>
  <si>
    <t xml:space="preserve">くるみ邑美園</t>
  </si>
  <si>
    <t xml:space="preserve">0000000501021</t>
  </si>
  <si>
    <t xml:space="preserve">瑞穂りんご生産組加工</t>
  </si>
  <si>
    <t xml:space="preserve">0000000501421</t>
  </si>
  <si>
    <r>
      <rPr>
        <sz val="11"/>
        <rFont val="WenQuanYi Zen Hei"/>
        <family val="2"/>
      </rPr>
      <t xml:space="preserve">県立石見養護学校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</si>
  <si>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0000000510211</t>
  </si>
  <si>
    <t xml:space="preserve">平成建設㈲</t>
  </si>
  <si>
    <t xml:space="preserve">0000000510341</t>
  </si>
  <si>
    <r>
      <rPr>
        <sz val="11"/>
        <rFont val="WenQuanYi Zen Hei"/>
        <family val="2"/>
      </rPr>
      <t xml:space="preserve">島根県立矢上高校 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運</t>
    </r>
  </si>
  <si>
    <t xml:space="preserve">0000000900101</t>
  </si>
  <si>
    <t xml:space="preserve">境港魚凾㈱</t>
  </si>
  <si>
    <t xml:space="preserve">0000000900311</t>
  </si>
  <si>
    <t xml:space="preserve">㈱積水化成品西部</t>
  </si>
  <si>
    <t xml:space="preserve">0000000902241</t>
  </si>
  <si>
    <t xml:space="preserve">㈱ｷｮｳﾜ</t>
  </si>
  <si>
    <t xml:space="preserve">0000000908501</t>
  </si>
  <si>
    <r>
      <rPr>
        <sz val="11"/>
        <rFont val="WenQuanYi Zen Hei"/>
        <family val="2"/>
      </rPr>
      <t xml:space="preserve">仕出し料理食楽</t>
    </r>
    <r>
      <rPr>
        <sz val="11"/>
        <rFont val="游ゴシック"/>
        <family val="0"/>
        <charset val="1"/>
      </rPr>
      <t xml:space="preserve">*</t>
    </r>
    <r>
      <rPr>
        <sz val="11"/>
        <rFont val="WenQuanYi Zen Hei"/>
        <family val="2"/>
      </rPr>
      <t xml:space="preserve">ﾚｼﾞ</t>
    </r>
    <r>
      <rPr>
        <sz val="11"/>
        <rFont val="游ゴシック"/>
        <family val="0"/>
        <charset val="1"/>
      </rPr>
      <t xml:space="preserve">*</t>
    </r>
  </si>
  <si>
    <t xml:space="preserve">0000000101751</t>
  </si>
  <si>
    <t xml:space="preserve">浜田市長三浦大紀</t>
  </si>
  <si>
    <t xml:space="preserve">0020</t>
  </si>
  <si>
    <t xml:space="preserve">自治体</t>
  </si>
  <si>
    <t xml:space="preserve">0000000101871</t>
  </si>
  <si>
    <t xml:space="preserve">浜田市教育委員会</t>
  </si>
  <si>
    <t xml:space="preserve">0000000703521</t>
  </si>
  <si>
    <t xml:space="preserve">大田市ごみ袋</t>
  </si>
  <si>
    <t xml:space="preserve">0000000100682</t>
  </si>
  <si>
    <t xml:space="preserve">深川養鶏田屋</t>
  </si>
  <si>
    <t xml:space="preserve">0021</t>
  </si>
  <si>
    <t xml:space="preserve">高橋所長</t>
  </si>
  <si>
    <t xml:space="preserve">下関</t>
  </si>
  <si>
    <t xml:space="preserve">0000000101112</t>
  </si>
  <si>
    <t xml:space="preserve">ﾌｼﾞﾐﾂ㈱</t>
  </si>
  <si>
    <t xml:space="preserve">0000000101202</t>
  </si>
  <si>
    <t xml:space="preserve">㈱ﾔﾏﾓ水産</t>
  </si>
  <si>
    <t xml:space="preserve">0000000101232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</si>
  <si>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森本商店</t>
    </r>
  </si>
  <si>
    <t xml:space="preserve">0000000101242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</si>
  <si>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海人 門司港本店</t>
    </r>
  </si>
  <si>
    <t xml:space="preserve">0000000101272</t>
  </si>
  <si>
    <t xml:space="preserve">海転からと市場寿司</t>
  </si>
  <si>
    <t xml:space="preserve">0000000101752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</si>
  <si>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萩陶苑</t>
    </r>
  </si>
  <si>
    <t xml:space="preserve">0000000101762</t>
  </si>
  <si>
    <t xml:space="preserve">㈱ﾅｶｵ</t>
  </si>
  <si>
    <t xml:space="preserve">0000000101972</t>
  </si>
  <si>
    <t xml:space="preserve">山陽食品工業㈱</t>
  </si>
  <si>
    <t xml:space="preserve">0000000102102</t>
  </si>
  <si>
    <t xml:space="preserve">㈱土晃</t>
  </si>
  <si>
    <t xml:space="preserve">0000000102302</t>
  </si>
  <si>
    <t xml:space="preserve">㈱山京</t>
  </si>
  <si>
    <t xml:space="preserve">0000000102492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</si>
  <si>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協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萩大井浦加工場</t>
    </r>
  </si>
  <si>
    <t xml:space="preserve">0000000102522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</si>
  <si>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山口県 虹工房</t>
    </r>
  </si>
  <si>
    <t xml:space="preserve">0000000103002</t>
  </si>
  <si>
    <t xml:space="preserve">田原陶兵衛工房</t>
  </si>
  <si>
    <t xml:space="preserve">0000000103062</t>
  </si>
  <si>
    <t xml:space="preserve">湯本温泉旅館組合</t>
  </si>
  <si>
    <t xml:space="preserve">0000000103082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</si>
  <si>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松本商店</t>
    </r>
  </si>
  <si>
    <t xml:space="preserve">0000000103102</t>
  </si>
  <si>
    <t xml:space="preserve">㈱井上商店 油谷工場</t>
  </si>
  <si>
    <t xml:space="preserve">0000000103162</t>
  </si>
  <si>
    <t xml:space="preserve">㈱国近商店</t>
  </si>
  <si>
    <t xml:space="preserve">0000000103252</t>
  </si>
  <si>
    <t xml:space="preserve">海鮮村北長門本店</t>
  </si>
  <si>
    <t xml:space="preserve">0000000103412</t>
  </si>
  <si>
    <t xml:space="preserve">松村産業㈱</t>
  </si>
  <si>
    <t xml:space="preserve">0000000103452</t>
  </si>
  <si>
    <t xml:space="preserve">㈱増野海産</t>
  </si>
  <si>
    <t xml:space="preserve">0000000103462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</si>
  <si>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新友商店</t>
    </r>
  </si>
  <si>
    <t xml:space="preserve">0000000103492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</si>
  <si>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梅乃葉</t>
    </r>
  </si>
  <si>
    <t xml:space="preserve">0000000103782</t>
  </si>
  <si>
    <t xml:space="preserve">からあげやｶﾘｯｼﾞｭ萩店</t>
  </si>
  <si>
    <t xml:space="preserve">0000000103802</t>
  </si>
  <si>
    <t xml:space="preserve">ﾌｼﾞﾐﾂ㈱美祢事業所</t>
  </si>
  <si>
    <t xml:space="preserve">0000000104002</t>
  </si>
  <si>
    <t xml:space="preserve">ごろうのはたけ</t>
  </si>
  <si>
    <t xml:space="preserve">0000000104082</t>
  </si>
  <si>
    <t xml:space="preserve">下関唐戸魚市場仲卸</t>
  </si>
  <si>
    <t xml:space="preserve">0000000104092</t>
  </si>
  <si>
    <t xml:space="preserve">㈱奈良魚市</t>
  </si>
  <si>
    <t xml:space="preserve">0000000104112</t>
  </si>
  <si>
    <t xml:space="preserve">㈱広松</t>
  </si>
  <si>
    <t xml:space="preserve">0000000104132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</si>
  <si>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協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萩製氷冷蔵工場</t>
    </r>
  </si>
  <si>
    <t xml:space="preserve">0000000104392</t>
  </si>
  <si>
    <t xml:space="preserve">ﾍﾟﾌﾟﾁﾄﾞﾘｯﾌﾟ㈱</t>
  </si>
  <si>
    <t xml:space="preserve">0000000104412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</si>
  <si>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木嶋製麺所</t>
    </r>
  </si>
  <si>
    <t xml:space="preserve">0000000104442</t>
  </si>
  <si>
    <r>
      <rPr>
        <sz val="11"/>
        <rFont val="WenQuanYi Zen Hei"/>
        <family val="2"/>
      </rPr>
      <t xml:space="preserve">ﾏﾙﾔﾏ水産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</si>
  <si>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0000000104472</t>
  </si>
  <si>
    <t xml:space="preserve">五つ星はぎ</t>
  </si>
  <si>
    <t xml:space="preserve">0000000104612</t>
  </si>
  <si>
    <t xml:space="preserve">㈱清てん</t>
  </si>
  <si>
    <t xml:space="preserve">0000000101182</t>
  </si>
  <si>
    <t xml:space="preserve">㈱山賀</t>
  </si>
  <si>
    <t xml:space="preserve">0024</t>
  </si>
  <si>
    <t xml:space="preserve">東野</t>
  </si>
  <si>
    <t xml:space="preserve">0000000101562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</si>
  <si>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伊東繁商店</t>
    </r>
  </si>
  <si>
    <t xml:space="preserve">0000000101612</t>
  </si>
  <si>
    <t xml:space="preserve">瓜生美和商店</t>
  </si>
  <si>
    <t xml:space="preserve">0000000101652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</si>
  <si>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村田豊商店</t>
    </r>
  </si>
  <si>
    <t xml:space="preserve">0000000101772</t>
  </si>
  <si>
    <t xml:space="preserve">㈱永野商店</t>
  </si>
  <si>
    <t xml:space="preserve">0000000101982</t>
  </si>
  <si>
    <t xml:space="preserve">㈱ﾀﾞｲﾌｸ</t>
  </si>
  <si>
    <t xml:space="preserve">0000000102002</t>
  </si>
  <si>
    <r>
      <rPr>
        <sz val="11"/>
        <rFont val="WenQuanYi Zen Hei"/>
        <family val="2"/>
      </rPr>
      <t xml:space="preserve">日本ﾏﾘﾝﾌｰｽﾞ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</si>
  <si>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0000000102022</t>
  </si>
  <si>
    <t xml:space="preserve">㈱蟹屋</t>
  </si>
  <si>
    <t xml:space="preserve">0000000102242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</si>
  <si>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合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おさかなﾌｰｽﾞ</t>
    </r>
  </si>
  <si>
    <t xml:space="preserve">0000000102252</t>
  </si>
  <si>
    <t xml:space="preserve">林兼冷蔵㈱</t>
  </si>
  <si>
    <t xml:space="preserve">0000000102442</t>
  </si>
  <si>
    <t xml:space="preserve">㈱長門製作所電機工場</t>
  </si>
  <si>
    <t xml:space="preserve">0000000102572</t>
  </si>
  <si>
    <t xml:space="preserve">㈱ｾｲｼﾝ企業</t>
  </si>
  <si>
    <t xml:space="preserve">0000000102682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</si>
  <si>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伊藤商店</t>
    </r>
  </si>
  <si>
    <t xml:space="preserve">0000000102732</t>
  </si>
  <si>
    <t xml:space="preserve">ﾆﾁﾓｳ㈱</t>
  </si>
  <si>
    <t xml:space="preserve">0000000102882</t>
  </si>
  <si>
    <t xml:space="preserve">おさかなﾌｰｽﾞ唐戸市場</t>
  </si>
  <si>
    <t xml:space="preserve">0000000104232</t>
  </si>
  <si>
    <t xml:space="preserve">㈱魚豊</t>
  </si>
  <si>
    <t xml:space="preserve">0000000104382</t>
  </si>
  <si>
    <t xml:space="preserve">松岡ｼｰﾌｰｽﾞ㈱</t>
  </si>
  <si>
    <t xml:space="preserve">0000000104402</t>
  </si>
  <si>
    <t xml:space="preserve">㈱松村山陽堂※</t>
  </si>
  <si>
    <t xml:space="preserve">0000000104502</t>
  </si>
  <si>
    <t xml:space="preserve">林兼産業㈱</t>
  </si>
  <si>
    <t xml:space="preserve">0000000104512</t>
  </si>
  <si>
    <t xml:space="preserve">下関唐戸魚市場㈱</t>
  </si>
  <si>
    <t xml:space="preserve">0000000104542</t>
  </si>
  <si>
    <t xml:space="preserve">㈱ﾌｼﾞｽｲｻﾝ</t>
  </si>
  <si>
    <t xml:space="preserve">0000000104552</t>
  </si>
  <si>
    <t xml:space="preserve">丸美水産㈱</t>
  </si>
  <si>
    <t xml:space="preserve">0000000104572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</si>
  <si>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南口商店</t>
    </r>
  </si>
  <si>
    <t xml:space="preserve">0000000104582</t>
  </si>
  <si>
    <t xml:space="preserve">丸貴水産㈱</t>
  </si>
  <si>
    <t xml:space="preserve">0000000104602</t>
  </si>
  <si>
    <t xml:space="preserve">㈱やおいち</t>
  </si>
  <si>
    <t xml:space="preserve">0000000104642</t>
  </si>
  <si>
    <t xml:space="preserve">㈱関門ｼｰﾌﾚｯｼｭ</t>
  </si>
  <si>
    <t xml:space="preserve">0000000200497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</si>
  <si>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進藤水産</t>
    </r>
  </si>
  <si>
    <t xml:space="preserve">0000000100012</t>
  </si>
  <si>
    <t xml:space="preserve">岩本商事㈱</t>
  </si>
  <si>
    <t xml:space="preserve">0025</t>
  </si>
  <si>
    <t xml:space="preserve">橋本</t>
  </si>
  <si>
    <t xml:space="preserve">0000000100042</t>
  </si>
  <si>
    <t xml:space="preserve">合同青果㈱</t>
  </si>
  <si>
    <t xml:space="preserve">0000000100072</t>
  </si>
  <si>
    <t xml:space="preserve">日之出紙器下関営業所</t>
  </si>
  <si>
    <t xml:space="preserve">0000000100152</t>
  </si>
  <si>
    <t xml:space="preserve">㈱下関勇次水産</t>
  </si>
  <si>
    <t xml:space="preserve">0000000100202</t>
  </si>
  <si>
    <t xml:space="preserve">㈱宮近</t>
  </si>
  <si>
    <t xml:space="preserve">0000000100402</t>
  </si>
  <si>
    <t xml:space="preserve">ｼｬﾎﾞﾝ玉石けん㈱</t>
  </si>
  <si>
    <t xml:space="preserve">0000000100412</t>
  </si>
  <si>
    <t xml:space="preserve">㈱ｾﾋﾞｱ</t>
  </si>
  <si>
    <t xml:space="preserve">0000000100452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</si>
  <si>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伊藤食品</t>
    </r>
  </si>
  <si>
    <t xml:space="preserve">0000000100502</t>
  </si>
  <si>
    <t xml:space="preserve">ｸﾗﾚｲ㈱加工部</t>
  </si>
  <si>
    <t xml:space="preserve">0000000100552</t>
  </si>
  <si>
    <t xml:space="preserve">㈱南風堂</t>
  </si>
  <si>
    <t xml:space="preserve">0000000101002</t>
  </si>
  <si>
    <t xml:space="preserve">林ﾌｰﾄﾞｾﾝﾀｰ</t>
  </si>
  <si>
    <t xml:space="preserve">0000000101022</t>
  </si>
  <si>
    <t xml:space="preserve">平家茶屋</t>
  </si>
  <si>
    <t xml:space="preserve">0000000101052</t>
  </si>
  <si>
    <t xml:space="preserve">吉廣商店</t>
  </si>
  <si>
    <t xml:space="preserve">0000000101402</t>
  </si>
  <si>
    <t xml:space="preserve">㈱ふく衛門</t>
  </si>
  <si>
    <t xml:space="preserve">0000000101442</t>
  </si>
  <si>
    <t xml:space="preserve">丸朝水産㈱</t>
  </si>
  <si>
    <t xml:space="preserve">0000000101462</t>
  </si>
  <si>
    <t xml:space="preserve">ｻﾝ電子工業㈱</t>
  </si>
  <si>
    <t xml:space="preserve">0000000101662</t>
  </si>
  <si>
    <t xml:space="preserve">ﾍﾙｽﾍﾞｰｶﾘｰ</t>
  </si>
  <si>
    <t xml:space="preserve">0000000101802</t>
  </si>
  <si>
    <t xml:space="preserve">㈱ふく太郎本部</t>
  </si>
  <si>
    <t xml:space="preserve">0000000102052</t>
  </si>
  <si>
    <t xml:space="preserve">㈱吉田水産</t>
  </si>
  <si>
    <t xml:space="preserve">0000000102342</t>
  </si>
  <si>
    <r>
      <rPr>
        <sz val="11"/>
        <rFont val="WenQuanYi Zen Hei"/>
        <family val="2"/>
      </rPr>
      <t xml:space="preserve">㈱食天地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旧ｽﾐｼｮｰ</t>
    </r>
    <r>
      <rPr>
        <sz val="11"/>
        <rFont val="游ゴシック"/>
        <family val="0"/>
        <charset val="1"/>
      </rPr>
      <t xml:space="preserve">)</t>
    </r>
  </si>
  <si>
    <t xml:space="preserve">0000000102362</t>
  </si>
  <si>
    <t xml:space="preserve">㈱日高食品</t>
  </si>
  <si>
    <t xml:space="preserve">0000000102432</t>
  </si>
  <si>
    <t xml:space="preserve">山一㈱防府工場</t>
  </si>
  <si>
    <t xml:space="preserve">0000000102592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</si>
  <si>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合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三幸 </t>
    </r>
    <r>
      <rPr>
        <sz val="11"/>
        <rFont val="游ゴシック"/>
        <family val="0"/>
        <charset val="1"/>
      </rPr>
      <t xml:space="preserve">Jouet(</t>
    </r>
    <r>
      <rPr>
        <sz val="11"/>
        <rFont val="WenQuanYi Zen Hei"/>
        <family val="2"/>
      </rPr>
      <t xml:space="preserve">ｼﾞｭｴ</t>
    </r>
    <r>
      <rPr>
        <sz val="11"/>
        <rFont val="游ゴシック"/>
        <family val="0"/>
        <charset val="1"/>
      </rPr>
      <t xml:space="preserve">)</t>
    </r>
  </si>
  <si>
    <t xml:space="preserve">0000000102782</t>
  </si>
  <si>
    <t xml:space="preserve">㈱和田又</t>
  </si>
  <si>
    <t xml:space="preserve">0000000103262</t>
  </si>
  <si>
    <t xml:space="preserve">㈱岸本製作所</t>
  </si>
  <si>
    <t xml:space="preserve">0000000103872</t>
  </si>
  <si>
    <r>
      <rPr>
        <sz val="11"/>
        <rFont val="WenQuanYi Zen Hei"/>
        <family val="2"/>
      </rPr>
      <t xml:space="preserve">㈱ﾊｰﾄﾌｰｽﾞ</t>
    </r>
    <r>
      <rPr>
        <sz val="11"/>
        <rFont val="游ゴシック"/>
        <family val="0"/>
        <charset val="1"/>
      </rPr>
      <t xml:space="preserve">21</t>
    </r>
  </si>
  <si>
    <t xml:space="preserve">0000000103932</t>
  </si>
  <si>
    <t xml:space="preserve">㈱ﾌﾞﾗﾝﾁ 川中豊町店</t>
  </si>
  <si>
    <t xml:space="preserve">0000000104042</t>
  </si>
  <si>
    <t xml:space="preserve">清水物産丸鳳㈱</t>
  </si>
  <si>
    <t xml:space="preserve">0000000104052</t>
  </si>
  <si>
    <t xml:space="preserve">㈱ﾌｸｼﾝ</t>
  </si>
  <si>
    <t xml:space="preserve">0000000104072</t>
  </si>
  <si>
    <t xml:space="preserve">㈱ｸﾊﾗ</t>
  </si>
  <si>
    <t xml:space="preserve">0000000104102</t>
  </si>
  <si>
    <t xml:space="preserve">㈱岡虎</t>
  </si>
  <si>
    <t xml:space="preserve">0000000104122</t>
  </si>
  <si>
    <t xml:space="preserve">㈱獺祭</t>
  </si>
  <si>
    <t xml:space="preserve">0000000104172</t>
  </si>
  <si>
    <t xml:space="preserve">㈱藤ﾌｰｽﾞ</t>
  </si>
  <si>
    <t xml:space="preserve">0000000104192</t>
  </si>
  <si>
    <r>
      <rPr>
        <sz val="11"/>
        <rFont val="WenQuanYi Zen Hei"/>
        <family val="2"/>
      </rPr>
      <t xml:space="preserve">㈱</t>
    </r>
    <r>
      <rPr>
        <sz val="11"/>
        <rFont val="游ゴシック"/>
        <family val="0"/>
        <charset val="1"/>
      </rPr>
      <t xml:space="preserve">Fu</t>
    </r>
  </si>
  <si>
    <t xml:space="preserve">0000000104372</t>
  </si>
  <si>
    <t xml:space="preserve">㈱畑水産</t>
  </si>
  <si>
    <t xml:space="preserve">0000000104522</t>
  </si>
  <si>
    <t xml:space="preserve">九州こだわりﾌｧｰﾑ㈱</t>
  </si>
  <si>
    <t xml:space="preserve">0000000104632</t>
  </si>
  <si>
    <t xml:space="preserve">㈱嶋津園芸</t>
  </si>
  <si>
    <t xml:space="preserve">0000000104652</t>
  </si>
  <si>
    <t xml:space="preserve">㈱ｻｰﾄﾞﾁｬﾚﾝｼﾞ</t>
  </si>
  <si>
    <t xml:space="preserve">0000000904122</t>
  </si>
  <si>
    <t xml:space="preserve">ﾓﾙﾃﾝ工業用品高陽工場</t>
  </si>
  <si>
    <t xml:space="preserve">0000000100142</t>
  </si>
  <si>
    <t xml:space="preserve">ﾔﾏｶ醤油㈱</t>
  </si>
  <si>
    <t xml:space="preserve">0026</t>
  </si>
  <si>
    <t xml:space="preserve">井上</t>
  </si>
  <si>
    <t xml:space="preserve">0000000100172</t>
  </si>
  <si>
    <t xml:space="preserve">㈱奥野寿久商店</t>
  </si>
  <si>
    <t xml:space="preserve">0000000100272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</si>
  <si>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橋本商店</t>
    </r>
  </si>
  <si>
    <t xml:space="preserve">0000000100962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</si>
  <si>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幸ふく</t>
    </r>
  </si>
  <si>
    <t xml:space="preserve">0000000101132</t>
  </si>
  <si>
    <t xml:space="preserve">冨士物産㈱</t>
  </si>
  <si>
    <t xml:space="preserve">0000000101392</t>
  </si>
  <si>
    <r>
      <rPr>
        <sz val="11"/>
        <rFont val="WenQuanYi Zen Hei"/>
        <family val="2"/>
      </rPr>
      <t xml:space="preserve">市村蒲鉾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</si>
  <si>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0000000101492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</si>
  <si>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もずくｾﾝﾀｰ</t>
    </r>
  </si>
  <si>
    <t xml:space="preserve">0000000101792</t>
  </si>
  <si>
    <t xml:space="preserve">㈱村田実商店</t>
  </si>
  <si>
    <t xml:space="preserve">0000000101912</t>
  </si>
  <si>
    <t xml:space="preserve">坂本水産</t>
  </si>
  <si>
    <t xml:space="preserve">0000000102282</t>
  </si>
  <si>
    <r>
      <rPr>
        <sz val="11"/>
        <rFont val="WenQuanYi Zen Hei"/>
        <family val="2"/>
      </rPr>
      <t xml:space="preserve">冨士物産㈱ 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ｽﾁﾛｰﾙ</t>
    </r>
    <r>
      <rPr>
        <sz val="11"/>
        <rFont val="游ゴシック"/>
        <family val="0"/>
        <charset val="1"/>
      </rPr>
      <t xml:space="preserve">)</t>
    </r>
  </si>
  <si>
    <t xml:space="preserve">0000000104532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</si>
  <si>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亀重商店</t>
    </r>
  </si>
  <si>
    <t xml:space="preserve">0000000104592</t>
  </si>
  <si>
    <t xml:space="preserve">下関市長</t>
  </si>
  <si>
    <t xml:space="preserve">0028</t>
  </si>
  <si>
    <t xml:space="preserve">0000000100812</t>
  </si>
  <si>
    <t xml:space="preserve">上様</t>
  </si>
  <si>
    <t xml:space="preserve">0029</t>
  </si>
  <si>
    <t xml:space="preserve">0000000000043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</si>
  <si>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しまね本所総務部</t>
    </r>
  </si>
  <si>
    <t xml:space="preserve">0031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</si>
  <si>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境</t>
    </r>
  </si>
  <si>
    <t xml:space="preserve">0000000101293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</si>
  <si>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しまね購買部購買課</t>
    </r>
  </si>
  <si>
    <t xml:space="preserve">0000000010013</t>
  </si>
  <si>
    <t xml:space="preserve">㈱まつした米子</t>
  </si>
  <si>
    <t xml:space="preserve">0032</t>
  </si>
  <si>
    <t xml:space="preserve">飯塚</t>
  </si>
  <si>
    <t xml:space="preserve">松江・境港</t>
  </si>
  <si>
    <t xml:space="preserve">0000000034103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</si>
  <si>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岡田本店生花</t>
    </r>
  </si>
  <si>
    <t xml:space="preserve">0000000039023</t>
  </si>
  <si>
    <r>
      <rPr>
        <sz val="11"/>
        <rFont val="WenQuanYi Zen Hei"/>
        <family val="2"/>
      </rPr>
      <t xml:space="preserve">㈱米吾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共管費</t>
    </r>
    <r>
      <rPr>
        <sz val="11"/>
        <rFont val="游ゴシック"/>
        <family val="0"/>
        <charset val="1"/>
      </rPr>
      <t xml:space="preserve">)030</t>
    </r>
  </si>
  <si>
    <t xml:space="preserve">0000000039033</t>
  </si>
  <si>
    <r>
      <rPr>
        <sz val="11"/>
        <rFont val="WenQuanYi Zen Hei"/>
        <family val="2"/>
      </rPr>
      <t xml:space="preserve">㈱米吾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厚生会</t>
    </r>
    <r>
      <rPr>
        <sz val="11"/>
        <rFont val="游ゴシック"/>
        <family val="0"/>
        <charset val="1"/>
      </rPr>
      <t xml:space="preserve">)006</t>
    </r>
  </si>
  <si>
    <t xml:space="preserve">0000000100203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</si>
  <si>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ﾋﾟｰｹｨｼｰ</t>
    </r>
  </si>
  <si>
    <t xml:space="preserve">0000000100673</t>
  </si>
  <si>
    <t xml:space="preserve">㈱味屋ｺｰﾎﾟﾚｰｼｮﾝ</t>
  </si>
  <si>
    <t xml:space="preserve">0000000101063</t>
  </si>
  <si>
    <r>
      <rPr>
        <sz val="11"/>
        <rFont val="WenQuanYi Zen Hei"/>
        <family val="2"/>
      </rPr>
      <t xml:space="preserve">東亜産業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</si>
  <si>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0000000102203</t>
  </si>
  <si>
    <t xml:space="preserve">岸本和久</t>
  </si>
  <si>
    <t xml:space="preserve">0000000102553</t>
  </si>
  <si>
    <t xml:space="preserve">ﾜｰｸｾﾝﾀｰほほえみ</t>
  </si>
  <si>
    <t xml:space="preserve">0000000103293</t>
  </si>
  <si>
    <r>
      <rPr>
        <sz val="11"/>
        <rFont val="WenQuanYi Zen Hei"/>
        <family val="2"/>
      </rPr>
      <t xml:space="preserve">㈲岡田商店本店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資材</t>
    </r>
    <r>
      <rPr>
        <sz val="11"/>
        <rFont val="游ゴシック"/>
        <family val="0"/>
        <charset val="1"/>
      </rPr>
      <t xml:space="preserve">)</t>
    </r>
  </si>
  <si>
    <t xml:space="preserve">0000000103383</t>
  </si>
  <si>
    <t xml:space="preserve">㈲こめや産業本社工場</t>
  </si>
  <si>
    <t xml:space="preserve">0000000104033</t>
  </si>
  <si>
    <t xml:space="preserve">九州惣菜㈱</t>
  </si>
  <si>
    <t xml:space="preserve">0000000104553</t>
  </si>
  <si>
    <t xml:space="preserve">大森農園</t>
  </si>
  <si>
    <t xml:space="preserve">0000000104843</t>
  </si>
  <si>
    <t xml:space="preserve">大海通産㈱</t>
  </si>
  <si>
    <t xml:space="preserve">0000000104933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</si>
  <si>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木村鮮魚店宗像店</t>
    </r>
  </si>
  <si>
    <t xml:space="preserve">0000000105503</t>
  </si>
  <si>
    <t xml:space="preserve">0000000107573</t>
  </si>
  <si>
    <r>
      <rPr>
        <sz val="11"/>
        <rFont val="WenQuanYi Zen Hei"/>
        <family val="2"/>
      </rPr>
      <t xml:space="preserve">昭産商事㈱</t>
    </r>
    <r>
      <rPr>
        <sz val="11"/>
        <rFont val="游ゴシック"/>
        <family val="0"/>
        <charset val="1"/>
      </rPr>
      <t xml:space="preserve">A</t>
    </r>
    <r>
      <rPr>
        <sz val="11"/>
        <rFont val="WenQuanYi Zen Hei"/>
        <family val="2"/>
      </rPr>
      <t xml:space="preserve">ｺｰﾌﾟ大東</t>
    </r>
  </si>
  <si>
    <t xml:space="preserve">0000000108183</t>
  </si>
  <si>
    <t xml:space="preserve">中国化成工業㈱</t>
  </si>
  <si>
    <t xml:space="preserve">0000000109053</t>
  </si>
  <si>
    <t xml:space="preserve">㈱山海</t>
  </si>
  <si>
    <t xml:space="preserve">0000000109103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</si>
  <si>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岡田商店伯耆店</t>
    </r>
  </si>
  <si>
    <t xml:space="preserve">0000000109123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</si>
  <si>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木村鮮魚店伯耆店</t>
    </r>
  </si>
  <si>
    <t xml:space="preserve">0000000109133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</si>
  <si>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木村鮮魚店幸神町</t>
    </r>
  </si>
  <si>
    <t xml:space="preserve">0000000109173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</si>
  <si>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玉木製麺</t>
    </r>
  </si>
  <si>
    <t xml:space="preserve">0000000109183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</si>
  <si>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岡田商店</t>
    </r>
    <r>
      <rPr>
        <sz val="11"/>
        <rFont val="游ゴシック"/>
        <family val="0"/>
        <charset val="1"/>
      </rPr>
      <t xml:space="preserve">D!</t>
    </r>
    <r>
      <rPr>
        <sz val="11"/>
        <rFont val="WenQuanYi Zen Hei"/>
        <family val="2"/>
      </rPr>
      <t xml:space="preserve">境港店</t>
    </r>
  </si>
  <si>
    <t xml:space="preserve">0000000109413</t>
  </si>
  <si>
    <r>
      <rPr>
        <sz val="11"/>
        <rFont val="WenQuanYi Zen Hei"/>
        <family val="2"/>
      </rPr>
      <t xml:space="preserve">㈱米吾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仕出し</t>
    </r>
    <r>
      <rPr>
        <sz val="11"/>
        <rFont val="游ゴシック"/>
        <family val="0"/>
        <charset val="1"/>
      </rPr>
      <t xml:space="preserve">)020</t>
    </r>
  </si>
  <si>
    <t xml:space="preserve">0000000109573</t>
  </si>
  <si>
    <t xml:space="preserve">ﾏｷﾉ水産</t>
  </si>
  <si>
    <t xml:space="preserve">0000000109583</t>
  </si>
  <si>
    <t xml:space="preserve">合資会社一文字家</t>
  </si>
  <si>
    <t xml:space="preserve">0000000109593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</si>
  <si>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岡田商店本店青果</t>
    </r>
  </si>
  <si>
    <t xml:space="preserve">0000000109603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</si>
  <si>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岡田商店本店果物</t>
    </r>
  </si>
  <si>
    <t xml:space="preserve">0000000109613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</si>
  <si>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岡田商店本店塩干</t>
    </r>
  </si>
  <si>
    <t xml:space="preserve">0000000109623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</si>
  <si>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岡田本店精肉</t>
    </r>
  </si>
  <si>
    <t xml:space="preserve">0000000109633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</si>
  <si>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岡田本店惣菜</t>
    </r>
  </si>
  <si>
    <t xml:space="preserve">0000000109643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</si>
  <si>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岡田本店ﾚｼﾞ</t>
    </r>
  </si>
  <si>
    <t xml:space="preserve">0000000109653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</si>
  <si>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株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岡田本店食品</t>
    </r>
  </si>
  <si>
    <t xml:space="preserve">0000000109663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</si>
  <si>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美保館</t>
    </r>
  </si>
  <si>
    <t xml:space="preserve">0000000109703</t>
  </si>
  <si>
    <t xml:space="preserve">㈱そらまめらんど</t>
  </si>
  <si>
    <t xml:space="preserve">0000000109723</t>
  </si>
  <si>
    <t xml:space="preserve">ﾎｸｻﾝ厨機㈱</t>
  </si>
  <si>
    <t xml:space="preserve">0000000109793</t>
  </si>
  <si>
    <t xml:space="preserve">HAPPY SWEETS FACTORY</t>
  </si>
  <si>
    <t xml:space="preserve">0000000109803</t>
  </si>
  <si>
    <t xml:space="preserve">㈱吉岡製菓</t>
  </si>
  <si>
    <t xml:space="preserve">0000000109863</t>
  </si>
  <si>
    <t xml:space="preserve">㈱大東農産加工場</t>
  </si>
  <si>
    <t xml:space="preserve">0000000109903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</si>
  <si>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安菜蔵</t>
    </r>
  </si>
  <si>
    <t xml:space="preserve">0000000109923</t>
  </si>
  <si>
    <t xml:space="preserve">㈱ﾅﾚｯｼﾞﾘﾝｸｽ</t>
  </si>
  <si>
    <t xml:space="preserve">0000000109933</t>
  </si>
  <si>
    <r>
      <rPr>
        <sz val="11"/>
        <rFont val="WenQuanYi Zen Hei"/>
        <family val="2"/>
      </rPr>
      <t xml:space="preserve">㈱</t>
    </r>
    <r>
      <rPr>
        <sz val="11"/>
        <rFont val="游ゴシック"/>
        <family val="0"/>
        <charset val="1"/>
      </rPr>
      <t xml:space="preserve">TSK</t>
    </r>
    <r>
      <rPr>
        <sz val="11"/>
        <rFont val="WenQuanYi Zen Hei"/>
        <family val="2"/>
      </rPr>
      <t xml:space="preserve">農縁</t>
    </r>
  </si>
  <si>
    <t xml:space="preserve">0000000109953</t>
  </si>
  <si>
    <t xml:space="preserve">㈱永江製粉</t>
  </si>
  <si>
    <t xml:space="preserve">0000000111003</t>
  </si>
  <si>
    <t xml:space="preserve">ｲｵﾝﾘﾃｰﾙ㈱松江店</t>
  </si>
  <si>
    <t xml:space="preserve">0000000000113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</si>
  <si>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しまね資材課</t>
    </r>
  </si>
  <si>
    <t xml:space="preserve">0033</t>
  </si>
  <si>
    <t xml:space="preserve">前田</t>
  </si>
  <si>
    <t xml:space="preserve">0000000000303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</si>
  <si>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しまね出雲地区本部</t>
    </r>
  </si>
  <si>
    <t xml:space="preserve">0000000000603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</si>
  <si>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全農農機ｻﾎﾟｰﾄ本店</t>
    </r>
  </si>
  <si>
    <t xml:space="preserve">0000000004013</t>
  </si>
  <si>
    <t xml:space="preserve">ｴﾑｹｲ開発㈱湯梨浜青果</t>
  </si>
  <si>
    <t xml:space="preserve">0000000004023</t>
  </si>
  <si>
    <t xml:space="preserve">ｴﾑｹｲ開発㈱西倉吉青果</t>
  </si>
  <si>
    <t xml:space="preserve">0000000033013</t>
  </si>
  <si>
    <t xml:space="preserve">業務ｽｰﾊﾟｰよどえ精肉</t>
  </si>
  <si>
    <t xml:space="preserve">0000000079909</t>
  </si>
  <si>
    <t xml:space="preserve">出雲国大社食品</t>
  </si>
  <si>
    <t xml:space="preserve">0000000100273</t>
  </si>
  <si>
    <t xml:space="preserve">別石地区ｲﾁｺﾞ生産組合</t>
  </si>
  <si>
    <t xml:space="preserve">0000000100433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</si>
  <si>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渡邊水産</t>
    </r>
  </si>
  <si>
    <t xml:space="preserve">0000000101203</t>
  </si>
  <si>
    <t xml:space="preserve">やすぎ営農部資材課</t>
  </si>
  <si>
    <t xml:space="preserve">0000000101733</t>
  </si>
  <si>
    <r>
      <rPr>
        <sz val="11"/>
        <rFont val="WenQuanYi Zen Hei"/>
        <family val="2"/>
      </rPr>
      <t xml:space="preserve">㈱ｴﾎﾟﾗ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旧ｸﾛﾚﾗ</t>
    </r>
    <r>
      <rPr>
        <sz val="11"/>
        <rFont val="游ゴシック"/>
        <family val="0"/>
        <charset val="1"/>
      </rPr>
      <t xml:space="preserve">)</t>
    </r>
  </si>
  <si>
    <t xml:space="preserve">0000000102343</t>
  </si>
  <si>
    <t xml:space="preserve">日御碕ﾄﾞﾗｲﾌﾞｲﾝ</t>
  </si>
  <si>
    <t xml:space="preserve">0000000102423</t>
  </si>
  <si>
    <r>
      <rPr>
        <sz val="11"/>
        <rFont val="WenQuanYi Zen Hei"/>
        <family val="2"/>
      </rPr>
      <t xml:space="preserve">㈱後藤商店</t>
    </r>
    <r>
      <rPr>
        <sz val="11"/>
        <rFont val="游ゴシック"/>
        <family val="0"/>
        <charset val="1"/>
      </rPr>
      <t xml:space="preserve">(RC</t>
    </r>
    <r>
      <rPr>
        <sz val="11"/>
        <rFont val="WenQuanYi Zen Hei"/>
        <family val="2"/>
      </rPr>
      <t xml:space="preserve">ｸﾞﾙｰﾌﾟ</t>
    </r>
    <r>
      <rPr>
        <sz val="11"/>
        <rFont val="游ゴシック"/>
        <family val="0"/>
        <charset val="1"/>
      </rPr>
      <t xml:space="preserve">)</t>
    </r>
  </si>
  <si>
    <t xml:space="preserve">0000000102653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</si>
  <si>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ﾜﾀﾅﾍﾞ海産</t>
    </r>
  </si>
  <si>
    <t xml:space="preserve">0000000102663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</si>
  <si>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)Succeed</t>
    </r>
    <r>
      <rPr>
        <sz val="11"/>
        <rFont val="WenQuanYi Zen Hei"/>
        <family val="2"/>
      </rPr>
      <t xml:space="preserve">開発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ｻｸｼｰ</t>
    </r>
  </si>
  <si>
    <t xml:space="preserve">0000000103153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</si>
  <si>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ｱｸﾞﾘ島根ｱｸﾞﾘ販売部</t>
    </r>
  </si>
  <si>
    <t xml:space="preserve">0000000103363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</si>
  <si>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しまね出雲生産資材</t>
    </r>
  </si>
  <si>
    <t xml:space="preserve">0000000104583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</si>
  <si>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ｻﾜﾁｶｺｰﾎﾟﾚｰｼｮﾝ</t>
    </r>
  </si>
  <si>
    <t xml:space="preserve">0000000108543</t>
  </si>
  <si>
    <t xml:space="preserve">くにびきｸﾞﾘｰﾝ店舗</t>
  </si>
  <si>
    <t xml:space="preserve">0000000108693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</si>
  <si>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ｺｸﾖｰ</t>
    </r>
  </si>
  <si>
    <t xml:space="preserve">0000000108973</t>
  </si>
  <si>
    <t xml:space="preserve">やすぎ営農部直売店舗</t>
  </si>
  <si>
    <t xml:space="preserve">0000000109023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</si>
  <si>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雲南営農部資材課</t>
    </r>
  </si>
  <si>
    <t xml:space="preserve">0000000109163</t>
  </si>
  <si>
    <t xml:space="preserve">㈱出雲国大社食品</t>
  </si>
  <si>
    <t xml:space="preserve">0000000109223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</si>
  <si>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しまね隠岐経済課</t>
    </r>
  </si>
  <si>
    <t xml:space="preserve">0000000109233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</si>
  <si>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しまね隠岐典礼課</t>
    </r>
  </si>
  <si>
    <t xml:space="preserve">0000000109293</t>
  </si>
  <si>
    <r>
      <rPr>
        <sz val="11"/>
        <rFont val="游ゴシック"/>
        <family val="0"/>
        <charset val="1"/>
      </rPr>
      <t xml:space="preserve">JA</t>
    </r>
    <r>
      <rPr>
        <sz val="11"/>
        <rFont val="WenQuanYi Zen Hei"/>
        <family val="2"/>
      </rPr>
      <t xml:space="preserve">いずもｱｸﾞﾘ開発㈱</t>
    </r>
  </si>
  <si>
    <t xml:space="preserve">0000000109353</t>
  </si>
  <si>
    <t xml:space="preserve">業務ｽｰﾊﾟｰ目久美青果</t>
  </si>
  <si>
    <t xml:space="preserve">0000000109363</t>
  </si>
  <si>
    <t xml:space="preserve">業務ｽｰﾊﾟｰ目久美資材</t>
  </si>
  <si>
    <t xml:space="preserve">0000000109393</t>
  </si>
  <si>
    <r>
      <rPr>
        <sz val="11"/>
        <rFont val="WenQuanYi Zen Hei"/>
        <family val="2"/>
      </rPr>
      <t xml:space="preserve">㈱あしたの為の</t>
    </r>
    <r>
      <rPr>
        <sz val="11"/>
        <rFont val="游ゴシック"/>
        <family val="0"/>
        <charset val="1"/>
      </rPr>
      <t xml:space="preserve">Design</t>
    </r>
  </si>
  <si>
    <t xml:space="preserve">0000000109483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</si>
  <si>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ｺｸﾖｰ機械</t>
    </r>
  </si>
  <si>
    <t xml:space="preserve">0000000109563</t>
  </si>
  <si>
    <t xml:space="preserve">合同会社糸賀製餅店</t>
  </si>
  <si>
    <t xml:space="preserve">0000000109713</t>
  </si>
  <si>
    <t xml:space="preserve">祥和会わかとり作業所</t>
  </si>
  <si>
    <t xml:space="preserve">0000000109733</t>
  </si>
  <si>
    <t xml:space="preserve">㈱さんちゃんﾌｧｰﾑ</t>
  </si>
  <si>
    <t xml:space="preserve">0000000109753</t>
  </si>
  <si>
    <t xml:space="preserve">業務ｽｰﾊﾟｰよどえ資材</t>
  </si>
  <si>
    <t xml:space="preserve">0000000109833</t>
  </si>
  <si>
    <t xml:space="preserve">㈱海産物松村</t>
  </si>
  <si>
    <t xml:space="preserve">0000000109873</t>
  </si>
  <si>
    <t xml:space="preserve">べじふるｻﾎﾟｰﾄ㈱</t>
  </si>
  <si>
    <t xml:space="preserve">0000000109883</t>
  </si>
  <si>
    <t xml:space="preserve">合名会社ｽｷﾞﾅﾘ醸造所</t>
  </si>
  <si>
    <t xml:space="preserve">0000000109893</t>
  </si>
  <si>
    <t xml:space="preserve">出雲の加田屋</t>
  </si>
  <si>
    <t xml:space="preserve">0000000109913</t>
  </si>
  <si>
    <t xml:space="preserve">米田酒造㈱</t>
  </si>
  <si>
    <t xml:space="preserve">0000000109943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</si>
  <si>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ﾄｯﾌﾟｽ･ｶﾝﾊﾟﾆｰ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ｷｯﾁ</t>
    </r>
  </si>
  <si>
    <t xml:space="preserve">0000000109963</t>
  </si>
  <si>
    <t xml:space="preserve">高橋商店</t>
  </si>
  <si>
    <t xml:space="preserve">0000000109973</t>
  </si>
  <si>
    <t xml:space="preserve">生活協同組合しまね</t>
  </si>
  <si>
    <t xml:space="preserve">0000000109983</t>
  </si>
  <si>
    <r>
      <rPr>
        <sz val="11"/>
        <rFont val="游ゴシック"/>
        <family val="0"/>
        <charset val="1"/>
      </rPr>
      <t xml:space="preserve">MARVELOUS</t>
    </r>
    <r>
      <rPr>
        <sz val="11"/>
        <rFont val="WenQuanYi Zen Hei"/>
        <family val="2"/>
      </rPr>
      <t xml:space="preserve">㈱ﾏｰﾍﾞﾗｽ</t>
    </r>
  </si>
  <si>
    <t xml:space="preserve">0000000001003</t>
  </si>
  <si>
    <t xml:space="preserve">㈱ﾔﾏﾀﾞﾔ</t>
  </si>
  <si>
    <t xml:space="preserve">0034</t>
  </si>
  <si>
    <t xml:space="preserve">原田</t>
  </si>
  <si>
    <t xml:space="preserve">0000000101013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</si>
  <si>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松崎製菓</t>
    </r>
  </si>
  <si>
    <t xml:space="preserve">0000000101613</t>
  </si>
  <si>
    <t xml:space="preserve">㈱門脇正司商店</t>
  </si>
  <si>
    <t xml:space="preserve">0000000101693</t>
  </si>
  <si>
    <t xml:space="preserve">㈱ｻﾝｱｲ安来店</t>
  </si>
  <si>
    <t xml:space="preserve">0000000102543</t>
  </si>
  <si>
    <r>
      <rPr>
        <sz val="11"/>
        <rFont val="WenQuanYi Zen Hei"/>
        <family val="2"/>
      </rPr>
      <t xml:space="preserve">㈱華商会</t>
    </r>
    <r>
      <rPr>
        <sz val="11"/>
        <rFont val="游ゴシック"/>
        <family val="0"/>
        <charset val="1"/>
      </rPr>
      <t xml:space="preserve">HanaBakery</t>
    </r>
  </si>
  <si>
    <t xml:space="preserve">0000000104733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</si>
  <si>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本田商店神原工場</t>
    </r>
  </si>
  <si>
    <t xml:space="preserve">0000000104763</t>
  </si>
  <si>
    <t xml:space="preserve">㈱小林栄太郎商店</t>
  </si>
  <si>
    <t xml:space="preserve">0000000106103</t>
  </si>
  <si>
    <t xml:space="preserve">㈱ｲｰﾃｨｰｽﾞ伯耆店</t>
  </si>
  <si>
    <t xml:space="preserve">0000000106153</t>
  </si>
  <si>
    <t xml:space="preserve">㈱ｲｰﾃｨｰｽﾞ境港店</t>
  </si>
  <si>
    <t xml:space="preserve">0000000106203</t>
  </si>
  <si>
    <t xml:space="preserve">㈱ｺﾊﾟｯｸｽ</t>
  </si>
  <si>
    <t xml:space="preserve">0000000108393</t>
  </si>
  <si>
    <r>
      <rPr>
        <sz val="11"/>
        <rFont val="WenQuanYi Zen Hei"/>
        <family val="2"/>
      </rPr>
      <t xml:space="preserve">ｸﾆﾋﾛ㈱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源内亭</t>
    </r>
    <r>
      <rPr>
        <sz val="11"/>
        <rFont val="游ゴシック"/>
        <family val="0"/>
        <charset val="1"/>
      </rPr>
      <t xml:space="preserve">)</t>
    </r>
  </si>
  <si>
    <t xml:space="preserve">0000000109143</t>
  </si>
  <si>
    <t xml:space="preserve">城東化成㈱</t>
  </si>
  <si>
    <t xml:space="preserve">0000000109213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</si>
  <si>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松浦鮮魚店松江店</t>
    </r>
  </si>
  <si>
    <t xml:space="preserve">0000000109443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</si>
  <si>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興南堂</t>
    </r>
  </si>
  <si>
    <t xml:space="preserve">0000000109553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</si>
  <si>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松浦鮮魚店本店</t>
    </r>
  </si>
  <si>
    <t xml:space="preserve">0000000109823</t>
  </si>
  <si>
    <t xml:space="preserve">大福工業㈱</t>
  </si>
  <si>
    <t xml:space="preserve">0000000118463</t>
  </si>
  <si>
    <t xml:space="preserve">㈱山光食品</t>
  </si>
  <si>
    <t xml:space="preserve">0000000109693</t>
  </si>
  <si>
    <t xml:space="preserve">0035</t>
  </si>
  <si>
    <t xml:space="preserve">0000000800003</t>
  </si>
  <si>
    <t xml:space="preserve">松江市長</t>
  </si>
  <si>
    <t xml:space="preserve">0000000810013</t>
  </si>
  <si>
    <t xml:space="preserve">境港市福祉保健部</t>
  </si>
  <si>
    <t xml:space="preserve">0000000004003</t>
  </si>
  <si>
    <t xml:space="preserve">㈱ﾏﾙｹﾝ商店</t>
  </si>
  <si>
    <t xml:space="preserve">0038</t>
  </si>
  <si>
    <t xml:space="preserve">境その他</t>
  </si>
  <si>
    <t xml:space="preserve">0000000000013</t>
  </si>
  <si>
    <t xml:space="preserve">現金売上</t>
  </si>
  <si>
    <t xml:space="preserve">0039</t>
  </si>
  <si>
    <t xml:space="preserve">0000000000503</t>
  </si>
  <si>
    <t xml:space="preserve">0000000009003</t>
  </si>
  <si>
    <t xml:space="preserve">0000000100853</t>
  </si>
  <si>
    <t xml:space="preserve">常松修</t>
  </si>
  <si>
    <t xml:space="preserve">0000000101283</t>
  </si>
  <si>
    <r>
      <rPr>
        <sz val="11"/>
        <rFont val="WenQuanYi Zen Hei"/>
        <family val="2"/>
      </rPr>
      <t xml:space="preserve">松江東宝</t>
    </r>
    <r>
      <rPr>
        <sz val="11"/>
        <rFont val="游ゴシック"/>
        <family val="0"/>
        <charset val="1"/>
      </rPr>
      <t xml:space="preserve">5</t>
    </r>
  </si>
  <si>
    <t xml:space="preserve">0000000102373</t>
  </si>
  <si>
    <t xml:space="preserve">中国調理食品</t>
  </si>
  <si>
    <t xml:space="preserve">0000000001124</t>
  </si>
  <si>
    <t xml:space="preserve">ｶﾈｹﾞﾝ</t>
  </si>
  <si>
    <t xml:space="preserve">0042</t>
  </si>
  <si>
    <t xml:space="preserve">馬場部長</t>
  </si>
  <si>
    <t xml:space="preserve">鳥栖・静岡・東京</t>
  </si>
  <si>
    <t xml:space="preserve">0000000005624</t>
  </si>
  <si>
    <t xml:space="preserve">㈱ﾘﾝｶﾞｰﾊｯﾄ東京本社</t>
  </si>
  <si>
    <t xml:space="preserve">0000000105624</t>
  </si>
  <si>
    <t xml:space="preserve">0000000000134</t>
  </si>
  <si>
    <t xml:space="preserve">㈱蔵出しめんたい本舗</t>
  </si>
  <si>
    <t xml:space="preserve">0046</t>
  </si>
  <si>
    <t xml:space="preserve">角田</t>
  </si>
  <si>
    <t xml:space="preserve">0000000000144</t>
  </si>
  <si>
    <t xml:space="preserve">㈲東洋ﾃｸﾆｶﾙﾌｰﾂﾞ</t>
  </si>
  <si>
    <t xml:space="preserve">0000000000164</t>
  </si>
  <si>
    <r>
      <rPr>
        <sz val="11"/>
        <rFont val="游ゴシック"/>
        <family val="0"/>
        <charset val="1"/>
      </rPr>
      <t xml:space="preserve">SUS</t>
    </r>
    <r>
      <rPr>
        <sz val="11"/>
        <rFont val="WenQuanYi Zen Hei"/>
        <family val="2"/>
      </rPr>
      <t xml:space="preserve">㈱</t>
    </r>
  </si>
  <si>
    <t xml:space="preserve">0000000000224</t>
  </si>
  <si>
    <t xml:space="preserve">㈲東龍食品★</t>
  </si>
  <si>
    <t xml:space="preserve">0000000000584</t>
  </si>
  <si>
    <t xml:space="preserve">みよしの食堂</t>
  </si>
  <si>
    <t xml:space="preserve">0000000000764</t>
  </si>
  <si>
    <t xml:space="preserve">㈱堀内</t>
  </si>
  <si>
    <t xml:space="preserve">0000000000834</t>
  </si>
  <si>
    <t xml:space="preserve">㈱どんどんﾗｲｽ福岡</t>
  </si>
  <si>
    <t xml:space="preserve">0000000000864</t>
  </si>
  <si>
    <t xml:space="preserve">㈱堀江本店</t>
  </si>
  <si>
    <t xml:space="preserve">0000000000924</t>
  </si>
  <si>
    <t xml:space="preserve">㈱ﾌﾚｯｼｭﾐｰﾄ</t>
  </si>
  <si>
    <t xml:space="preserve">0000000000944</t>
  </si>
  <si>
    <t xml:space="preserve">㈱紀文ﾌﾚｯｼｭｼｽﾃﾑ</t>
  </si>
  <si>
    <t xml:space="preserve">0000000000954</t>
  </si>
  <si>
    <t xml:space="preserve">㈲ｱｲｹｰﾌｰｽﾞ</t>
  </si>
  <si>
    <t xml:space="preserve">0000000000964</t>
  </si>
  <si>
    <t xml:space="preserve">㈱ｱﾙﾐｽ</t>
  </si>
  <si>
    <t xml:space="preserve">0000000000994</t>
  </si>
  <si>
    <t xml:space="preserve">㈱てらさき</t>
  </si>
  <si>
    <t xml:space="preserve">0000000001004</t>
  </si>
  <si>
    <t xml:space="preserve">井手食品㈲</t>
  </si>
  <si>
    <t xml:space="preserve">0000000001014</t>
  </si>
  <si>
    <t xml:space="preserve">㈱丸雅</t>
  </si>
  <si>
    <t xml:space="preserve">0000000001134</t>
  </si>
  <si>
    <t xml:space="preserve">理研電具製造㈱</t>
  </si>
  <si>
    <t xml:space="preserve">0000000001154</t>
  </si>
  <si>
    <t xml:space="preserve">㈱大貴ｾﾗﾐｯｸｽ</t>
  </si>
  <si>
    <t xml:space="preserve">0000000001304</t>
  </si>
  <si>
    <t xml:space="preserve">0000000001404</t>
  </si>
  <si>
    <t xml:space="preserve">㈱ｸﾞﾘﾌｨｽ</t>
  </si>
  <si>
    <t xml:space="preserve">0000000001504</t>
  </si>
  <si>
    <t xml:space="preserve">㈱ﾏﾙﾐﾂｻﾝﾖｰ</t>
  </si>
  <si>
    <t xml:space="preserve">0000000001604</t>
  </si>
  <si>
    <t xml:space="preserve">ﾍﾞｽﾄｱﾒﾆﾃｨ㈱</t>
  </si>
  <si>
    <t xml:space="preserve">0000000001704</t>
  </si>
  <si>
    <t xml:space="preserve">㈱稲石</t>
  </si>
  <si>
    <t xml:space="preserve">0000000001764</t>
  </si>
  <si>
    <t xml:space="preserve">㈱ｴﾌ･ｼｰｼｰ堀内</t>
  </si>
  <si>
    <t xml:space="preserve">0000000001894</t>
  </si>
  <si>
    <t xml:space="preserve">㈱鬼が島本舗</t>
  </si>
  <si>
    <t xml:space="preserve">0000000002004</t>
  </si>
  <si>
    <t xml:space="preserve">九州ﾀﾞｰﾄｺｰﾋｰ㈱</t>
  </si>
  <si>
    <t xml:space="preserve">0000000002084</t>
  </si>
  <si>
    <t xml:space="preserve">みつせ鶏本舗  本店</t>
  </si>
  <si>
    <t xml:space="preserve">0000000002104</t>
  </si>
  <si>
    <t xml:space="preserve">繊月</t>
  </si>
  <si>
    <t xml:space="preserve">0000000003064</t>
  </si>
  <si>
    <t xml:space="preserve">㈲ふるさと倶楽部</t>
  </si>
  <si>
    <t xml:space="preserve">0000000004724</t>
  </si>
  <si>
    <t xml:space="preserve">㈱老松醤油 松岡本家</t>
  </si>
  <si>
    <t xml:space="preserve">0000000005014</t>
  </si>
  <si>
    <t xml:space="preserve">㈱高橋商店</t>
  </si>
  <si>
    <t xml:space="preserve">0000000011704</t>
  </si>
  <si>
    <t xml:space="preserve">㈱丸惣</t>
  </si>
  <si>
    <t xml:space="preserve">0000000014524</t>
  </si>
  <si>
    <t xml:space="preserve">㈱ぽると総本舗</t>
  </si>
  <si>
    <t xml:space="preserve">0000000104344</t>
  </si>
  <si>
    <t xml:space="preserve">㈱ﾔﾏｼｮｳ</t>
  </si>
  <si>
    <t xml:space="preserve">0000000104354</t>
  </si>
  <si>
    <t xml:space="preserve">ﾔﾏｼｮｳ販売㈱</t>
  </si>
  <si>
    <t xml:space="preserve">0000000120004</t>
  </si>
  <si>
    <t xml:space="preserve">三桃食品㈱</t>
  </si>
  <si>
    <t xml:space="preserve">0000000122714</t>
  </si>
  <si>
    <t xml:space="preserve">㈱梅の花ｸﾞﾙｰﾌﾟ</t>
  </si>
  <si>
    <t xml:space="preserve">0000000000211</t>
  </si>
  <si>
    <t xml:space="preserve">㈲漁協ｻｰﾋﾞｽ</t>
  </si>
  <si>
    <t xml:space="preserve">0101</t>
  </si>
  <si>
    <t xml:space="preserve">漁協サービス</t>
  </si>
  <si>
    <t xml:space="preserve">0000000000391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</si>
  <si>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大田支所経費</t>
    </r>
  </si>
  <si>
    <t xml:space="preserve">0102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</si>
  <si>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</t>
    </r>
  </si>
  <si>
    <t xml:space="preserve">0000000000471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</si>
  <si>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しまね大田支所</t>
    </r>
  </si>
  <si>
    <t xml:space="preserve">0000000000201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</si>
  <si>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大田ｼｰﾄ料</t>
    </r>
  </si>
  <si>
    <t xml:space="preserve">0104</t>
  </si>
  <si>
    <t xml:space="preserve">大田荷役</t>
  </si>
  <si>
    <t xml:space="preserve">0000000000261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</si>
  <si>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大田製氷工場</t>
    </r>
  </si>
  <si>
    <t xml:space="preserve">0000000000271</t>
  </si>
  <si>
    <r>
      <rPr>
        <sz val="11"/>
        <rFont val="游ゴシック"/>
        <family val="0"/>
        <charset val="1"/>
      </rPr>
      <t xml:space="preserve">※JF</t>
    </r>
    <r>
      <rPr>
        <sz val="11"/>
        <rFont val="WenQuanYi Zen Hei"/>
        <family val="2"/>
      </rPr>
      <t xml:space="preserve">大田巻網定置荷役</t>
    </r>
  </si>
  <si>
    <t xml:space="preserve">0000000000281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</si>
  <si>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大田ｺﾝﾍﾞｱｰ洗浄料</t>
    </r>
  </si>
  <si>
    <t xml:space="preserve">0000000000291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</si>
  <si>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大田小底荷役料</t>
    </r>
  </si>
  <si>
    <t xml:space="preserve">0000000000301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</si>
  <si>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大田魚集荷料</t>
    </r>
  </si>
  <si>
    <t xml:space="preserve">0000000000321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</si>
  <si>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大田市場洗浄料</t>
    </r>
  </si>
  <si>
    <t xml:space="preserve">0000000000381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</si>
  <si>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大田買取荷役料</t>
    </r>
  </si>
  <si>
    <t xml:space="preserve">0000000002011</t>
  </si>
  <si>
    <t xml:space="preserve">琴代丸</t>
  </si>
  <si>
    <t xml:space="preserve">0000000002021</t>
  </si>
  <si>
    <t xml:space="preserve">玉千代丸</t>
  </si>
  <si>
    <t xml:space="preserve">0000000002031</t>
  </si>
  <si>
    <t xml:space="preserve">三和丸</t>
  </si>
  <si>
    <t xml:space="preserve">0000000002041</t>
  </si>
  <si>
    <t xml:space="preserve">漁神丸</t>
  </si>
  <si>
    <t xml:space="preserve">0000000002051</t>
  </si>
  <si>
    <t xml:space="preserve">良運丸</t>
  </si>
  <si>
    <t xml:space="preserve">0000000002071</t>
  </si>
  <si>
    <t xml:space="preserve">日東製網温泉津定置</t>
  </si>
  <si>
    <t xml:space="preserve">0000000002081</t>
  </si>
  <si>
    <t xml:space="preserve">海慶丸</t>
  </si>
  <si>
    <t xml:space="preserve">0000000002101</t>
  </si>
  <si>
    <t xml:space="preserve">板垣商店</t>
  </si>
  <si>
    <t xml:space="preserve">0000000090241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</si>
  <si>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祐生漁業部</t>
    </r>
  </si>
  <si>
    <t xml:space="preserve">0000000703291</t>
  </si>
  <si>
    <r>
      <rPr>
        <sz val="11"/>
        <rFont val="WenQuanYi Zen Hei"/>
        <family val="2"/>
      </rPr>
      <t xml:space="preserve">㈱ｻﾝﾏﾙｺ</t>
    </r>
    <r>
      <rPr>
        <sz val="11"/>
        <rFont val="游ゴシック"/>
        <family val="0"/>
        <charset val="1"/>
      </rPr>
      <t xml:space="preserve">-</t>
    </r>
    <r>
      <rPr>
        <sz val="11"/>
        <rFont val="WenQuanYi Zen Hei"/>
        <family val="2"/>
      </rPr>
      <t xml:space="preserve">運送委託</t>
    </r>
    <r>
      <rPr>
        <sz val="11"/>
        <rFont val="游ゴシック"/>
        <family val="0"/>
        <charset val="1"/>
      </rPr>
      <t xml:space="preserve">-</t>
    </r>
  </si>
  <si>
    <t xml:space="preserve">0000000000461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</si>
  <si>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しまね冷蔵庫経費</t>
    </r>
  </si>
  <si>
    <t xml:space="preserve">0106</t>
  </si>
  <si>
    <t xml:space="preserve">浜田荷役</t>
  </si>
  <si>
    <t xml:space="preserve">0000000003011</t>
  </si>
  <si>
    <t xml:space="preserve">弘氣丸</t>
  </si>
  <si>
    <t xml:space="preserve">0000000003021</t>
  </si>
  <si>
    <r>
      <rPr>
        <sz val="11"/>
        <rFont val="游ゴシック"/>
        <family val="0"/>
        <charset val="1"/>
      </rPr>
      <t xml:space="preserve">TT19  1</t>
    </r>
    <r>
      <rPr>
        <sz val="11"/>
        <rFont val="WenQuanYi Zen Hei"/>
        <family val="2"/>
      </rPr>
      <t xml:space="preserve">豊生丸</t>
    </r>
  </si>
  <si>
    <t xml:space="preserve">0000000003031</t>
  </si>
  <si>
    <r>
      <rPr>
        <sz val="11"/>
        <rFont val="游ゴシック"/>
        <family val="0"/>
        <charset val="1"/>
      </rPr>
      <t xml:space="preserve">71</t>
    </r>
    <r>
      <rPr>
        <sz val="11"/>
        <rFont val="WenQuanYi Zen Hei"/>
        <family val="2"/>
      </rPr>
      <t xml:space="preserve">天王丸</t>
    </r>
  </si>
  <si>
    <t xml:space="preserve">0000000003051</t>
  </si>
  <si>
    <r>
      <rPr>
        <sz val="11"/>
        <rFont val="WenQuanYi Zen Hei"/>
        <family val="2"/>
      </rPr>
      <t xml:space="preserve">第 </t>
    </r>
    <r>
      <rPr>
        <sz val="11"/>
        <rFont val="游ゴシック"/>
        <family val="0"/>
        <charset val="1"/>
      </rPr>
      <t xml:space="preserve">25</t>
    </r>
    <r>
      <rPr>
        <sz val="11"/>
        <rFont val="WenQuanYi Zen Hei"/>
        <family val="2"/>
      </rPr>
      <t xml:space="preserve">大祐丸</t>
    </r>
  </si>
  <si>
    <t xml:space="preserve">0000000003061</t>
  </si>
  <si>
    <t xml:space="preserve">大田  協和丸</t>
  </si>
  <si>
    <t xml:space="preserve">0000000003101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</si>
  <si>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85 </t>
    </r>
    <r>
      <rPr>
        <sz val="11"/>
        <rFont val="WenQuanYi Zen Hei"/>
        <family val="2"/>
      </rPr>
      <t xml:space="preserve">天王丸</t>
    </r>
  </si>
  <si>
    <t xml:space="preserve">0000000003141</t>
  </si>
  <si>
    <r>
      <rPr>
        <sz val="11"/>
        <rFont val="游ゴシック"/>
        <family val="0"/>
        <charset val="1"/>
      </rPr>
      <t xml:space="preserve">FK19  2</t>
    </r>
    <r>
      <rPr>
        <sz val="11"/>
        <rFont val="WenQuanYi Zen Hei"/>
        <family val="2"/>
      </rPr>
      <t xml:space="preserve">弘氣丸</t>
    </r>
  </si>
  <si>
    <t xml:space="preserve">0000000003151</t>
  </si>
  <si>
    <r>
      <rPr>
        <sz val="11"/>
        <rFont val="游ゴシック"/>
        <family val="0"/>
        <charset val="1"/>
      </rPr>
      <t xml:space="preserve">YM19T  21</t>
    </r>
    <r>
      <rPr>
        <sz val="11"/>
        <rFont val="WenQuanYi Zen Hei"/>
        <family val="2"/>
      </rPr>
      <t xml:space="preserve">清栄丸</t>
    </r>
  </si>
  <si>
    <t xml:space="preserve">0000000003161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</si>
  <si>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28</t>
    </r>
    <r>
      <rPr>
        <sz val="11"/>
        <rFont val="WenQuanYi Zen Hei"/>
        <family val="2"/>
      </rPr>
      <t xml:space="preserve">わかば丸</t>
    </r>
  </si>
  <si>
    <t xml:space="preserve">0000000003181</t>
  </si>
  <si>
    <r>
      <rPr>
        <sz val="11"/>
        <rFont val="游ゴシック"/>
        <family val="0"/>
        <charset val="1"/>
      </rPr>
      <t xml:space="preserve">HK19  21</t>
    </r>
    <r>
      <rPr>
        <sz val="11"/>
        <rFont val="WenQuanYi Zen Hei"/>
        <family val="2"/>
      </rPr>
      <t xml:space="preserve">光漁丸</t>
    </r>
  </si>
  <si>
    <t xml:space="preserve">0000000003191</t>
  </si>
  <si>
    <r>
      <rPr>
        <sz val="11"/>
        <rFont val="游ゴシック"/>
        <family val="0"/>
        <charset val="1"/>
      </rPr>
      <t xml:space="preserve">HK19  88</t>
    </r>
    <r>
      <rPr>
        <sz val="11"/>
        <rFont val="WenQuanYi Zen Hei"/>
        <family val="2"/>
      </rPr>
      <t xml:space="preserve">松宝丸</t>
    </r>
  </si>
  <si>
    <t xml:space="preserve">0000000003201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</si>
  <si>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22</t>
    </r>
    <r>
      <rPr>
        <sz val="11"/>
        <rFont val="WenQuanYi Zen Hei"/>
        <family val="2"/>
      </rPr>
      <t xml:space="preserve">福寿丸</t>
    </r>
  </si>
  <si>
    <t xml:space="preserve">0000000003211</t>
  </si>
  <si>
    <r>
      <rPr>
        <sz val="11"/>
        <rFont val="游ゴシック"/>
        <family val="0"/>
        <charset val="1"/>
      </rPr>
      <t xml:space="preserve">58 </t>
    </r>
    <r>
      <rPr>
        <sz val="11"/>
        <rFont val="WenQuanYi Zen Hei"/>
        <family val="2"/>
      </rPr>
      <t xml:space="preserve">雄誠丸</t>
    </r>
  </si>
  <si>
    <t xml:space="preserve">0000000003221</t>
  </si>
  <si>
    <t xml:space="preserve">福昇丸</t>
  </si>
  <si>
    <t xml:space="preserve">0000000003231</t>
  </si>
  <si>
    <t xml:space="preserve">香住勝丸</t>
  </si>
  <si>
    <t xml:space="preserve">0000000003241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</si>
  <si>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8 </t>
    </r>
    <r>
      <rPr>
        <sz val="11"/>
        <rFont val="WenQuanYi Zen Hei"/>
        <family val="2"/>
      </rPr>
      <t xml:space="preserve">昭徳丸</t>
    </r>
  </si>
  <si>
    <t xml:space="preserve">0000000003251</t>
  </si>
  <si>
    <t xml:space="preserve">勝丸</t>
  </si>
  <si>
    <t xml:space="preserve">0000000003261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</si>
  <si>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37 </t>
    </r>
    <r>
      <rPr>
        <sz val="11"/>
        <rFont val="WenQuanYi Zen Hei"/>
        <family val="2"/>
      </rPr>
      <t xml:space="preserve">昭徳丸</t>
    </r>
  </si>
  <si>
    <t xml:space="preserve">0000000003271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</si>
  <si>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8  </t>
    </r>
    <r>
      <rPr>
        <sz val="11"/>
        <rFont val="WenQuanYi Zen Hei"/>
        <family val="2"/>
      </rPr>
      <t xml:space="preserve">源福丸</t>
    </r>
  </si>
  <si>
    <t xml:space="preserve">0000000003281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</si>
  <si>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23 </t>
    </r>
    <r>
      <rPr>
        <sz val="11"/>
        <rFont val="WenQuanYi Zen Hei"/>
        <family val="2"/>
      </rPr>
      <t xml:space="preserve">昭徳丸</t>
    </r>
  </si>
  <si>
    <t xml:space="preserve">0000000003291</t>
  </si>
  <si>
    <r>
      <rPr>
        <sz val="11"/>
        <rFont val="游ゴシック"/>
        <family val="0"/>
        <charset val="1"/>
      </rPr>
      <t xml:space="preserve">JF</t>
    </r>
    <r>
      <rPr>
        <sz val="11"/>
        <rFont val="WenQuanYi Zen Hei"/>
        <family val="2"/>
      </rPr>
      <t xml:space="preserve">浜田支所営業課</t>
    </r>
  </si>
  <si>
    <t xml:space="preserve">0000000003301</t>
  </si>
  <si>
    <t xml:space="preserve">裕丸</t>
  </si>
  <si>
    <t xml:space="preserve">0000000003311</t>
  </si>
  <si>
    <r>
      <rPr>
        <sz val="11"/>
        <rFont val="游ゴシック"/>
        <family val="0"/>
        <charset val="1"/>
      </rPr>
      <t xml:space="preserve">11.12</t>
    </r>
    <r>
      <rPr>
        <sz val="11"/>
        <rFont val="WenQuanYi Zen Hei"/>
        <family val="2"/>
      </rPr>
      <t xml:space="preserve">あけぼの丸</t>
    </r>
  </si>
  <si>
    <t xml:space="preserve">0000000003331</t>
  </si>
  <si>
    <t xml:space="preserve">浜吉丸</t>
  </si>
  <si>
    <t xml:space="preserve">0000000003341</t>
  </si>
  <si>
    <t xml:space="preserve">ＪＦしまね江津支所</t>
  </si>
  <si>
    <t xml:space="preserve">0000000003351</t>
  </si>
  <si>
    <r>
      <rPr>
        <sz val="11"/>
        <rFont val="游ゴシック"/>
        <family val="0"/>
        <charset val="1"/>
      </rPr>
      <t xml:space="preserve">5.6</t>
    </r>
    <r>
      <rPr>
        <sz val="11"/>
        <rFont val="WenQuanYi Zen Hei"/>
        <family val="2"/>
      </rPr>
      <t xml:space="preserve">あけぼの丸</t>
    </r>
  </si>
  <si>
    <t xml:space="preserve">0000000003361</t>
  </si>
  <si>
    <t xml:space="preserve">真和漁業生産組合</t>
  </si>
  <si>
    <t xml:space="preserve">0000000003371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</si>
  <si>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関屋久八商店</t>
    </r>
  </si>
  <si>
    <t xml:space="preserve">0000000003381</t>
  </si>
  <si>
    <t xml:space="preserve">浜田大敷</t>
  </si>
  <si>
    <t xml:space="preserve">0000000003391</t>
  </si>
  <si>
    <t xml:space="preserve">ＪＦしまね益田支所</t>
  </si>
  <si>
    <t xml:space="preserve">0000000003401</t>
  </si>
  <si>
    <t xml:space="preserve">旭洋丸</t>
  </si>
  <si>
    <t xml:space="preserve">0000000003421</t>
  </si>
  <si>
    <r>
      <rPr>
        <sz val="11"/>
        <rFont val="游ゴシック"/>
        <family val="0"/>
        <charset val="1"/>
      </rPr>
      <t xml:space="preserve">TT19</t>
    </r>
    <r>
      <rPr>
        <sz val="11"/>
        <rFont val="WenQuanYi Zen Hei"/>
        <family val="2"/>
      </rPr>
      <t xml:space="preserve">共栄丸</t>
    </r>
  </si>
  <si>
    <t xml:space="preserve">0000000003441</t>
  </si>
  <si>
    <r>
      <rPr>
        <sz val="11"/>
        <rFont val="游ゴシック"/>
        <family val="0"/>
        <charset val="1"/>
      </rPr>
      <t xml:space="preserve">FK9</t>
    </r>
    <r>
      <rPr>
        <sz val="11"/>
        <rFont val="WenQuanYi Zen Hei"/>
        <family val="2"/>
      </rPr>
      <t xml:space="preserve">富生丸</t>
    </r>
  </si>
  <si>
    <t xml:space="preserve">0000000003461</t>
  </si>
  <si>
    <r>
      <rPr>
        <sz val="11"/>
        <rFont val="游ゴシック"/>
        <family val="0"/>
        <charset val="1"/>
      </rPr>
      <t xml:space="preserve">FK9</t>
    </r>
    <r>
      <rPr>
        <sz val="11"/>
        <rFont val="WenQuanYi Zen Hei"/>
        <family val="2"/>
      </rPr>
      <t xml:space="preserve">七宝丸</t>
    </r>
  </si>
  <si>
    <t xml:space="preserve">0000000003471</t>
  </si>
  <si>
    <r>
      <rPr>
        <sz val="11"/>
        <rFont val="WenQuanYi Zen Hei"/>
        <family val="2"/>
      </rPr>
      <t xml:space="preserve">豊玉</t>
    </r>
    <r>
      <rPr>
        <sz val="11"/>
        <rFont val="游ゴシック"/>
        <family val="0"/>
        <charset val="1"/>
      </rPr>
      <t xml:space="preserve">9T8</t>
    </r>
    <r>
      <rPr>
        <sz val="11"/>
        <rFont val="WenQuanYi Zen Hei"/>
        <family val="2"/>
      </rPr>
      <t xml:space="preserve">鳳正丸</t>
    </r>
  </si>
  <si>
    <t xml:space="preserve">0000000003481</t>
  </si>
  <si>
    <r>
      <rPr>
        <sz val="11"/>
        <rFont val="游ゴシック"/>
        <family val="0"/>
        <charset val="1"/>
      </rPr>
      <t xml:space="preserve">FK9</t>
    </r>
    <r>
      <rPr>
        <sz val="11"/>
        <rFont val="WenQuanYi Zen Hei"/>
        <family val="2"/>
      </rPr>
      <t xml:space="preserve">大鵬丸</t>
    </r>
  </si>
  <si>
    <t xml:space="preserve">0000000003491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</si>
  <si>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36 </t>
    </r>
    <r>
      <rPr>
        <sz val="11"/>
        <rFont val="WenQuanYi Zen Hei"/>
        <family val="2"/>
      </rPr>
      <t xml:space="preserve">海幸丸</t>
    </r>
  </si>
  <si>
    <t xml:space="preserve">0000000003521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</si>
  <si>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18 </t>
    </r>
    <r>
      <rPr>
        <sz val="11"/>
        <rFont val="WenQuanYi Zen Hei"/>
        <family val="2"/>
      </rPr>
      <t xml:space="preserve">わかば丸</t>
    </r>
  </si>
  <si>
    <t xml:space="preserve">0000000003531</t>
  </si>
  <si>
    <t xml:space="preserve">ＪＦしまね大田支所</t>
  </si>
  <si>
    <t xml:space="preserve">0000000003541</t>
  </si>
  <si>
    <t xml:space="preserve">宅間彰（第三厳島丸）</t>
  </si>
  <si>
    <t xml:space="preserve">0000000003551</t>
  </si>
  <si>
    <r>
      <rPr>
        <sz val="11"/>
        <rFont val="游ゴシック"/>
        <family val="0"/>
        <charset val="1"/>
      </rPr>
      <t xml:space="preserve">38</t>
    </r>
    <r>
      <rPr>
        <sz val="11"/>
        <rFont val="WenQuanYi Zen Hei"/>
        <family val="2"/>
      </rPr>
      <t xml:space="preserve">満吉丸</t>
    </r>
  </si>
  <si>
    <t xml:space="preserve">0000000003561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</si>
  <si>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11 </t>
    </r>
    <r>
      <rPr>
        <sz val="11"/>
        <rFont val="WenQuanYi Zen Hei"/>
        <family val="2"/>
      </rPr>
      <t xml:space="preserve">大祐丸</t>
    </r>
  </si>
  <si>
    <t xml:space="preserve">0000000003571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</si>
  <si>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81  </t>
    </r>
    <r>
      <rPr>
        <sz val="11"/>
        <rFont val="WenQuanYi Zen Hei"/>
        <family val="2"/>
      </rPr>
      <t xml:space="preserve">海幸丸</t>
    </r>
  </si>
  <si>
    <t xml:space="preserve">0000000003581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</si>
  <si>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38  </t>
    </r>
    <r>
      <rPr>
        <sz val="11"/>
        <rFont val="WenQuanYi Zen Hei"/>
        <family val="2"/>
      </rPr>
      <t xml:space="preserve">海幸丸</t>
    </r>
  </si>
  <si>
    <t xml:space="preserve">0000000003591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</si>
  <si>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85  </t>
    </r>
    <r>
      <rPr>
        <sz val="11"/>
        <rFont val="WenQuanYi Zen Hei"/>
        <family val="2"/>
      </rPr>
      <t xml:space="preserve">海幸丸</t>
    </r>
  </si>
  <si>
    <t xml:space="preserve">0000000003601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</si>
  <si>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37  </t>
    </r>
    <r>
      <rPr>
        <sz val="11"/>
        <rFont val="WenQuanYi Zen Hei"/>
        <family val="2"/>
      </rPr>
      <t xml:space="preserve">海幸丸</t>
    </r>
  </si>
  <si>
    <t xml:space="preserve">0000000003621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</si>
  <si>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6  </t>
    </r>
    <r>
      <rPr>
        <sz val="11"/>
        <rFont val="WenQuanYi Zen Hei"/>
        <family val="2"/>
      </rPr>
      <t xml:space="preserve">浦郷丸</t>
    </r>
  </si>
  <si>
    <t xml:space="preserve">0000000003641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</si>
  <si>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35 </t>
    </r>
    <r>
      <rPr>
        <sz val="11"/>
        <rFont val="WenQuanYi Zen Hei"/>
        <family val="2"/>
      </rPr>
      <t xml:space="preserve">海幸丸</t>
    </r>
  </si>
  <si>
    <t xml:space="preserve">0000000003651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</si>
  <si>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28  </t>
    </r>
    <r>
      <rPr>
        <sz val="11"/>
        <rFont val="WenQuanYi Zen Hei"/>
        <family val="2"/>
      </rPr>
      <t xml:space="preserve">天祐丸</t>
    </r>
  </si>
  <si>
    <t xml:space="preserve">0000000003681</t>
  </si>
  <si>
    <r>
      <rPr>
        <sz val="11"/>
        <rFont val="游ゴシック"/>
        <family val="0"/>
        <charset val="1"/>
      </rPr>
      <t xml:space="preserve">TT19  8</t>
    </r>
    <r>
      <rPr>
        <sz val="11"/>
        <rFont val="WenQuanYi Zen Hei"/>
        <family val="2"/>
      </rPr>
      <t xml:space="preserve">吉丸</t>
    </r>
  </si>
  <si>
    <t xml:space="preserve">0000000003711</t>
  </si>
  <si>
    <r>
      <rPr>
        <sz val="11"/>
        <rFont val="游ゴシック"/>
        <family val="0"/>
        <charset val="1"/>
      </rPr>
      <t xml:space="preserve">TT19  78</t>
    </r>
    <r>
      <rPr>
        <sz val="11"/>
        <rFont val="WenQuanYi Zen Hei"/>
        <family val="2"/>
      </rPr>
      <t xml:space="preserve">長生丸</t>
    </r>
  </si>
  <si>
    <t xml:space="preserve">0000000003721</t>
  </si>
  <si>
    <r>
      <rPr>
        <sz val="11"/>
        <rFont val="WenQuanYi Zen Hei"/>
        <family val="2"/>
      </rPr>
      <t xml:space="preserve">勝本</t>
    </r>
    <r>
      <rPr>
        <sz val="11"/>
        <rFont val="游ゴシック"/>
        <family val="0"/>
        <charset val="1"/>
      </rPr>
      <t xml:space="preserve">9T</t>
    </r>
    <r>
      <rPr>
        <sz val="11"/>
        <rFont val="WenQuanYi Zen Hei"/>
        <family val="2"/>
      </rPr>
      <t xml:space="preserve">正進丸</t>
    </r>
  </si>
  <si>
    <t xml:space="preserve">0000000003741</t>
  </si>
  <si>
    <t xml:space="preserve">吉丸</t>
  </si>
  <si>
    <t xml:space="preserve">0000000003771</t>
  </si>
  <si>
    <t xml:space="preserve">村谷金比羅丸</t>
  </si>
  <si>
    <t xml:space="preserve">0000000003831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</si>
  <si>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36  </t>
    </r>
    <r>
      <rPr>
        <sz val="11"/>
        <rFont val="WenQuanYi Zen Hei"/>
        <family val="2"/>
      </rPr>
      <t xml:space="preserve">一丸</t>
    </r>
  </si>
  <si>
    <t xml:space="preserve">0000000003861</t>
  </si>
  <si>
    <r>
      <rPr>
        <sz val="11"/>
        <rFont val="游ゴシック"/>
        <family val="0"/>
        <charset val="1"/>
      </rPr>
      <t xml:space="preserve">33</t>
    </r>
    <r>
      <rPr>
        <sz val="11"/>
        <rFont val="WenQuanYi Zen Hei"/>
        <family val="2"/>
      </rPr>
      <t xml:space="preserve">美樹丸</t>
    </r>
  </si>
  <si>
    <t xml:space="preserve">0000000003881</t>
  </si>
  <si>
    <r>
      <rPr>
        <sz val="11"/>
        <rFont val="游ゴシック"/>
        <family val="0"/>
        <charset val="1"/>
      </rPr>
      <t xml:space="preserve">TT19  78</t>
    </r>
    <r>
      <rPr>
        <sz val="11"/>
        <rFont val="WenQuanYi Zen Hei"/>
        <family val="2"/>
      </rPr>
      <t xml:space="preserve">魚進丸</t>
    </r>
  </si>
  <si>
    <t xml:space="preserve">0000000003911</t>
  </si>
  <si>
    <r>
      <rPr>
        <sz val="11"/>
        <rFont val="游ゴシック"/>
        <family val="0"/>
        <charset val="1"/>
      </rPr>
      <t xml:space="preserve">18</t>
    </r>
    <r>
      <rPr>
        <sz val="11"/>
        <rFont val="WenQuanYi Zen Hei"/>
        <family val="2"/>
      </rPr>
      <t xml:space="preserve">清宝丸</t>
    </r>
  </si>
  <si>
    <t xml:space="preserve">0000000003931</t>
  </si>
  <si>
    <t xml:space="preserve">川康金比羅丸</t>
  </si>
  <si>
    <t xml:space="preserve">0000000003941</t>
  </si>
  <si>
    <t xml:space="preserve">一信丸</t>
  </si>
  <si>
    <t xml:space="preserve">0000000003951</t>
  </si>
  <si>
    <t xml:space="preserve">坂昭金比羅丸</t>
  </si>
  <si>
    <t xml:space="preserve">0000000003961</t>
  </si>
  <si>
    <r>
      <rPr>
        <sz val="11"/>
        <rFont val="游ゴシック"/>
        <family val="0"/>
        <charset val="1"/>
      </rPr>
      <t xml:space="preserve">TT19  3</t>
    </r>
    <r>
      <rPr>
        <sz val="11"/>
        <rFont val="WenQuanYi Zen Hei"/>
        <family val="2"/>
      </rPr>
      <t xml:space="preserve">海裕丸</t>
    </r>
  </si>
  <si>
    <t xml:space="preserve">0000000003981</t>
  </si>
  <si>
    <t xml:space="preserve">温泉津定置</t>
  </si>
  <si>
    <t xml:space="preserve">0000000004001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</si>
  <si>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7 </t>
    </r>
    <r>
      <rPr>
        <sz val="11"/>
        <rFont val="WenQuanYi Zen Hei"/>
        <family val="2"/>
      </rPr>
      <t xml:space="preserve">昭徳丸</t>
    </r>
  </si>
  <si>
    <t xml:space="preserve">0000000004011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</si>
  <si>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38 </t>
    </r>
    <r>
      <rPr>
        <sz val="11"/>
        <rFont val="WenQuanYi Zen Hei"/>
        <family val="2"/>
      </rPr>
      <t xml:space="preserve">昭徳丸</t>
    </r>
  </si>
  <si>
    <t xml:space="preserve">0000000004021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</si>
  <si>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27</t>
    </r>
    <r>
      <rPr>
        <sz val="11"/>
        <rFont val="WenQuanYi Zen Hei"/>
        <family val="2"/>
      </rPr>
      <t xml:space="preserve">昭徳丸</t>
    </r>
  </si>
  <si>
    <t xml:space="preserve">0000000004031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</si>
  <si>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28</t>
    </r>
    <r>
      <rPr>
        <sz val="11"/>
        <rFont val="WenQuanYi Zen Hei"/>
        <family val="2"/>
      </rPr>
      <t xml:space="preserve">徳丸</t>
    </r>
  </si>
  <si>
    <t xml:space="preserve">0000000004041</t>
  </si>
  <si>
    <r>
      <rPr>
        <sz val="11"/>
        <rFont val="游ゴシック"/>
        <family val="0"/>
        <charset val="1"/>
      </rPr>
      <t xml:space="preserve">75</t>
    </r>
    <r>
      <rPr>
        <sz val="11"/>
        <rFont val="WenQuanYi Zen Hei"/>
        <family val="2"/>
      </rPr>
      <t xml:space="preserve">天王丸</t>
    </r>
  </si>
  <si>
    <t xml:space="preserve">0000000041661</t>
  </si>
  <si>
    <r>
      <rPr>
        <sz val="11"/>
        <rFont val="游ゴシック"/>
        <family val="0"/>
        <charset val="1"/>
      </rPr>
      <t xml:space="preserve">116</t>
    </r>
    <r>
      <rPr>
        <sz val="11"/>
        <rFont val="WenQuanYi Zen Hei"/>
        <family val="2"/>
      </rPr>
      <t xml:space="preserve">ﾏﾙｾｲ商店 浜田荷役</t>
    </r>
  </si>
  <si>
    <t xml:space="preserve">0000000057001</t>
  </si>
  <si>
    <t xml:space="preserve">坂中急送</t>
  </si>
  <si>
    <t xml:space="preserve">0000000202831</t>
  </si>
  <si>
    <t xml:space="preserve">㈲福宝水産 海幸丸</t>
  </si>
  <si>
    <t xml:space="preserve">0000000202901</t>
  </si>
  <si>
    <t xml:space="preserve">㈱かもしま荷役</t>
  </si>
  <si>
    <t xml:space="preserve">0000000301191</t>
  </si>
  <si>
    <t xml:space="preserve">㈲浜崎直祐商店荷役※</t>
  </si>
  <si>
    <t xml:space="preserve">0000000301291</t>
  </si>
  <si>
    <r>
      <rPr>
        <sz val="11"/>
        <rFont val="WenQuanYi Zen Hei"/>
        <family val="2"/>
      </rPr>
      <t xml:space="preserve">村田漁村㈱</t>
    </r>
    <r>
      <rPr>
        <sz val="11"/>
        <rFont val="游ゴシック"/>
        <family val="0"/>
        <charset val="1"/>
      </rPr>
      <t xml:space="preserve">-</t>
    </r>
    <r>
      <rPr>
        <sz val="11"/>
        <rFont val="WenQuanYi Zen Hei"/>
        <family val="2"/>
      </rPr>
      <t xml:space="preserve">荷役</t>
    </r>
    <r>
      <rPr>
        <sz val="11"/>
        <rFont val="游ゴシック"/>
        <family val="0"/>
        <charset val="1"/>
      </rPr>
      <t xml:space="preserve">-</t>
    </r>
  </si>
  <si>
    <t xml:space="preserve">0000000002408</t>
  </si>
  <si>
    <t xml:space="preserve">ｲﾆｼｵﾌｰｽﾞ㈱</t>
  </si>
  <si>
    <t xml:space="preserve">0552</t>
  </si>
  <si>
    <r>
      <rPr>
        <sz val="11"/>
        <rFont val="WenQuanYi Zen Hei"/>
        <family val="2"/>
      </rPr>
      <t xml:space="preserve">馬場部長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東京</t>
    </r>
    <r>
      <rPr>
        <sz val="11"/>
        <rFont val="游ゴシック"/>
        <family val="0"/>
        <charset val="1"/>
      </rPr>
      <t xml:space="preserve">)</t>
    </r>
  </si>
  <si>
    <t xml:space="preserve">0000000003708</t>
  </si>
  <si>
    <t xml:space="preserve">㈱栄和ﾌﾟﾗﾝﾆﾝｸﾞ</t>
  </si>
  <si>
    <t xml:space="preserve">0000000005628</t>
  </si>
  <si>
    <t xml:space="preserve">0000000011628</t>
  </si>
  <si>
    <t xml:space="preserve">ﾘﾝｶﾞｰﾌｰｽﾞ㈱</t>
  </si>
  <si>
    <t xml:space="preserve">0000000029808</t>
  </si>
  <si>
    <t xml:space="preserve">ﾃｨｰﾌｰｽﾞ･ｼﾞｬﾊﾟﾝ㈱</t>
  </si>
  <si>
    <t xml:space="preserve">0000000067008</t>
  </si>
  <si>
    <t xml:space="preserve">㈱ｻﾝｷ</t>
  </si>
  <si>
    <t xml:space="preserve">0000000067208</t>
  </si>
  <si>
    <t xml:space="preserve">千倉水産加工販売㈱</t>
  </si>
  <si>
    <t xml:space="preserve">0000000077608</t>
  </si>
  <si>
    <t xml:space="preserve">日鉄ｽﾃﾝﾚｽ鋼管㈱</t>
  </si>
  <si>
    <t xml:space="preserve">0000000077618</t>
  </si>
  <si>
    <t xml:space="preserve">日鉄ｽﾃﾝﾚｽ鋼管北関東</t>
  </si>
  <si>
    <t xml:space="preserve">0000000078508</t>
  </si>
  <si>
    <t xml:space="preserve">㈱ﾌｼﾞｼﾛ</t>
  </si>
  <si>
    <t xml:space="preserve">0000000085508</t>
  </si>
  <si>
    <t xml:space="preserve">㈱ﾏｰﾙ</t>
  </si>
  <si>
    <t xml:space="preserve">0000000100108</t>
  </si>
  <si>
    <t xml:space="preserve">㈱柴田屋酒店</t>
  </si>
  <si>
    <t xml:space="preserve">0000000100208</t>
  </si>
  <si>
    <t xml:space="preserve">㈱ｲｸﾀﾂ精米工場</t>
  </si>
  <si>
    <t xml:space="preserve">0000000100308</t>
  </si>
  <si>
    <t xml:space="preserve">ﾕﾆｵﾝﾁｰｽﾞ㈱</t>
  </si>
  <si>
    <t xml:space="preserve">0000000100318</t>
  </si>
  <si>
    <t xml:space="preserve">ﾕﾆｵﾝﾁｰｽﾞ㈱戸田工場</t>
  </si>
  <si>
    <t xml:space="preserve">0000000100328</t>
  </si>
  <si>
    <t xml:space="preserve">0000000100608</t>
  </si>
  <si>
    <t xml:space="preserve">㈱篠原製菓</t>
  </si>
  <si>
    <t xml:space="preserve">0000000100708</t>
  </si>
  <si>
    <t xml:space="preserve">㈱ｾｿﾞｵﾝ</t>
  </si>
  <si>
    <t xml:space="preserve">0000000100808</t>
  </si>
  <si>
    <t xml:space="preserve">㈱ﾘﾝｶﾞｰﾊｯﾄﾍﾞﾝﾀﾞｰﾁｰﾑ</t>
  </si>
  <si>
    <t xml:space="preserve">0000000100908</t>
  </si>
  <si>
    <t xml:space="preserve">㈱ﾔﾏﾓﾄ</t>
  </si>
  <si>
    <t xml:space="preserve">0000000101108</t>
  </si>
  <si>
    <t xml:space="preserve">㈱ｵｰｸｺｰﾎﾟﾚｰｼｮﾝ</t>
  </si>
  <si>
    <t xml:space="preserve">0000000101208</t>
  </si>
  <si>
    <t xml:space="preserve">三愛ｵﾌﾞﾘﾃｯｸ㈱かずさ</t>
  </si>
  <si>
    <t xml:space="preserve">0000000101218</t>
  </si>
  <si>
    <t xml:space="preserve">三愛ｵﾌﾞﾘﾃｯｸ㈱東京</t>
  </si>
  <si>
    <t xml:space="preserve">0000000101228</t>
  </si>
  <si>
    <t xml:space="preserve">三愛ｵﾌﾞﾘﾃｯｸ㈱関西</t>
  </si>
  <si>
    <t xml:space="preserve">0000000101308</t>
  </si>
  <si>
    <t xml:space="preserve">㈱松屋フーズ</t>
  </si>
  <si>
    <t xml:space="preserve">0000000102008</t>
  </si>
  <si>
    <t xml:space="preserve">㈱ﾘﾝｶﾞｰﾊｯﾄ商品開発</t>
  </si>
  <si>
    <t xml:space="preserve">0000000111628</t>
  </si>
  <si>
    <t xml:space="preserve">0000000112628</t>
  </si>
  <si>
    <t xml:space="preserve">0000000000109</t>
  </si>
  <si>
    <t xml:space="preserve">㈱ｱｲｽﾞ</t>
  </si>
  <si>
    <t xml:space="preserve">0903</t>
  </si>
  <si>
    <t xml:space="preserve">西岡</t>
  </si>
  <si>
    <t xml:space="preserve">0000000002109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</si>
  <si>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市川製麺</t>
    </r>
  </si>
  <si>
    <t xml:space="preserve">0000000003509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</si>
  <si>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うつわ屋</t>
    </r>
  </si>
  <si>
    <t xml:space="preserve">0000000006109</t>
  </si>
  <si>
    <t xml:space="preserve">㈱小川商店</t>
  </si>
  <si>
    <t xml:space="preserve">0000000007209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</si>
  <si>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景山水産</t>
    </r>
  </si>
  <si>
    <t xml:space="preserve">0000000007309</t>
  </si>
  <si>
    <r>
      <rPr>
        <sz val="11"/>
        <rFont val="WenQuanYi Zen Hei"/>
        <family val="2"/>
      </rPr>
      <t xml:space="preserve">境港水産加工業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協組</t>
    </r>
    <r>
      <rPr>
        <sz val="11"/>
        <rFont val="游ゴシック"/>
        <family val="0"/>
        <charset val="1"/>
      </rPr>
      <t xml:space="preserve">)</t>
    </r>
  </si>
  <si>
    <t xml:space="preserve">0000000008909</t>
  </si>
  <si>
    <t xml:space="preserve">ﾘﾊﾞｰﾄﾞ米子</t>
  </si>
  <si>
    <t xml:space="preserve">0000000008959</t>
  </si>
  <si>
    <t xml:space="preserve">ﾘﾊﾞｰﾄﾞ本社</t>
  </si>
  <si>
    <t xml:space="preserve">0000000009409</t>
  </si>
  <si>
    <t xml:space="preserve">環境ﾌﾟﾗﾝﾄ工業㈱</t>
  </si>
  <si>
    <t xml:space="preserve">0000000012509</t>
  </si>
  <si>
    <t xml:space="preserve">甲陽ｹﾐｶﾙ㈱</t>
  </si>
  <si>
    <t xml:space="preserve">0000000015609</t>
  </si>
  <si>
    <t xml:space="preserve">境港福ｸﾞﾙｰﾌﾟﾎｰﾑ夕日</t>
  </si>
  <si>
    <t xml:space="preserve">0000000017409</t>
  </si>
  <si>
    <t xml:space="preserve">鳥取県産業技術ｾﾝﾀｰ</t>
  </si>
  <si>
    <t xml:space="preserve">0000000017569</t>
  </si>
  <si>
    <t xml:space="preserve">ｳﾐｵｽｻﾝｸﾞﾙﾒ㈱</t>
  </si>
  <si>
    <t xml:space="preserve">0000000026009</t>
  </si>
  <si>
    <t xml:space="preserve">㈱大昇食品</t>
  </si>
  <si>
    <t xml:space="preserve">0000000026059</t>
  </si>
  <si>
    <t xml:space="preserve">㈱大昇食品  機械</t>
  </si>
  <si>
    <t xml:space="preserve">0000000026209</t>
  </si>
  <si>
    <t xml:space="preserve">㈱大新</t>
  </si>
  <si>
    <t xml:space="preserve">0000000026259</t>
  </si>
  <si>
    <t xml:space="preserve">㈱大新鮮魚課</t>
  </si>
  <si>
    <t xml:space="preserve">0000000026509</t>
  </si>
  <si>
    <r>
      <rPr>
        <sz val="11"/>
        <rFont val="WenQuanYi Zen Hei"/>
        <family val="2"/>
      </rPr>
      <t xml:space="preserve">㈱大新第</t>
    </r>
    <r>
      <rPr>
        <sz val="11"/>
        <rFont val="游ゴシック"/>
        <family val="0"/>
        <charset val="1"/>
      </rPr>
      <t xml:space="preserve">3</t>
    </r>
    <r>
      <rPr>
        <sz val="11"/>
        <rFont val="WenQuanYi Zen Hei"/>
        <family val="2"/>
      </rPr>
      <t xml:space="preserve">工場</t>
    </r>
  </si>
  <si>
    <t xml:space="preserve">0000000026809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</si>
  <si>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一社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大山恵みの里公</t>
    </r>
  </si>
  <si>
    <t xml:space="preserve">0000000028609</t>
  </si>
  <si>
    <t xml:space="preserve">ﾁｬﾝﾋﾟｵﾝ</t>
  </si>
  <si>
    <t xml:space="preserve">0000000030909</t>
  </si>
  <si>
    <t xml:space="preserve">鳥取缶詰㈱</t>
  </si>
  <si>
    <t xml:space="preserve">0000000033809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</si>
  <si>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仲屋食品</t>
    </r>
  </si>
  <si>
    <t xml:space="preserve">0000000035909</t>
  </si>
  <si>
    <t xml:space="preserve">㈲長谷川商店</t>
  </si>
  <si>
    <t xml:space="preserve">0000000037109</t>
  </si>
  <si>
    <t xml:space="preserve">㈱福栄</t>
  </si>
  <si>
    <t xml:space="preserve">0000000037159</t>
  </si>
  <si>
    <t xml:space="preserve">㈱福栄  機械</t>
  </si>
  <si>
    <t xml:space="preserve">0000000039409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</si>
  <si>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細井牛肉店</t>
    </r>
  </si>
  <si>
    <t xml:space="preserve">0000000041009</t>
  </si>
  <si>
    <t xml:space="preserve">むらまつ商店</t>
  </si>
  <si>
    <t xml:space="preserve">0000000042409</t>
  </si>
  <si>
    <r>
      <rPr>
        <sz val="11"/>
        <rFont val="WenQuanYi Zen Hei"/>
        <family val="2"/>
      </rPr>
      <t xml:space="preserve">ﾏﾙﾃ水産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</si>
  <si>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0000000042709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</si>
  <si>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丸山水産</t>
    </r>
  </si>
  <si>
    <t xml:space="preserve">0000000044409</t>
  </si>
  <si>
    <r>
      <rPr>
        <sz val="11"/>
        <rFont val="WenQuanYi Zen Hei"/>
        <family val="2"/>
      </rPr>
      <t xml:space="preserve">明成ﾌｰｽﾞ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</si>
  <si>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0000000046409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</si>
  <si>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山本製麺所</t>
    </r>
  </si>
  <si>
    <t xml:space="preserve">0000000046509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</si>
  <si>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山芳海産</t>
    </r>
  </si>
  <si>
    <t xml:space="preserve">0000000050109</t>
  </si>
  <si>
    <t xml:space="preserve">㈱だいせん麺工房</t>
  </si>
  <si>
    <t xml:space="preserve">0000000050159</t>
  </si>
  <si>
    <t xml:space="preserve">㈱だいせん麺工房機械</t>
  </si>
  <si>
    <t xml:space="preserve">0000000050809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</si>
  <si>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海士物産</t>
    </r>
  </si>
  <si>
    <t xml:space="preserve">0000000053909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</si>
  <si>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荒木商店</t>
    </r>
  </si>
  <si>
    <t xml:space="preserve">0000000054909</t>
  </si>
  <si>
    <t xml:space="preserve">宝製菓㈱</t>
  </si>
  <si>
    <t xml:space="preserve">0000000057209</t>
  </si>
  <si>
    <t xml:space="preserve">㈱ひろせﾌﾟﾛﾀﾞｸﾄ</t>
  </si>
  <si>
    <t xml:space="preserve">0000000057719</t>
  </si>
  <si>
    <t xml:space="preserve">㈱はなふさ本店</t>
  </si>
  <si>
    <t xml:space="preserve">0000000058109</t>
  </si>
  <si>
    <t xml:space="preserve">田手商店</t>
  </si>
  <si>
    <t xml:space="preserve">0000000059909</t>
  </si>
  <si>
    <t xml:space="preserve">㈱千年王国</t>
  </si>
  <si>
    <t xml:space="preserve">0000000061119</t>
  </si>
  <si>
    <t xml:space="preserve">神港魚類㈱</t>
  </si>
  <si>
    <t xml:space="preserve">0000000061609</t>
  </si>
  <si>
    <t xml:space="preserve">㈱小田屋</t>
  </si>
  <si>
    <t xml:space="preserve">0000000061909</t>
  </si>
  <si>
    <t xml:space="preserve">㈱しんわ</t>
  </si>
  <si>
    <t xml:space="preserve">0000000062109</t>
  </si>
  <si>
    <t xml:space="preserve">㈱ﾊﾀﾀﾞ</t>
  </si>
  <si>
    <t xml:space="preserve">0000000065529</t>
  </si>
  <si>
    <t xml:space="preserve">㈱元気亭ぐるーぷ</t>
  </si>
  <si>
    <t xml:space="preserve">0000000069109</t>
  </si>
  <si>
    <t xml:space="preserve">ｴﾑｹｲ開発㈱大山望</t>
  </si>
  <si>
    <t xml:space="preserve">0000000074009</t>
  </si>
  <si>
    <r>
      <rPr>
        <sz val="11"/>
        <rFont val="WenQuanYi Zen Hei"/>
        <family val="2"/>
      </rPr>
      <t xml:space="preserve">宝福一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</si>
  <si>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0000000075309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</si>
  <si>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ｴﾌｴｽｴｰｼｽﾃﾑｽﾞ</t>
    </r>
  </si>
  <si>
    <t xml:space="preserve">0000000075909</t>
  </si>
  <si>
    <t xml:space="preserve">松本輝彦</t>
  </si>
  <si>
    <t xml:space="preserve">0000000077809</t>
  </si>
  <si>
    <t xml:space="preserve">㈱なかたか</t>
  </si>
  <si>
    <t xml:space="preserve">0000000078909</t>
  </si>
  <si>
    <t xml:space="preserve">ｹｰｷｼｮｯﾌﾟﾏﾛﾏﾛ</t>
  </si>
  <si>
    <t xml:space="preserve">0000000079309</t>
  </si>
  <si>
    <t xml:space="preserve">榧野鮮魚店</t>
  </si>
  <si>
    <t xml:space="preserve">0000000082609</t>
  </si>
  <si>
    <t xml:space="preserve">喫茶ｸﾛ</t>
  </si>
  <si>
    <t xml:space="preserve">0000000085709</t>
  </si>
  <si>
    <r>
      <rPr>
        <sz val="11"/>
        <rFont val="游ゴシック"/>
        <family val="0"/>
        <charset val="1"/>
      </rPr>
      <t xml:space="preserve">NPO</t>
    </r>
    <r>
      <rPr>
        <sz val="11"/>
        <rFont val="WenQuanYi Zen Hei"/>
        <family val="2"/>
      </rPr>
      <t xml:space="preserve">法人しんらい新川</t>
    </r>
  </si>
  <si>
    <t xml:space="preserve">0000000086009</t>
  </si>
  <si>
    <t xml:space="preserve">ｴﾑｹｲ開発㈱ﾌｧｰﾑｶﾌｪ</t>
  </si>
  <si>
    <t xml:space="preserve">0000000090309</t>
  </si>
  <si>
    <t xml:space="preserve">ｶﾌｪｺｺｯﾄ</t>
  </si>
  <si>
    <t xml:space="preserve">0000000090809</t>
  </si>
  <si>
    <t xml:space="preserve">はまゆう</t>
  </si>
  <si>
    <t xml:space="preserve">0000000092209</t>
  </si>
  <si>
    <r>
      <rPr>
        <sz val="11"/>
        <rFont val="游ゴシック"/>
        <family val="0"/>
        <charset val="1"/>
      </rPr>
      <t xml:space="preserve">EGA (</t>
    </r>
    <r>
      <rPr>
        <sz val="11"/>
        <rFont val="WenQuanYi Zen Hei"/>
        <family val="2"/>
      </rPr>
      <t xml:space="preserve">旧みそら</t>
    </r>
    <r>
      <rPr>
        <sz val="11"/>
        <rFont val="游ゴシック"/>
        <family val="0"/>
        <charset val="1"/>
      </rPr>
      <t xml:space="preserve">)</t>
    </r>
  </si>
  <si>
    <t xml:space="preserve">0000000092409</t>
  </si>
  <si>
    <t xml:space="preserve">㈱串惣</t>
  </si>
  <si>
    <t xml:space="preserve">0000000092609</t>
  </si>
  <si>
    <t xml:space="preserve">FOOD Marico</t>
  </si>
  <si>
    <t xml:space="preserve">0000000001209</t>
  </si>
  <si>
    <r>
      <rPr>
        <sz val="11"/>
        <rFont val="游ゴシック"/>
        <family val="0"/>
        <charset val="1"/>
      </rPr>
      <t xml:space="preserve">ADEKA</t>
    </r>
    <r>
      <rPr>
        <sz val="11"/>
        <rFont val="WenQuanYi Zen Hei"/>
        <family val="2"/>
      </rPr>
      <t xml:space="preserve">ﾌｧｲﾝﾌｰｽﾞ㈱</t>
    </r>
  </si>
  <si>
    <t xml:space="preserve">0904</t>
  </si>
  <si>
    <r>
      <rPr>
        <sz val="11"/>
        <rFont val="WenQuanYi Zen Hei"/>
        <family val="2"/>
      </rPr>
      <t xml:space="preserve">足立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直</t>
    </r>
    <r>
      <rPr>
        <sz val="11"/>
        <rFont val="游ゴシック"/>
        <family val="0"/>
        <charset val="1"/>
      </rPr>
      <t xml:space="preserve">)</t>
    </r>
  </si>
  <si>
    <t xml:space="preserve">0000000001409</t>
  </si>
  <si>
    <r>
      <rPr>
        <sz val="11"/>
        <rFont val="游ゴシック"/>
        <family val="0"/>
        <charset val="1"/>
      </rPr>
      <t xml:space="preserve">ADEKA</t>
    </r>
    <r>
      <rPr>
        <sz val="11"/>
        <rFont val="WenQuanYi Zen Hei"/>
        <family val="2"/>
      </rPr>
      <t xml:space="preserve">ﾌｧｲﾝﾌｰｽﾞ㈱包装</t>
    </r>
  </si>
  <si>
    <t xml:space="preserve">0000000005709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</si>
  <si>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岡野青果</t>
    </r>
  </si>
  <si>
    <t xml:space="preserve">0000000005909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</si>
  <si>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岡野農場</t>
    </r>
  </si>
  <si>
    <t xml:space="preserve">0000000015209</t>
  </si>
  <si>
    <t xml:space="preserve">0000000015309</t>
  </si>
  <si>
    <t xml:space="preserve">境港ｾﾝﾀｰ冷蔵㈱</t>
  </si>
  <si>
    <t xml:space="preserve">0000000024209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</si>
  <si>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西米食品</t>
    </r>
  </si>
  <si>
    <t xml:space="preserve">0000000025709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</si>
  <si>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大根屋</t>
    </r>
  </si>
  <si>
    <t xml:space="preserve">0000000030109</t>
  </si>
  <si>
    <t xml:space="preserve">㈱ユニバックシール</t>
  </si>
  <si>
    <t xml:space="preserve">0000000034609</t>
  </si>
  <si>
    <t xml:space="preserve">日本海冷凍魚㈱資材</t>
  </si>
  <si>
    <t xml:space="preserve">0000000034709</t>
  </si>
  <si>
    <t xml:space="preserve">日本海冷凍魚㈱部品</t>
  </si>
  <si>
    <t xml:space="preserve">0000000036909</t>
  </si>
  <si>
    <t xml:space="preserve">㈱ﾌｧｰｽﾄﾌﾟﾗｲｽﾞ</t>
  </si>
  <si>
    <t xml:space="preserve">0000000039209</t>
  </si>
  <si>
    <t xml:space="preserve">北陽冷蔵㈱</t>
  </si>
  <si>
    <t xml:space="preserve">0000000039609</t>
  </si>
  <si>
    <r>
      <rPr>
        <sz val="11"/>
        <rFont val="游ゴシック"/>
        <family val="0"/>
        <charset val="1"/>
      </rPr>
      <t xml:space="preserve">myAN</t>
    </r>
    <r>
      <rPr>
        <sz val="11"/>
        <rFont val="WenQuanYi Zen Hei"/>
        <family val="2"/>
      </rPr>
      <t xml:space="preserve">㈱ ﾏｲｱﾝ</t>
    </r>
  </si>
  <si>
    <t xml:space="preserve">0000000071809</t>
  </si>
  <si>
    <t xml:space="preserve">ﾆｯｽｲｻｰﾓﾝ㈱弓ヶ浜水産</t>
  </si>
  <si>
    <t xml:space="preserve">0000000077409</t>
  </si>
  <si>
    <t xml:space="preserve">しじみ市場㈱</t>
  </si>
  <si>
    <t xml:space="preserve">0000000080619</t>
  </si>
  <si>
    <t xml:space="preserve">みどり園芸組合</t>
  </si>
  <si>
    <t xml:space="preserve">0000000091109</t>
  </si>
  <si>
    <t xml:space="preserve">㈱太陽食品</t>
  </si>
  <si>
    <t xml:space="preserve">0000000091509</t>
  </si>
  <si>
    <t xml:space="preserve">中浦食品㈱</t>
  </si>
  <si>
    <t xml:space="preserve">0000000091709</t>
  </si>
  <si>
    <t xml:space="preserve">㈱上代</t>
  </si>
  <si>
    <t xml:space="preserve">0000000012909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</si>
  <si>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小倉水産食品</t>
    </r>
  </si>
  <si>
    <t xml:space="preserve">0909</t>
  </si>
  <si>
    <t xml:space="preserve">藤波</t>
  </si>
  <si>
    <t xml:space="preserve">0000000017709</t>
  </si>
  <si>
    <t xml:space="preserve">㈱さんれいﾌｰｽﾞ境港</t>
  </si>
  <si>
    <t xml:space="preserve">0000000017919</t>
  </si>
  <si>
    <t xml:space="preserve">さんれいﾌｰｽﾞ境港機械</t>
  </si>
  <si>
    <t xml:space="preserve">0000000018109</t>
  </si>
  <si>
    <t xml:space="preserve">㈱さんれいﾌｰｽﾞ安来</t>
  </si>
  <si>
    <t xml:space="preserve">0000000018139</t>
  </si>
  <si>
    <t xml:space="preserve">㈱さんれいﾌｰｽﾞ管理</t>
  </si>
  <si>
    <t xml:space="preserve">0000000018149</t>
  </si>
  <si>
    <t xml:space="preserve">さんれい安来保守点検</t>
  </si>
  <si>
    <t xml:space="preserve">0000000018509</t>
  </si>
  <si>
    <t xml:space="preserve">㈱さんれいﾌｰｽﾞ</t>
  </si>
  <si>
    <t xml:space="preserve">0000000018909</t>
  </si>
  <si>
    <r>
      <rPr>
        <sz val="11"/>
        <rFont val="WenQuanYi Zen Hei"/>
        <family val="2"/>
      </rPr>
      <t xml:space="preserve">㈱さんれいﾌｰｽﾞ第</t>
    </r>
    <r>
      <rPr>
        <sz val="11"/>
        <rFont val="游ゴシック"/>
        <family val="0"/>
        <charset val="1"/>
      </rPr>
      <t xml:space="preserve">2</t>
    </r>
    <r>
      <rPr>
        <sz val="11"/>
        <rFont val="WenQuanYi Zen Hei"/>
        <family val="2"/>
      </rPr>
      <t xml:space="preserve">営</t>
    </r>
  </si>
  <si>
    <t xml:space="preserve">0000000019009</t>
  </si>
  <si>
    <t xml:space="preserve">㈱さんれいﾌｰｽﾞ津山</t>
  </si>
  <si>
    <t xml:space="preserve">0000000035009</t>
  </si>
  <si>
    <t xml:space="preserve">日本食品工業㈱</t>
  </si>
  <si>
    <t xml:space="preserve">0000000035059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</si>
  <si>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大味研</t>
    </r>
  </si>
  <si>
    <t xml:space="preserve">0000000036009</t>
  </si>
  <si>
    <t xml:space="preserve">鳥取はまみ屋</t>
  </si>
  <si>
    <t xml:space="preserve">0000000039909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</si>
  <si>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前田水産</t>
    </r>
  </si>
  <si>
    <t xml:space="preserve">0000000045109</t>
  </si>
  <si>
    <t xml:space="preserve">㈱ﾓﾘｲ食品</t>
  </si>
  <si>
    <t xml:space="preserve">0000000045209</t>
  </si>
  <si>
    <t xml:space="preserve">㈱ﾓﾘｲ食品原材料</t>
  </si>
  <si>
    <t xml:space="preserve">0000000046709</t>
  </si>
  <si>
    <t xml:space="preserve">日本庭園由志園</t>
  </si>
  <si>
    <t xml:space="preserve">0000000046759</t>
  </si>
  <si>
    <t xml:space="preserve">由志園ｱｸﾞﾘﾌｧｰﾑ</t>
  </si>
  <si>
    <t xml:space="preserve">0000000051309</t>
  </si>
  <si>
    <r>
      <rPr>
        <sz val="11"/>
        <rFont val="游ゴシック"/>
        <family val="0"/>
        <charset val="1"/>
      </rPr>
      <t xml:space="preserve">ANA</t>
    </r>
    <r>
      <rPr>
        <sz val="11"/>
        <rFont val="WenQuanYi Zen Hei"/>
        <family val="2"/>
      </rPr>
      <t xml:space="preserve">ｸﾗｳﾝﾌﾟﾗｻﾞﾎﾃﾙ米子</t>
    </r>
  </si>
  <si>
    <t xml:space="preserve">0000000057739</t>
  </si>
  <si>
    <t xml:space="preserve">㈱はなふさ米子営業所</t>
  </si>
  <si>
    <t xml:space="preserve">0000000058609</t>
  </si>
  <si>
    <t xml:space="preserve">㈱澤井珈琲</t>
  </si>
  <si>
    <t xml:space="preserve">0000000058679</t>
  </si>
  <si>
    <r>
      <rPr>
        <sz val="11"/>
        <rFont val="WenQuanYi Zen Hei"/>
        <family val="2"/>
      </rPr>
      <t xml:space="preserve">松江ﾘｰｽ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澤井珈琲</t>
    </r>
    <r>
      <rPr>
        <sz val="11"/>
        <rFont val="游ゴシック"/>
        <family val="0"/>
        <charset val="1"/>
      </rPr>
      <t xml:space="preserve">)</t>
    </r>
  </si>
  <si>
    <t xml:space="preserve">0000000065709</t>
  </si>
  <si>
    <t xml:space="preserve">石倉水産</t>
  </si>
  <si>
    <t xml:space="preserve">0000000086509</t>
  </si>
  <si>
    <t xml:space="preserve">さんれいﾌｰｽﾞﾐｰﾄ備品</t>
  </si>
  <si>
    <t xml:space="preserve">0000000086709</t>
  </si>
  <si>
    <t xml:space="preserve">さんれいﾌｰｽﾞﾐｰﾄ資材</t>
  </si>
  <si>
    <t xml:space="preserve">0000000086909</t>
  </si>
  <si>
    <t xml:space="preserve">はなふさ 花房精肉店</t>
  </si>
  <si>
    <t xml:space="preserve">0000000090209</t>
  </si>
  <si>
    <t xml:space="preserve">㈱さんれいﾌｰｽﾞ開発</t>
  </si>
  <si>
    <t xml:space="preserve">0000000091609</t>
  </si>
  <si>
    <t xml:space="preserve">㈱ﾊﾟﾜﾌﾙｼﾞｬﾊﾟﾝ伯耆</t>
  </si>
  <si>
    <t xml:space="preserve">0000000091809</t>
  </si>
  <si>
    <t xml:space="preserve">境港ｶﾇﾚ</t>
  </si>
  <si>
    <t xml:space="preserve">0000000091909</t>
  </si>
  <si>
    <t xml:space="preserve">㈱澤井珈琲ｳｴﾙﾈｽ</t>
  </si>
  <si>
    <t xml:space="preserve">0000000000309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</si>
  <si>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赤石商店</t>
    </r>
  </si>
  <si>
    <t xml:space="preserve">0911</t>
  </si>
  <si>
    <t xml:space="preserve">川邊</t>
  </si>
  <si>
    <t xml:space="preserve">0000000001809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</si>
  <si>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石鹿商店</t>
    </r>
  </si>
  <si>
    <t xml:space="preserve">0000000002009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</si>
  <si>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板見製餡所</t>
    </r>
  </si>
  <si>
    <t xml:space="preserve">0000000004709</t>
  </si>
  <si>
    <t xml:space="preserve">㈱ｵｰｸ</t>
  </si>
  <si>
    <t xml:space="preserve">0000000005209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</si>
  <si>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大村自動車商会</t>
    </r>
  </si>
  <si>
    <t xml:space="preserve">0000000006809</t>
  </si>
  <si>
    <t xml:space="preserve">㈱海産物のきむらや</t>
  </si>
  <si>
    <t xml:space="preserve">0000000007909</t>
  </si>
  <si>
    <t xml:space="preserve">㈱角屋食品</t>
  </si>
  <si>
    <t xml:space="preserve">0000000007959</t>
  </si>
  <si>
    <t xml:space="preserve">㈱角屋食品調味料</t>
  </si>
  <si>
    <t xml:space="preserve">0000000013709</t>
  </si>
  <si>
    <t xml:space="preserve">寿製菓㈱</t>
  </si>
  <si>
    <t xml:space="preserve">0000000014109</t>
  </si>
  <si>
    <t xml:space="preserve">㈱小林冷蔵米子営業所</t>
  </si>
  <si>
    <t xml:space="preserve">0000000021009</t>
  </si>
  <si>
    <t xml:space="preserve">寿隆蒲鉾㈱</t>
  </si>
  <si>
    <t xml:space="preserve">0000000021109</t>
  </si>
  <si>
    <t xml:space="preserve">寿隆蒲鉾㈱機械</t>
  </si>
  <si>
    <t xml:space="preserve">0000000023009</t>
  </si>
  <si>
    <t xml:space="preserve">角蒲鉾㈱</t>
  </si>
  <si>
    <t xml:space="preserve">0000000023109</t>
  </si>
  <si>
    <t xml:space="preserve">角蒲鉾㈱部品代</t>
  </si>
  <si>
    <t xml:space="preserve">0000000023209</t>
  </si>
  <si>
    <t xml:space="preserve">角蒲鉾㈱調味料</t>
  </si>
  <si>
    <t xml:space="preserve">0000000023309</t>
  </si>
  <si>
    <t xml:space="preserve">角蒲鉾㈱機械代</t>
  </si>
  <si>
    <t xml:space="preserve">0000000023409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</si>
  <si>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角久</t>
    </r>
  </si>
  <si>
    <t xml:space="preserve">0000000028509</t>
  </si>
  <si>
    <t xml:space="preserve">千屋水産</t>
  </si>
  <si>
    <t xml:space="preserve">0000000031709</t>
  </si>
  <si>
    <t xml:space="preserve">友田ｾｰﾘﾝｸﾞ㈱第二工場</t>
  </si>
  <si>
    <t xml:space="preserve">0000000031759</t>
  </si>
  <si>
    <t xml:space="preserve">友田ｾｰﾘﾝｸﾞ㈱鮮魚部</t>
  </si>
  <si>
    <t xml:space="preserve">0000000032209</t>
  </si>
  <si>
    <t xml:space="preserve">友田ｾｰﾘﾝｸﾞ㈱本社工場</t>
  </si>
  <si>
    <t xml:space="preserve">0000000033509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</si>
  <si>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長田製麺所</t>
    </r>
  </si>
  <si>
    <t xml:space="preserve">0000000036409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</si>
  <si>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はんのえ</t>
    </r>
  </si>
  <si>
    <t xml:space="preserve">0000000041309</t>
  </si>
  <si>
    <r>
      <rPr>
        <sz val="11"/>
        <rFont val="WenQuanYi Zen Hei"/>
        <family val="2"/>
      </rPr>
      <t xml:space="preserve">丸井食品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</si>
  <si>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0000000044109</t>
  </si>
  <si>
    <t xml:space="preserve">むさし屋</t>
  </si>
  <si>
    <t xml:space="preserve">0000000045609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</si>
  <si>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安田水産</t>
    </r>
  </si>
  <si>
    <t xml:space="preserve">0000000047509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</si>
  <si>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米子冷凍食品</t>
    </r>
  </si>
  <si>
    <t xml:space="preserve">0000000051709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</si>
  <si>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寿山商店資材</t>
    </r>
  </si>
  <si>
    <t xml:space="preserve">0000000051759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</si>
  <si>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寿山商店部品</t>
    </r>
  </si>
  <si>
    <t xml:space="preserve">0000000058009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</si>
  <si>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寿山幸夫商店</t>
    </r>
  </si>
  <si>
    <t xml:space="preserve">0000000060609</t>
  </si>
  <si>
    <t xml:space="preserve">㈱小林冷蔵本社</t>
  </si>
  <si>
    <t xml:space="preserve">0000000062209</t>
  </si>
  <si>
    <t xml:space="preserve">みずとり 米子西ｸﾘﾆｯｸ</t>
  </si>
  <si>
    <t xml:space="preserve">0000000066609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</si>
  <si>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学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あけぼの幼稚園</t>
    </r>
  </si>
  <si>
    <t xml:space="preserve">0000000069809</t>
  </si>
  <si>
    <t xml:space="preserve">ﾘｳﾞよどえ</t>
  </si>
  <si>
    <t xml:space="preserve">0000000071109</t>
  </si>
  <si>
    <r>
      <rPr>
        <sz val="11"/>
        <rFont val="WenQuanYi Zen Hei"/>
        <family val="2"/>
      </rPr>
      <t xml:space="preserve">ﾙｶﾗ ﾋﾄﾄｾ 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旧</t>
    </r>
    <r>
      <rPr>
        <sz val="11"/>
        <rFont val="游ゴシック"/>
        <family val="0"/>
        <charset val="1"/>
      </rPr>
      <t xml:space="preserve">:</t>
    </r>
    <r>
      <rPr>
        <sz val="11"/>
        <rFont val="WenQuanYi Zen Hei"/>
        <family val="2"/>
      </rPr>
      <t xml:space="preserve">大漁丸</t>
    </r>
    <r>
      <rPr>
        <sz val="11"/>
        <rFont val="游ゴシック"/>
        <family val="0"/>
        <charset val="1"/>
      </rPr>
      <t xml:space="preserve">)</t>
    </r>
  </si>
  <si>
    <t xml:space="preserve">0000000072109</t>
  </si>
  <si>
    <t xml:space="preserve">㈱ﾖｼｹｲ山陰</t>
  </si>
  <si>
    <t xml:space="preserve">0000000072509</t>
  </si>
  <si>
    <t xml:space="preserve">㈱寺子屋ｳｪｰﾌﾞ</t>
  </si>
  <si>
    <t xml:space="preserve">0000000080809</t>
  </si>
  <si>
    <r>
      <rPr>
        <sz val="11"/>
        <rFont val="WenQuanYi Zen Hei"/>
        <family val="2"/>
      </rPr>
      <t xml:space="preserve">美保水産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</si>
  <si>
    <t xml:space="preserve">0000000092109</t>
  </si>
  <si>
    <t xml:space="preserve">㈲金津鮮魚店</t>
  </si>
  <si>
    <t xml:space="preserve">0000000001109</t>
  </si>
  <si>
    <t xml:space="preserve">㈱足立本店</t>
  </si>
  <si>
    <t xml:space="preserve">0914</t>
  </si>
  <si>
    <t xml:space="preserve">白根</t>
  </si>
  <si>
    <t xml:space="preserve">0000000001709</t>
  </si>
  <si>
    <t xml:space="preserve">石倉製菓</t>
  </si>
  <si>
    <t xml:space="preserve">0000000002509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</si>
  <si>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井上商店</t>
    </r>
  </si>
  <si>
    <t xml:space="preserve">0000000003109</t>
  </si>
  <si>
    <t xml:space="preserve">㈱上野水産ｶﾆ製造部</t>
  </si>
  <si>
    <t xml:space="preserve">0000000007709</t>
  </si>
  <si>
    <t xml:space="preserve">㈱門永水産</t>
  </si>
  <si>
    <t xml:space="preserve">0000000007819</t>
  </si>
  <si>
    <r>
      <rPr>
        <sz val="11"/>
        <rFont val="WenQuanYi Zen Hei"/>
        <family val="2"/>
      </rPr>
      <t xml:space="preserve">ｵﾘｯｸｽ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門永水産</t>
    </r>
    <r>
      <rPr>
        <sz val="11"/>
        <rFont val="游ゴシック"/>
        <family val="0"/>
        <charset val="1"/>
      </rPr>
      <t xml:space="preserve">)</t>
    </r>
  </si>
  <si>
    <t xml:space="preserve">0000000008709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</si>
  <si>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ｶﾈﾔ商店</t>
    </r>
  </si>
  <si>
    <t xml:space="preserve">0000000010209</t>
  </si>
  <si>
    <t xml:space="preserve">ｴｽﾌｰｽﾞ㈱山陰営業所</t>
  </si>
  <si>
    <t xml:space="preserve">0000000012209</t>
  </si>
  <si>
    <t xml:space="preserve">こうほうえんｱｻﾞﾚｱｺｰﾄ</t>
  </si>
  <si>
    <t xml:space="preserve">0000000014809</t>
  </si>
  <si>
    <t xml:space="preserve">新さかい幸朋苑</t>
  </si>
  <si>
    <t xml:space="preserve">0000000017209</t>
  </si>
  <si>
    <r>
      <rPr>
        <sz val="11"/>
        <rFont val="WenQuanYi Zen Hei"/>
        <family val="2"/>
      </rPr>
      <t xml:space="preserve">㈱丸信</t>
    </r>
    <r>
      <rPr>
        <sz val="11"/>
        <rFont val="游ゴシック"/>
        <family val="0"/>
        <charset val="1"/>
      </rPr>
      <t xml:space="preserve">[</t>
    </r>
    <r>
      <rPr>
        <sz val="11"/>
        <rFont val="WenQuanYi Zen Hei"/>
        <family val="2"/>
      </rPr>
      <t xml:space="preserve">山陰ﾌﾟﾘﾝﾄｹｰｽ</t>
    </r>
    <r>
      <rPr>
        <sz val="11"/>
        <rFont val="游ゴシック"/>
        <family val="0"/>
        <charset val="1"/>
      </rPr>
      <t xml:space="preserve">]</t>
    </r>
  </si>
  <si>
    <t xml:space="preserve">0000000020609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</si>
  <si>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清水水産</t>
    </r>
  </si>
  <si>
    <t xml:space="preserve">0000000029109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</si>
  <si>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土江本店</t>
    </r>
  </si>
  <si>
    <t xml:space="preserve">0000000033709</t>
  </si>
  <si>
    <t xml:space="preserve">0000000042309</t>
  </si>
  <si>
    <r>
      <rPr>
        <sz val="11"/>
        <rFont val="WenQuanYi Zen Hei"/>
        <family val="2"/>
      </rPr>
      <t xml:space="preserve">さんれい鳥取Ｆ</t>
    </r>
    <r>
      <rPr>
        <sz val="11"/>
        <rFont val="游ゴシック"/>
        <family val="0"/>
        <charset val="1"/>
      </rPr>
      <t xml:space="preserve">/</t>
    </r>
    <r>
      <rPr>
        <sz val="11"/>
        <rFont val="WenQuanYi Zen Hei"/>
        <family val="2"/>
      </rPr>
      <t xml:space="preserve">旧ﾏﾙﾃ</t>
    </r>
  </si>
  <si>
    <t xml:space="preserve">0000000045809</t>
  </si>
  <si>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有</t>
    </r>
    <r>
      <rPr>
        <sz val="11"/>
        <rFont val="游ゴシック"/>
        <family val="0"/>
        <charset val="1"/>
      </rPr>
      <t xml:space="preserve">)</t>
    </r>
    <r>
      <rPr>
        <sz val="11"/>
        <rFont val="WenQuanYi Zen Hei"/>
        <family val="2"/>
      </rPr>
      <t xml:space="preserve">ﾔﾏｦ水産</t>
    </r>
  </si>
  <si>
    <t xml:space="preserve">0000000047409</t>
  </si>
  <si>
    <t xml:space="preserve">㈱米子ｸｯｸﾊﾟｰﾄﾅｰ</t>
  </si>
  <si>
    <t xml:space="preserve">0000000051609</t>
  </si>
  <si>
    <t xml:space="preserve">ﾜｰｸｽひるぜん</t>
  </si>
  <si>
    <t xml:space="preserve">0000000066509</t>
  </si>
  <si>
    <t xml:space="preserve">㈱出雲たかはし</t>
  </si>
  <si>
    <t xml:space="preserve">0000000073809</t>
  </si>
  <si>
    <t xml:space="preserve">㈱ﾏﾙｻ笹谷商店</t>
  </si>
  <si>
    <t xml:space="preserve">0000000074409</t>
  </si>
  <si>
    <t xml:space="preserve">㈱ﾆﾁﾚｲﾌｰｽﾞ</t>
  </si>
  <si>
    <t xml:space="preserve">0000000088309</t>
  </si>
  <si>
    <t xml:space="preserve">㈱ｹｲｽﾞ食品</t>
  </si>
  <si>
    <t xml:space="preserve">0000000090509</t>
  </si>
  <si>
    <t xml:space="preserve">㈱日本海ﾌｰｽﾞ</t>
  </si>
  <si>
    <t xml:space="preserve">0000000091409</t>
  </si>
  <si>
    <t xml:space="preserve">白雪食品㈱</t>
  </si>
  <si>
    <t xml:space="preserve">0000000092009</t>
  </si>
  <si>
    <t xml:space="preserve">ｼｰﾄﾗｽﾄ㈱</t>
  </si>
  <si>
    <t xml:space="preserve">0000000092509</t>
  </si>
  <si>
    <t xml:space="preserve">㈲山米鮮魚</t>
  </si>
  <si>
    <t xml:space="preserve">0000000092709</t>
  </si>
  <si>
    <t xml:space="preserve">㈱ｾﾝｺｰｽｸｰﾙﾌｧｰﾑ鳥取</t>
  </si>
  <si>
    <t xml:space="preserve">0000000092809</t>
  </si>
  <si>
    <t xml:space="preserve">総本家 栃泉</t>
  </si>
  <si>
    <t xml:space="preserve">0000000010009</t>
  </si>
  <si>
    <t xml:space="preserve">㈱ｷｬﾋﾞｯｸ</t>
  </si>
  <si>
    <t xml:space="preserve">0918</t>
  </si>
  <si>
    <r>
      <rPr>
        <sz val="11"/>
        <rFont val="WenQuanYi Zen Hei"/>
        <family val="2"/>
      </rPr>
      <t xml:space="preserve">足立秀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海外</t>
    </r>
    <r>
      <rPr>
        <sz val="11"/>
        <rFont val="游ゴシック"/>
        <family val="0"/>
        <charset val="1"/>
      </rPr>
      <t xml:space="preserve">)</t>
    </r>
  </si>
  <si>
    <t xml:space="preserve">0000000010109</t>
  </si>
  <si>
    <r>
      <rPr>
        <sz val="11"/>
        <rFont val="WenQuanYi Zen Hei"/>
        <family val="2"/>
      </rPr>
      <t xml:space="preserve">㈱ｷｬﾋﾞｯｸ</t>
    </r>
    <r>
      <rPr>
        <sz val="11"/>
        <rFont val="游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機械</t>
    </r>
    <r>
      <rPr>
        <sz val="11"/>
        <rFont val="游ゴシック"/>
        <family val="0"/>
        <charset val="1"/>
      </rPr>
      <t xml:space="preserve">)</t>
    </r>
  </si>
  <si>
    <t xml:space="preserve">0000000061109</t>
  </si>
  <si>
    <t xml:space="preserve">神港魚類㈱海外</t>
  </si>
  <si>
    <t xml:space="preserve">0000000091209</t>
  </si>
  <si>
    <t xml:space="preserve">ﾏﾘﾝﾗｲﾌ㈱</t>
  </si>
  <si>
    <t xml:space="preserve">0000001004309</t>
  </si>
  <si>
    <r>
      <rPr>
        <sz val="11"/>
        <rFont val="游ゴシック"/>
        <family val="0"/>
        <charset val="1"/>
      </rPr>
      <t xml:space="preserve">EV </t>
    </r>
    <r>
      <rPr>
        <sz val="11"/>
        <rFont val="WenQuanYi Zen Hei"/>
        <family val="2"/>
      </rPr>
      <t xml:space="preserve">旧</t>
    </r>
    <r>
      <rPr>
        <sz val="11"/>
        <rFont val="游ゴシック"/>
        <family val="0"/>
        <charset val="1"/>
      </rPr>
      <t xml:space="preserve">:</t>
    </r>
    <r>
      <rPr>
        <sz val="11"/>
        <rFont val="WenQuanYi Zen Hei"/>
        <family val="2"/>
      </rPr>
      <t xml:space="preserve">ｶｲﾖｰｼｰﾌｰﾄﾞ</t>
    </r>
  </si>
  <si>
    <t xml:space="preserve">0000001006209</t>
  </si>
  <si>
    <t xml:space="preserve">PANFOOD</t>
  </si>
  <si>
    <t xml:space="preserve">0000001006509</t>
  </si>
  <si>
    <t xml:space="preserve">KJF</t>
  </si>
  <si>
    <t xml:space="preserve">0000000007609</t>
  </si>
  <si>
    <t xml:space="preserve">㈱加藤紙店</t>
  </si>
  <si>
    <t xml:space="preserve">0919</t>
  </si>
  <si>
    <t xml:space="preserve">0000000046209</t>
  </si>
  <si>
    <t xml:space="preserve">㈱ﾔﾏﾈ産機境港</t>
  </si>
  <si>
    <t xml:space="preserve">0000000048009</t>
  </si>
  <si>
    <t xml:space="preserve">手打ちそば楽庵</t>
  </si>
  <si>
    <t xml:space="preserve">0000000052709</t>
  </si>
  <si>
    <t xml:space="preserve">高林商事㈱</t>
  </si>
  <si>
    <t xml:space="preserve">0000000056109</t>
  </si>
  <si>
    <t xml:space="preserve">よつば水産</t>
  </si>
  <si>
    <t xml:space="preserve">0000000069309</t>
  </si>
  <si>
    <t xml:space="preserve">㈱鳥居製缶</t>
  </si>
  <si>
    <t xml:space="preserve">0000000071209</t>
  </si>
  <si>
    <t xml:space="preserve">谷尾商店</t>
  </si>
  <si>
    <t xml:space="preserve">0000000073309</t>
  </si>
  <si>
    <t xml:space="preserve">㈱縁 えにし</t>
  </si>
  <si>
    <t xml:space="preserve">0000000074209</t>
  </si>
  <si>
    <t xml:space="preserve">浜田百合子</t>
  </si>
  <si>
    <t xml:space="preserve">0000000086809</t>
  </si>
  <si>
    <t xml:space="preserve">金栄</t>
  </si>
  <si>
    <t xml:space="preserve">0000000099909</t>
  </si>
  <si>
    <t xml:space="preserve">その他   境港</t>
  </si>
  <si>
    <t xml:space="preserve">0000000092309</t>
  </si>
  <si>
    <t xml:space="preserve">境港市こども家庭ｾﾝﾀｰ</t>
  </si>
  <si>
    <t xml:space="preserve">0930</t>
  </si>
  <si>
    <t xml:space="preserve">0000000810023</t>
  </si>
  <si>
    <t xml:space="preserve">境港市子育て支援課</t>
  </si>
  <si>
    <t xml:space="preserve">総計</t>
  </si>
  <si>
    <r>
      <rPr>
        <b val="true"/>
        <sz val="11"/>
        <rFont val="游ゴシック"/>
        <family val="0"/>
        <charset val="1"/>
      </rPr>
      <t xml:space="preserve">0010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</si>
  <si>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0017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</si>
  <si>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0031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</si>
  <si>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JF</t>
    </r>
    <r>
      <rPr>
        <b val="true"/>
        <sz val="11"/>
        <rFont val="WenQuanYi Zen Hei"/>
        <family val="2"/>
      </rPr>
      <t xml:space="preserve">境</t>
    </r>
  </si>
  <si>
    <r>
      <rPr>
        <b val="true"/>
        <sz val="11"/>
        <rFont val="游ゴシック"/>
        <family val="0"/>
        <charset val="1"/>
      </rPr>
      <t xml:space="preserve">0101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</si>
  <si>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0102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</si>
  <si>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JF</t>
    </r>
    <r>
      <rPr>
        <b val="true"/>
        <sz val="11"/>
        <rFont val="WenQuanYi Zen Hei"/>
        <family val="2"/>
      </rPr>
      <t xml:space="preserve">大田</t>
    </r>
  </si>
  <si>
    <r>
      <rPr>
        <b val="true"/>
        <sz val="11"/>
        <rFont val="游ゴシック"/>
        <family val="0"/>
        <charset val="1"/>
      </rPr>
      <t xml:space="preserve">0104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</si>
  <si>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0106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</si>
  <si>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0042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</si>
  <si>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0046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</si>
  <si>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0552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</si>
  <si>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WenQuanYi Zen Hei"/>
        <family val="2"/>
      </rPr>
      <t xml:space="preserve">馬場部長</t>
    </r>
    <r>
      <rPr>
        <b val="true"/>
        <sz val="11"/>
        <rFont val="游ゴシック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東京</t>
    </r>
    <r>
      <rPr>
        <b val="true"/>
        <sz val="11"/>
        <rFont val="游ゴシック"/>
        <family val="0"/>
        <charset val="1"/>
      </rPr>
      <t xml:space="preserve">)</t>
    </r>
  </si>
  <si>
    <r>
      <rPr>
        <b val="true"/>
        <sz val="11"/>
        <rFont val="游ゴシック"/>
        <family val="0"/>
        <charset val="1"/>
      </rPr>
      <t xml:space="preserve">0032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</si>
  <si>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0033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</si>
  <si>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0034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</si>
  <si>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0035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</si>
  <si>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0038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</si>
  <si>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0039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</si>
  <si>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0903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</si>
  <si>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0904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</si>
  <si>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WenQuanYi Zen Hei"/>
        <family val="2"/>
      </rPr>
      <t xml:space="preserve">足立</t>
    </r>
    <r>
      <rPr>
        <b val="true"/>
        <sz val="11"/>
        <rFont val="游ゴシック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直</t>
    </r>
    <r>
      <rPr>
        <b val="true"/>
        <sz val="11"/>
        <rFont val="游ゴシック"/>
        <family val="0"/>
        <charset val="1"/>
      </rPr>
      <t xml:space="preserve">)</t>
    </r>
  </si>
  <si>
    <r>
      <rPr>
        <b val="true"/>
        <sz val="11"/>
        <rFont val="游ゴシック"/>
        <family val="0"/>
        <charset val="1"/>
      </rPr>
      <t xml:space="preserve">0909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</si>
  <si>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0911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</si>
  <si>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0914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</si>
  <si>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0918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</si>
  <si>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WenQuanYi Zen Hei"/>
        <family val="2"/>
      </rPr>
      <t xml:space="preserve">足立秀</t>
    </r>
    <r>
      <rPr>
        <b val="true"/>
        <sz val="11"/>
        <rFont val="游ゴシック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海外</t>
    </r>
    <r>
      <rPr>
        <b val="true"/>
        <sz val="11"/>
        <rFont val="游ゴシック"/>
        <family val="0"/>
        <charset val="1"/>
      </rPr>
      <t xml:space="preserve">)</t>
    </r>
  </si>
  <si>
    <r>
      <rPr>
        <b val="true"/>
        <sz val="11"/>
        <rFont val="游ゴシック"/>
        <family val="0"/>
        <charset val="1"/>
      </rPr>
      <t xml:space="preserve">0919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</si>
  <si>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0930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</si>
  <si>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0021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</si>
  <si>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0024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</si>
  <si>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0025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</si>
  <si>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0026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</si>
  <si>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0028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</si>
  <si>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0029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</si>
  <si>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0011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</si>
  <si>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0012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</si>
  <si>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0013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</si>
  <si>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0014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</si>
  <si>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0019 </t>
    </r>
    <r>
      <rPr>
        <b val="true"/>
        <sz val="11"/>
        <rFont val="WenQuanYi Zen Hei"/>
        <family val="2"/>
      </rPr>
      <t xml:space="preserve">集計</t>
    </r>
  </si>
  <si>
    <r>
      <rPr>
        <b val="true"/>
        <sz val="11"/>
        <rFont val="游ゴシック"/>
        <family val="0"/>
        <charset val="1"/>
      </rPr>
      <t xml:space="preserve">0020 </t>
    </r>
    <r>
      <rPr>
        <b val="true"/>
        <sz val="11"/>
        <rFont val="WenQuanYi Zen Hei"/>
        <family val="2"/>
      </rPr>
      <t xml:space="preserve">集計</t>
    </r>
  </si>
  <si>
    <t xml:space="preserve">備考</t>
  </si>
  <si>
    <r>
      <rPr>
        <sz val="11"/>
        <rFont val="WenQuanYi Zen Hei"/>
        <family val="2"/>
      </rPr>
      <t xml:space="preserve">第</t>
    </r>
    <r>
      <rPr>
        <sz val="11"/>
        <rFont val="游ゴシック"/>
        <family val="0"/>
        <charset val="1"/>
      </rPr>
      <t xml:space="preserve">52</t>
    </r>
    <r>
      <rPr>
        <sz val="11"/>
        <rFont val="WenQuanYi Zen Hei"/>
        <family val="2"/>
      </rPr>
      <t xml:space="preserve">期上期データより</t>
    </r>
  </si>
  <si>
    <t xml:space="preserve">← 新しい担当者はここから下（黄色）に コード・氏名・部門 を追加してください</t>
  </si>
  <si>
    <t xml:space="preserve">現担当 得意先数</t>
  </si>
  <si>
    <t xml:space="preserve">現担当 前年度売上</t>
  </si>
  <si>
    <t xml:space="preserve">現担当 前年度粗利</t>
  </si>
  <si>
    <t xml:space="preserve">現担当 今年度売上</t>
  </si>
  <si>
    <t xml:space="preserve">現担当 今年度粗利</t>
  </si>
  <si>
    <t xml:space="preserve">新担当 得意先数</t>
  </si>
  <si>
    <t xml:space="preserve">新担当 前年度売上</t>
  </si>
  <si>
    <t xml:space="preserve">新担当 前年度粗利</t>
  </si>
  <si>
    <t xml:space="preserve">新担当 今年度売上</t>
  </si>
  <si>
    <t xml:space="preserve">新担当 今年度粗利</t>
  </si>
  <si>
    <t xml:space="preserve">未設定</t>
  </si>
  <si>
    <t xml:space="preserve">（新担当者コード空欄）</t>
  </si>
  <si>
    <t xml:space="preserve">全体シート総計（検算）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</si>
</sst>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_ ;\-#,##0.0_ ;\-_ "/>
    <numFmt numFmtId="167" formatCode="#,##0_ ;\-#,##0_ ;\-_ 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游ゴシック"/>
      <family val="0"/>
      <charset val="1"/>
    </font>
    <font>
      <sz val="11"/>
      <name val="游ゴシック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游ゴシック"/>
      <family val="0"/>
      <charset val="1"/>
    </font>
    <font>
      <sz val="11"/>
      <color rgb="FF008000"/>
      <name val="游ゴシック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rgb="FF008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D9D9D9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C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6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28.35" hidden="false" customHeight="false" outlineLevel="0" collapsed="false">
      <c r="B4" s="4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5" t="s">
        <v>5</v>
      </c>
    </row>
    <row r="9" customFormat="false" ht="28.35" hidden="false" customHeight="false" outlineLevel="0" collapsed="false">
      <c r="B9" s="2" t="s">
        <v>6</v>
      </c>
    </row>
    <row r="10" customFormat="false" ht="28.3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28.3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28.3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2" customFormat="false" ht="28.35" hidden="false" customHeight="false" outlineLevel="0" collapsed="false">
      <c r="B22" s="4" t="s">
        <v>18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3" t="s">
        <v>19</v>
      </c>
    </row>
    <row r="25" customFormat="false" ht="15" hidden="false" customHeight="false" outlineLevel="0" collapsed="false">
      <c r="B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.5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5"/>
    <col collapsed="false" customWidth="true" hidden="false" outlineLevel="0" max="6" min="6" style="0" width="14.75"/>
    <col collapsed="false" customWidth="true" hidden="false" outlineLevel="0" max="12" min="7" style="0" width="11"/>
    <col collapsed="false" customWidth="true" hidden="false" outlineLevel="0" max="13" min="13" style="0" width="12.5"/>
    <col collapsed="false" customWidth="true" hidden="false" outlineLevel="0" max="19" min="14" style="0" width="11"/>
    <col collapsed="false" customWidth="true" hidden="false" outlineLevel="0" max="20" min="20" style="0" width="12.5"/>
    <col collapsed="false" customWidth="true" hidden="false" outlineLevel="0" max="26" min="21" style="0" width="11"/>
    <col collapsed="false" customWidth="true" hidden="false" outlineLevel="0" max="27" min="27" style="0" width="12.5"/>
    <col collapsed="false" customWidth="true" hidden="false" outlineLevel="0" max="33" min="28" style="0" width="11"/>
    <col collapsed="false" customWidth="true" hidden="false" outlineLevel="0" max="34" min="34" style="0" width="12.5"/>
    <col collapsed="false" customWidth="true" hidden="false" outlineLevel="0" max="35" min="35" style="0" width="16"/>
  </cols>
  <sheetData>
    <row r="1" customFormat="false" ht="37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6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6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6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6" t="s">
        <v>54</v>
      </c>
      <c r="AI1" s="6" t="s">
        <v>55</v>
      </c>
    </row>
    <row r="2" customFormat="false" ht="15" hidden="false" customHeight="false" outlineLevel="0" collapsed="false">
      <c r="A2" s="8" t="s">
        <v>56</v>
      </c>
      <c r="B2" s="9" t="s">
        <v>57</v>
      </c>
      <c r="C2" s="8" t="s">
        <v>58</v>
      </c>
      <c r="D2" s="9" t="s">
        <v>59</v>
      </c>
      <c r="E2" s="10" t="str">
        <f aca="true">IFERROR(IF(INDEX(INDIRECT("'"&amp;$AI2&amp;"'!$E$2:$E$118"),MATCH($A2,INDIRECT("'"&amp;$AI2&amp;"'!$A$2:$A$118"),0))="","",INDEX(INDIRECT("'"&amp;$AI2&amp;"'!$E$2:$E$118"),MATCH($A2,INDIRECT("'"&amp;$AI2&amp;"'!$A$2:$A$118"),0))),"")</f>
        <v/>
      </c>
      <c r="F2" s="9" t="str">
        <f aca="false">IF($E2="","",IFERROR(INDEX(担当者マスタ!$B$2:$B$101,MATCH($E2,担当者マスタ!$A$2:$A$101,0)),"※マスタ未登録"))</f>
        <v/>
      </c>
      <c r="G2" s="11" t="n">
        <v>1727.964</v>
      </c>
      <c r="H2" s="11" t="n">
        <v>1845.035</v>
      </c>
      <c r="I2" s="11" t="n">
        <v>1015.906</v>
      </c>
      <c r="J2" s="11" t="n">
        <v>861.896</v>
      </c>
      <c r="K2" s="11" t="n">
        <v>1167.74</v>
      </c>
      <c r="L2" s="11" t="n">
        <v>1096.898</v>
      </c>
      <c r="M2" s="11" t="n">
        <f aca="false">SUM(G2:L2)</f>
        <v>7715.439</v>
      </c>
      <c r="N2" s="11" t="n">
        <v>328.751</v>
      </c>
      <c r="O2" s="11" t="n">
        <v>408.366</v>
      </c>
      <c r="P2" s="11" t="n">
        <v>254.265</v>
      </c>
      <c r="Q2" s="11" t="n">
        <v>212.557</v>
      </c>
      <c r="R2" s="11" t="n">
        <v>257.125</v>
      </c>
      <c r="S2" s="11" t="n">
        <v>195.312</v>
      </c>
      <c r="T2" s="11" t="n">
        <f aca="false">SUM(N2:S2)</f>
        <v>1656.376</v>
      </c>
      <c r="U2" s="11" t="n">
        <v>2143.798</v>
      </c>
      <c r="V2" s="11" t="n">
        <v>2047.515</v>
      </c>
      <c r="W2" s="11" t="n">
        <v>1351.109</v>
      </c>
      <c r="X2" s="11" t="n">
        <v>572.291</v>
      </c>
      <c r="Y2" s="11" t="n">
        <v>606.598</v>
      </c>
      <c r="Z2" s="11" t="n">
        <v>1948.328</v>
      </c>
      <c r="AA2" s="11" t="n">
        <f aca="false">SUM(U2:Z2)</f>
        <v>8669.639</v>
      </c>
      <c r="AB2" s="11" t="n">
        <v>453.995</v>
      </c>
      <c r="AC2" s="11" t="n">
        <v>419.149</v>
      </c>
      <c r="AD2" s="11" t="n">
        <v>269.7</v>
      </c>
      <c r="AE2" s="11" t="n">
        <v>114.237</v>
      </c>
      <c r="AF2" s="11" t="n">
        <v>168.409</v>
      </c>
      <c r="AG2" s="11" t="n">
        <v>474.166</v>
      </c>
      <c r="AH2" s="11" t="n">
        <f aca="false">SUM(AB2:AG2)</f>
        <v>1899.656</v>
      </c>
      <c r="AI2" s="12" t="s">
        <v>60</v>
      </c>
    </row>
    <row r="3" customFormat="false" ht="15" hidden="false" customHeight="false" outlineLevel="0" collapsed="false">
      <c r="A3" s="8" t="s">
        <v>61</v>
      </c>
      <c r="B3" s="9" t="s">
        <v>62</v>
      </c>
      <c r="C3" s="8" t="s">
        <v>58</v>
      </c>
      <c r="D3" s="9" t="s">
        <v>59</v>
      </c>
      <c r="E3" s="10" t="str">
        <f aca="true">IFERROR(IF(INDEX(INDIRECT("'"&amp;$AI3&amp;"'!$E$2:$E$118"),MATCH($A3,INDIRECT("'"&amp;$AI3&amp;"'!$A$2:$A$118"),0))="","",INDEX(INDIRECT("'"&amp;$AI3&amp;"'!$E$2:$E$118"),MATCH($A3,INDIRECT("'"&amp;$AI3&amp;"'!$A$2:$A$118"),0))),"")</f>
        <v/>
      </c>
      <c r="F3" s="9" t="str">
        <f aca="false">IF($E3="","",IFERROR(INDEX(担当者マスタ!$B$2:$B$101,MATCH($E3,担当者マスタ!$A$2:$A$101,0)),"※マスタ未登録"))</f>
        <v/>
      </c>
      <c r="G3" s="11" t="n">
        <v>4904.582</v>
      </c>
      <c r="H3" s="11" t="n">
        <v>4227.566</v>
      </c>
      <c r="I3" s="11" t="n">
        <v>5001.807</v>
      </c>
      <c r="J3" s="11" t="n">
        <v>4524.559</v>
      </c>
      <c r="K3" s="11" t="n">
        <v>4927.58</v>
      </c>
      <c r="L3" s="11" t="n">
        <v>3992.029</v>
      </c>
      <c r="M3" s="11" t="n">
        <f aca="false">SUM(G3:L3)</f>
        <v>27578.123</v>
      </c>
      <c r="N3" s="11" t="n">
        <v>663.403</v>
      </c>
      <c r="O3" s="11" t="n">
        <v>582.982</v>
      </c>
      <c r="P3" s="11" t="n">
        <v>684.031</v>
      </c>
      <c r="Q3" s="11" t="n">
        <v>611.08</v>
      </c>
      <c r="R3" s="11" t="n">
        <v>681.929</v>
      </c>
      <c r="S3" s="11" t="n">
        <v>542.967</v>
      </c>
      <c r="T3" s="11" t="n">
        <f aca="false">SUM(N3:S3)</f>
        <v>3766.392</v>
      </c>
      <c r="U3" s="11" t="n">
        <v>4015.689</v>
      </c>
      <c r="V3" s="11" t="n">
        <v>4119.32</v>
      </c>
      <c r="W3" s="11" t="n">
        <v>3764.454</v>
      </c>
      <c r="X3" s="11" t="n">
        <v>3419.529</v>
      </c>
      <c r="Y3" s="11" t="n">
        <v>4470.593</v>
      </c>
      <c r="Z3" s="11" t="n">
        <v>4581.308</v>
      </c>
      <c r="AA3" s="11" t="n">
        <f aca="false">SUM(U3:Z3)</f>
        <v>24370.893</v>
      </c>
      <c r="AB3" s="11" t="n">
        <v>658.181</v>
      </c>
      <c r="AC3" s="11" t="n">
        <v>719.382</v>
      </c>
      <c r="AD3" s="11" t="n">
        <v>647.591</v>
      </c>
      <c r="AE3" s="11" t="n">
        <v>587.202</v>
      </c>
      <c r="AF3" s="11" t="n">
        <v>722.863</v>
      </c>
      <c r="AG3" s="11" t="n">
        <v>793.162</v>
      </c>
      <c r="AH3" s="11" t="n">
        <f aca="false">SUM(AB3:AG3)</f>
        <v>4128.381</v>
      </c>
      <c r="AI3" s="12" t="s">
        <v>60</v>
      </c>
    </row>
    <row r="4" customFormat="false" ht="15" hidden="false" customHeight="false" outlineLevel="0" collapsed="false">
      <c r="A4" s="8" t="s">
        <v>63</v>
      </c>
      <c r="B4" s="9" t="s">
        <v>64</v>
      </c>
      <c r="C4" s="8" t="s">
        <v>58</v>
      </c>
      <c r="D4" s="9" t="s">
        <v>59</v>
      </c>
      <c r="E4" s="10" t="str">
        <f aca="true">IFERROR(IF(INDEX(INDIRECT("'"&amp;$AI4&amp;"'!$E$2:$E$118"),MATCH($A4,INDIRECT("'"&amp;$AI4&amp;"'!$A$2:$A$118"),0))="","",INDEX(INDIRECT("'"&amp;$AI4&amp;"'!$E$2:$E$118"),MATCH($A4,INDIRECT("'"&amp;$AI4&amp;"'!$A$2:$A$118"),0))),"")</f>
        <v/>
      </c>
      <c r="F4" s="9" t="str">
        <f aca="false">IF($E4="","",IFERROR(INDEX(担当者マスタ!$B$2:$B$101,MATCH($E4,担当者マスタ!$A$2:$A$101,0)),"※マスタ未登録"))</f>
        <v/>
      </c>
      <c r="G4" s="11" t="n">
        <v>28.35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f aca="false">SUM(G4:L4)</f>
        <v>28.35</v>
      </c>
      <c r="N4" s="11" t="n">
        <v>10.95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f aca="false">SUM(N4:S4)</f>
        <v>10.95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f aca="false">SUM(U4:Z4)</f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f aca="false">SUM(AB4:AG4)</f>
        <v>0</v>
      </c>
      <c r="AI4" s="12" t="s">
        <v>60</v>
      </c>
    </row>
    <row r="5" customFormat="false" ht="15" hidden="false" customHeight="false" outlineLevel="0" collapsed="false">
      <c r="A5" s="8" t="s">
        <v>65</v>
      </c>
      <c r="B5" s="9" t="s">
        <v>66</v>
      </c>
      <c r="C5" s="8" t="s">
        <v>58</v>
      </c>
      <c r="D5" s="9" t="s">
        <v>59</v>
      </c>
      <c r="E5" s="10" t="str">
        <f aca="true">IFERROR(IF(INDEX(INDIRECT("'"&amp;$AI5&amp;"'!$E$2:$E$118"),MATCH($A5,INDIRECT("'"&amp;$AI5&amp;"'!$A$2:$A$118"),0))="","",INDEX(INDIRECT("'"&amp;$AI5&amp;"'!$E$2:$E$118"),MATCH($A5,INDIRECT("'"&amp;$AI5&amp;"'!$A$2:$A$118"),0))),"")</f>
        <v/>
      </c>
      <c r="F5" s="9" t="str">
        <f aca="false">IF($E5="","",IFERROR(INDEX(担当者マスタ!$B$2:$B$101,MATCH($E5,担当者マスタ!$A$2:$A$101,0)),"※マスタ未登録"))</f>
        <v/>
      </c>
      <c r="G5" s="11" t="n">
        <v>490.36</v>
      </c>
      <c r="H5" s="11" t="n">
        <v>417.535</v>
      </c>
      <c r="I5" s="11" t="n">
        <v>372.735</v>
      </c>
      <c r="J5" s="11" t="n">
        <v>367.135</v>
      </c>
      <c r="K5" s="11" t="n">
        <v>355.935</v>
      </c>
      <c r="L5" s="11" t="n">
        <v>378.334</v>
      </c>
      <c r="M5" s="11" t="n">
        <f aca="false">SUM(G5:L5)</f>
        <v>2382.034</v>
      </c>
      <c r="N5" s="11" t="n">
        <v>371.089</v>
      </c>
      <c r="O5" s="11" t="n">
        <v>295.464</v>
      </c>
      <c r="P5" s="11" t="n">
        <v>253.464</v>
      </c>
      <c r="Q5" s="11" t="n">
        <v>247.864</v>
      </c>
      <c r="R5" s="11" t="n">
        <v>236.664</v>
      </c>
      <c r="S5" s="11" t="n">
        <v>258.34</v>
      </c>
      <c r="T5" s="11" t="n">
        <f aca="false">SUM(N5:S5)</f>
        <v>1662.885</v>
      </c>
      <c r="U5" s="11" t="n">
        <v>371.533</v>
      </c>
      <c r="V5" s="11" t="n">
        <v>354.732</v>
      </c>
      <c r="W5" s="11" t="n">
        <v>168</v>
      </c>
      <c r="X5" s="11" t="n">
        <v>128.8</v>
      </c>
      <c r="Y5" s="11" t="n">
        <v>145.6</v>
      </c>
      <c r="Z5" s="11" t="n">
        <v>140</v>
      </c>
      <c r="AA5" s="11" t="n">
        <f aca="false">SUM(U5:Z5)</f>
        <v>1308.665</v>
      </c>
      <c r="AB5" s="11" t="n">
        <v>361.641</v>
      </c>
      <c r="AC5" s="11" t="n">
        <v>344.84</v>
      </c>
      <c r="AD5" s="11" t="n">
        <v>168</v>
      </c>
      <c r="AE5" s="11" t="n">
        <v>128.8</v>
      </c>
      <c r="AF5" s="11" t="n">
        <v>145.6</v>
      </c>
      <c r="AG5" s="11" t="n">
        <v>140</v>
      </c>
      <c r="AH5" s="11" t="n">
        <f aca="false">SUM(AB5:AG5)</f>
        <v>1288.881</v>
      </c>
      <c r="AI5" s="12" t="s">
        <v>60</v>
      </c>
    </row>
    <row r="6" customFormat="false" ht="15" hidden="false" customHeight="false" outlineLevel="0" collapsed="false">
      <c r="A6" s="8" t="s">
        <v>67</v>
      </c>
      <c r="B6" s="9" t="s">
        <v>68</v>
      </c>
      <c r="C6" s="8" t="s">
        <v>69</v>
      </c>
      <c r="D6" s="12" t="s">
        <v>70</v>
      </c>
      <c r="E6" s="10" t="str">
        <f aca="true">IFERROR(IF(INDEX(INDIRECT("'"&amp;$AI6&amp;"'!$E$2:$E$320"),MATCH($A6,INDIRECT("'"&amp;$AI6&amp;"'!$A$2:$A$320"),0))="","",INDEX(INDIRECT("'"&amp;$AI6&amp;"'!$E$2:$E$320"),MATCH($A6,INDIRECT("'"&amp;$AI6&amp;"'!$A$2:$A$320"),0))),"")</f>
        <v/>
      </c>
      <c r="F6" s="9" t="str">
        <f aca="false">IF($E6="","",IFERROR(INDEX(担当者マスタ!$B$2:$B$101,MATCH($E6,担当者マスタ!$A$2:$A$101,0)),"※マスタ未登録"))</f>
        <v/>
      </c>
      <c r="G6" s="11" t="n">
        <v>66.139</v>
      </c>
      <c r="H6" s="11" t="n">
        <v>111.017</v>
      </c>
      <c r="I6" s="11" t="n">
        <v>36.415</v>
      </c>
      <c r="J6" s="11" t="n">
        <v>95.814</v>
      </c>
      <c r="K6" s="11" t="n">
        <v>187.302</v>
      </c>
      <c r="L6" s="11" t="n">
        <v>18.073</v>
      </c>
      <c r="M6" s="11" t="n">
        <f aca="false">SUM(G6:L6)</f>
        <v>514.76</v>
      </c>
      <c r="N6" s="11" t="n">
        <v>35.007</v>
      </c>
      <c r="O6" s="11" t="n">
        <v>66.715</v>
      </c>
      <c r="P6" s="11" t="n">
        <v>21.262</v>
      </c>
      <c r="Q6" s="11" t="n">
        <v>52.948</v>
      </c>
      <c r="R6" s="11" t="n">
        <v>43.271</v>
      </c>
      <c r="S6" s="11" t="n">
        <v>8.333</v>
      </c>
      <c r="T6" s="11" t="n">
        <f aca="false">SUM(N6:S6)</f>
        <v>227.536</v>
      </c>
      <c r="U6" s="11" t="n">
        <v>90.974</v>
      </c>
      <c r="V6" s="11" t="n">
        <v>139.449</v>
      </c>
      <c r="W6" s="11" t="n">
        <v>22.066</v>
      </c>
      <c r="X6" s="11" t="n">
        <v>70.992</v>
      </c>
      <c r="Y6" s="11" t="n">
        <v>38.098</v>
      </c>
      <c r="Z6" s="11" t="n">
        <v>9.843</v>
      </c>
      <c r="AA6" s="11" t="n">
        <f aca="false">SUM(U6:Z6)</f>
        <v>371.422</v>
      </c>
      <c r="AB6" s="11" t="n">
        <v>65.217</v>
      </c>
      <c r="AC6" s="11" t="n">
        <v>100.891</v>
      </c>
      <c r="AD6" s="11" t="n">
        <v>13.616</v>
      </c>
      <c r="AE6" s="11" t="n">
        <v>46.68</v>
      </c>
      <c r="AF6" s="11" t="n">
        <v>18.406</v>
      </c>
      <c r="AG6" s="11" t="n">
        <v>4.806</v>
      </c>
      <c r="AH6" s="11" t="n">
        <f aca="false">SUM(AB6:AG6)</f>
        <v>249.616</v>
      </c>
      <c r="AI6" s="12" t="s">
        <v>71</v>
      </c>
    </row>
    <row r="7" customFormat="false" ht="15" hidden="false" customHeight="false" outlineLevel="0" collapsed="false">
      <c r="A7" s="8" t="s">
        <v>72</v>
      </c>
      <c r="B7" s="9" t="s">
        <v>73</v>
      </c>
      <c r="C7" s="8" t="s">
        <v>69</v>
      </c>
      <c r="D7" s="12" t="s">
        <v>70</v>
      </c>
      <c r="E7" s="10" t="str">
        <f aca="true">IFERROR(IF(INDEX(INDIRECT("'"&amp;$AI7&amp;"'!$E$2:$E$320"),MATCH($A7,INDIRECT("'"&amp;$AI7&amp;"'!$A$2:$A$320"),0))="","",INDEX(INDIRECT("'"&amp;$AI7&amp;"'!$E$2:$E$320"),MATCH($A7,INDIRECT("'"&amp;$AI7&amp;"'!$A$2:$A$320"),0))),"")</f>
        <v/>
      </c>
      <c r="F7" s="9" t="str">
        <f aca="false">IF($E7="","",IFERROR(INDEX(担当者マスタ!$B$2:$B$101,MATCH($E7,担当者マスタ!$A$2:$A$101,0)),"※マスタ未登録"))</f>
        <v/>
      </c>
      <c r="G7" s="11" t="n">
        <v>3.4</v>
      </c>
      <c r="H7" s="11" t="n">
        <v>14.955</v>
      </c>
      <c r="I7" s="11" t="n">
        <v>6.375</v>
      </c>
      <c r="J7" s="11" t="n">
        <v>0</v>
      </c>
      <c r="K7" s="11" t="n">
        <v>3.08</v>
      </c>
      <c r="L7" s="11" t="n">
        <v>0</v>
      </c>
      <c r="M7" s="11" t="n">
        <f aca="false">SUM(G7:L7)</f>
        <v>27.81</v>
      </c>
      <c r="N7" s="11" t="n">
        <v>3.4</v>
      </c>
      <c r="O7" s="11" t="n">
        <v>7.717</v>
      </c>
      <c r="P7" s="11" t="n">
        <v>2.8</v>
      </c>
      <c r="Q7" s="11" t="n">
        <v>0</v>
      </c>
      <c r="R7" s="11" t="n">
        <v>1.473</v>
      </c>
      <c r="S7" s="11" t="n">
        <v>0</v>
      </c>
      <c r="T7" s="11" t="n">
        <f aca="false">SUM(N7:S7)</f>
        <v>15.39</v>
      </c>
      <c r="U7" s="11" t="n">
        <v>0</v>
      </c>
      <c r="V7" s="11" t="n">
        <v>0</v>
      </c>
      <c r="W7" s="11" t="n">
        <v>0</v>
      </c>
      <c r="X7" s="11" t="n">
        <v>0.5</v>
      </c>
      <c r="Y7" s="11" t="n">
        <v>0</v>
      </c>
      <c r="Z7" s="11" t="n">
        <v>3.05</v>
      </c>
      <c r="AA7" s="11" t="n">
        <f aca="false">SUM(U7:Z7)</f>
        <v>3.55</v>
      </c>
      <c r="AB7" s="11" t="n">
        <v>0</v>
      </c>
      <c r="AC7" s="11" t="n">
        <v>0</v>
      </c>
      <c r="AD7" s="11" t="n">
        <v>0</v>
      </c>
      <c r="AE7" s="11" t="n">
        <v>0.5</v>
      </c>
      <c r="AF7" s="11" t="n">
        <v>0</v>
      </c>
      <c r="AG7" s="11" t="n">
        <v>1.721</v>
      </c>
      <c r="AH7" s="11" t="n">
        <f aca="false">SUM(AB7:AG7)</f>
        <v>2.221</v>
      </c>
      <c r="AI7" s="12" t="s">
        <v>71</v>
      </c>
    </row>
    <row r="8" customFormat="false" ht="15" hidden="false" customHeight="false" outlineLevel="0" collapsed="false">
      <c r="A8" s="8" t="s">
        <v>74</v>
      </c>
      <c r="B8" s="9" t="s">
        <v>75</v>
      </c>
      <c r="C8" s="8" t="s">
        <v>69</v>
      </c>
      <c r="D8" s="12" t="s">
        <v>70</v>
      </c>
      <c r="E8" s="10" t="str">
        <f aca="true">IFERROR(IF(INDEX(INDIRECT("'"&amp;$AI8&amp;"'!$E$2:$E$320"),MATCH($A8,INDIRECT("'"&amp;$AI8&amp;"'!$A$2:$A$320"),0))="","",INDEX(INDIRECT("'"&amp;$AI8&amp;"'!$E$2:$E$320"),MATCH($A8,INDIRECT("'"&amp;$AI8&amp;"'!$A$2:$A$320"),0))),"")</f>
        <v/>
      </c>
      <c r="F8" s="9" t="str">
        <f aca="false">IF($E8="","",IFERROR(INDEX(担当者マスタ!$B$2:$B$101,MATCH($E8,担当者マスタ!$A$2:$A$101,0)),"※マスタ未登録"))</f>
        <v/>
      </c>
      <c r="G8" s="11" t="n">
        <v>32.432</v>
      </c>
      <c r="H8" s="11" t="n">
        <v>0</v>
      </c>
      <c r="I8" s="11" t="n">
        <v>0</v>
      </c>
      <c r="J8" s="11" t="n">
        <v>11.35</v>
      </c>
      <c r="K8" s="11" t="n">
        <v>0</v>
      </c>
      <c r="L8" s="11" t="n">
        <v>3.339</v>
      </c>
      <c r="M8" s="11" t="n">
        <f aca="false">SUM(G8:L8)</f>
        <v>47.121</v>
      </c>
      <c r="N8" s="11" t="n">
        <v>23.326</v>
      </c>
      <c r="O8" s="11" t="n">
        <v>0</v>
      </c>
      <c r="P8" s="11" t="n">
        <v>0</v>
      </c>
      <c r="Q8" s="11" t="n">
        <v>4.85</v>
      </c>
      <c r="R8" s="11" t="n">
        <v>0</v>
      </c>
      <c r="S8" s="11" t="n">
        <v>1.854</v>
      </c>
      <c r="T8" s="11" t="n">
        <f aca="false">SUM(N8:S8)</f>
        <v>30.03</v>
      </c>
      <c r="U8" s="11" t="n">
        <v>36.111</v>
      </c>
      <c r="V8" s="11" t="n">
        <v>11.04</v>
      </c>
      <c r="W8" s="11" t="n">
        <v>3.339</v>
      </c>
      <c r="X8" s="11" t="n">
        <v>0</v>
      </c>
      <c r="Y8" s="11" t="n">
        <v>0</v>
      </c>
      <c r="Z8" s="11" t="n">
        <v>0</v>
      </c>
      <c r="AA8" s="11" t="n">
        <f aca="false">SUM(U8:Z8)</f>
        <v>50.49</v>
      </c>
      <c r="AB8" s="11" t="n">
        <v>22.156</v>
      </c>
      <c r="AC8" s="11" t="n">
        <v>5.556</v>
      </c>
      <c r="AD8" s="11" t="n">
        <v>1.659</v>
      </c>
      <c r="AE8" s="11" t="n">
        <v>0</v>
      </c>
      <c r="AF8" s="11" t="n">
        <v>0</v>
      </c>
      <c r="AG8" s="11" t="n">
        <v>0</v>
      </c>
      <c r="AH8" s="11" t="n">
        <f aca="false">SUM(AB8:AG8)</f>
        <v>29.371</v>
      </c>
      <c r="AI8" s="12" t="s">
        <v>71</v>
      </c>
    </row>
    <row r="9" customFormat="false" ht="15" hidden="false" customHeight="false" outlineLevel="0" collapsed="false">
      <c r="A9" s="8" t="s">
        <v>76</v>
      </c>
      <c r="B9" s="9" t="s">
        <v>77</v>
      </c>
      <c r="C9" s="8" t="s">
        <v>69</v>
      </c>
      <c r="D9" s="12" t="s">
        <v>70</v>
      </c>
      <c r="E9" s="10" t="str">
        <f aca="true">IFERROR(IF(INDEX(INDIRECT("'"&amp;$AI9&amp;"'!$E$2:$E$320"),MATCH($A9,INDIRECT("'"&amp;$AI9&amp;"'!$A$2:$A$320"),0))="","",INDEX(INDIRECT("'"&amp;$AI9&amp;"'!$E$2:$E$320"),MATCH($A9,INDIRECT("'"&amp;$AI9&amp;"'!$A$2:$A$320"),0))),"")</f>
        <v/>
      </c>
      <c r="F9" s="9" t="str">
        <f aca="false">IF($E9="","",IFERROR(INDEX(担当者マスタ!$B$2:$B$101,MATCH($E9,担当者マスタ!$A$2:$A$101,0)),"※マスタ未登録"))</f>
        <v/>
      </c>
      <c r="G9" s="11" t="n">
        <v>0</v>
      </c>
      <c r="H9" s="11" t="n">
        <v>1.52</v>
      </c>
      <c r="I9" s="11" t="n">
        <v>7.25</v>
      </c>
      <c r="J9" s="11" t="n">
        <v>0</v>
      </c>
      <c r="K9" s="11" t="n">
        <v>0</v>
      </c>
      <c r="L9" s="11" t="n">
        <v>1.36</v>
      </c>
      <c r="M9" s="11" t="n">
        <f aca="false">SUM(G9:L9)</f>
        <v>10.13</v>
      </c>
      <c r="N9" s="11" t="n">
        <v>0</v>
      </c>
      <c r="O9" s="11" t="n">
        <v>0.852</v>
      </c>
      <c r="P9" s="11" t="n">
        <v>3.783</v>
      </c>
      <c r="Q9" s="11" t="n">
        <v>0</v>
      </c>
      <c r="R9" s="11" t="n">
        <v>0</v>
      </c>
      <c r="S9" s="11" t="n">
        <v>0.38</v>
      </c>
      <c r="T9" s="11" t="n">
        <f aca="false">SUM(N9:S9)</f>
        <v>5.015</v>
      </c>
      <c r="U9" s="11" t="n">
        <v>0</v>
      </c>
      <c r="V9" s="11" t="n">
        <v>0</v>
      </c>
      <c r="W9" s="11" t="n">
        <v>5.11</v>
      </c>
      <c r="X9" s="11" t="n">
        <v>0</v>
      </c>
      <c r="Y9" s="11" t="n">
        <v>0</v>
      </c>
      <c r="Z9" s="11" t="n">
        <v>0</v>
      </c>
      <c r="AA9" s="11" t="n">
        <f aca="false">SUM(U9:Z9)</f>
        <v>5.11</v>
      </c>
      <c r="AB9" s="11" t="n">
        <v>0</v>
      </c>
      <c r="AC9" s="11" t="n">
        <v>0</v>
      </c>
      <c r="AD9" s="11" t="n">
        <v>2.757</v>
      </c>
      <c r="AE9" s="11" t="n">
        <v>0</v>
      </c>
      <c r="AF9" s="11" t="n">
        <v>0</v>
      </c>
      <c r="AG9" s="11" t="n">
        <v>0</v>
      </c>
      <c r="AH9" s="11" t="n">
        <f aca="false">SUM(AB9:AG9)</f>
        <v>2.757</v>
      </c>
      <c r="AI9" s="12" t="s">
        <v>71</v>
      </c>
    </row>
    <row r="10" customFormat="false" ht="15" hidden="false" customHeight="false" outlineLevel="0" collapsed="false">
      <c r="A10" s="8" t="s">
        <v>78</v>
      </c>
      <c r="B10" s="9" t="s">
        <v>79</v>
      </c>
      <c r="C10" s="8" t="s">
        <v>69</v>
      </c>
      <c r="D10" s="12" t="s">
        <v>70</v>
      </c>
      <c r="E10" s="10" t="str">
        <f aca="true">IFERROR(IF(INDEX(INDIRECT("'"&amp;$AI10&amp;"'!$E$2:$E$320"),MATCH($A10,INDIRECT("'"&amp;$AI10&amp;"'!$A$2:$A$320"),0))="","",INDEX(INDIRECT("'"&amp;$AI10&amp;"'!$E$2:$E$320"),MATCH($A10,INDIRECT("'"&amp;$AI10&amp;"'!$A$2:$A$320"),0))),"")</f>
        <v/>
      </c>
      <c r="F10" s="9" t="str">
        <f aca="false">IF($E10="","",IFERROR(INDEX(担当者マスタ!$B$2:$B$101,MATCH($E10,担当者マスタ!$A$2:$A$101,0)),"※マスタ未登録"))</f>
        <v/>
      </c>
      <c r="G10" s="11" t="n">
        <v>209.322</v>
      </c>
      <c r="H10" s="11" t="n">
        <v>83.69</v>
      </c>
      <c r="I10" s="11" t="n">
        <v>103.08</v>
      </c>
      <c r="J10" s="11" t="n">
        <v>3.621</v>
      </c>
      <c r="K10" s="11" t="n">
        <v>73.377</v>
      </c>
      <c r="L10" s="11" t="n">
        <v>62.471</v>
      </c>
      <c r="M10" s="11" t="n">
        <f aca="false">SUM(G10:L10)</f>
        <v>535.561</v>
      </c>
      <c r="N10" s="11" t="n">
        <v>82.094</v>
      </c>
      <c r="O10" s="11" t="n">
        <v>52.626</v>
      </c>
      <c r="P10" s="11" t="n">
        <v>54.96</v>
      </c>
      <c r="Q10" s="11" t="n">
        <v>1.926</v>
      </c>
      <c r="R10" s="11" t="n">
        <v>36.533</v>
      </c>
      <c r="S10" s="11" t="n">
        <v>36.068</v>
      </c>
      <c r="T10" s="11" t="n">
        <f aca="false">SUM(N10:S10)</f>
        <v>264.207</v>
      </c>
      <c r="U10" s="11" t="n">
        <v>40.799</v>
      </c>
      <c r="V10" s="11" t="n">
        <v>62.98</v>
      </c>
      <c r="W10" s="11" t="n">
        <v>83.153</v>
      </c>
      <c r="X10" s="11" t="n">
        <v>0</v>
      </c>
      <c r="Y10" s="11" t="n">
        <v>0</v>
      </c>
      <c r="Z10" s="11" t="n">
        <v>0</v>
      </c>
      <c r="AA10" s="11" t="n">
        <f aca="false">SUM(U10:Z10)</f>
        <v>186.932</v>
      </c>
      <c r="AB10" s="11" t="n">
        <v>23.037</v>
      </c>
      <c r="AC10" s="11" t="n">
        <v>38.526</v>
      </c>
      <c r="AD10" s="11" t="n">
        <v>50.38</v>
      </c>
      <c r="AE10" s="11" t="n">
        <v>0</v>
      </c>
      <c r="AF10" s="11" t="n">
        <v>0</v>
      </c>
      <c r="AG10" s="11" t="n">
        <v>0</v>
      </c>
      <c r="AH10" s="11" t="n">
        <f aca="false">SUM(AB10:AG10)</f>
        <v>111.943</v>
      </c>
      <c r="AI10" s="12" t="s">
        <v>71</v>
      </c>
    </row>
    <row r="11" customFormat="false" ht="15" hidden="false" customHeight="false" outlineLevel="0" collapsed="false">
      <c r="A11" s="8" t="s">
        <v>80</v>
      </c>
      <c r="B11" s="9" t="s">
        <v>81</v>
      </c>
      <c r="C11" s="8" t="s">
        <v>69</v>
      </c>
      <c r="D11" s="12" t="s">
        <v>70</v>
      </c>
      <c r="E11" s="10" t="str">
        <f aca="true">IFERROR(IF(INDEX(INDIRECT("'"&amp;$AI11&amp;"'!$E$2:$E$320"),MATCH($A11,INDIRECT("'"&amp;$AI11&amp;"'!$A$2:$A$320"),0))="","",INDEX(INDIRECT("'"&amp;$AI11&amp;"'!$E$2:$E$320"),MATCH($A11,INDIRECT("'"&amp;$AI11&amp;"'!$A$2:$A$320"),0))),"")</f>
        <v/>
      </c>
      <c r="F11" s="9" t="str">
        <f aca="false">IF($E11="","",IFERROR(INDEX(担当者マスタ!$B$2:$B$101,MATCH($E11,担当者マスタ!$A$2:$A$101,0)),"※マスタ未登録"))</f>
        <v/>
      </c>
      <c r="G11" s="11" t="n">
        <v>4.239</v>
      </c>
      <c r="H11" s="11" t="n">
        <v>6.693</v>
      </c>
      <c r="I11" s="11" t="n">
        <v>2.34</v>
      </c>
      <c r="J11" s="11" t="n">
        <v>0</v>
      </c>
      <c r="K11" s="11" t="n">
        <v>2.34</v>
      </c>
      <c r="L11" s="11" t="n">
        <v>6.693</v>
      </c>
      <c r="M11" s="11" t="n">
        <f aca="false">SUM(G11:L11)</f>
        <v>22.305</v>
      </c>
      <c r="N11" s="11" t="n">
        <v>2.392</v>
      </c>
      <c r="O11" s="11" t="n">
        <v>2.848</v>
      </c>
      <c r="P11" s="11" t="n">
        <v>1.273</v>
      </c>
      <c r="Q11" s="11" t="n">
        <v>0</v>
      </c>
      <c r="R11" s="11" t="n">
        <v>1.273</v>
      </c>
      <c r="S11" s="11" t="n">
        <v>2.848</v>
      </c>
      <c r="T11" s="11" t="n">
        <f aca="false">SUM(N11:S11)</f>
        <v>10.634</v>
      </c>
      <c r="U11" s="11" t="n">
        <v>1.128</v>
      </c>
      <c r="V11" s="11" t="n">
        <v>0</v>
      </c>
      <c r="W11" s="11" t="n">
        <v>11.332</v>
      </c>
      <c r="X11" s="11" t="n">
        <v>0</v>
      </c>
      <c r="Y11" s="11" t="n">
        <v>3.468</v>
      </c>
      <c r="Z11" s="11" t="n">
        <v>5.565</v>
      </c>
      <c r="AA11" s="11" t="n">
        <f aca="false">SUM(U11:Z11)</f>
        <v>21.493</v>
      </c>
      <c r="AB11" s="11" t="n">
        <v>0.733</v>
      </c>
      <c r="AC11" s="11" t="n">
        <v>0</v>
      </c>
      <c r="AD11" s="11" t="n">
        <v>5.413</v>
      </c>
      <c r="AE11" s="11" t="n">
        <v>0</v>
      </c>
      <c r="AF11" s="11" t="n">
        <v>2.006</v>
      </c>
      <c r="AG11" s="11" t="n">
        <v>2.115</v>
      </c>
      <c r="AH11" s="11" t="n">
        <f aca="false">SUM(AB11:AG11)</f>
        <v>10.267</v>
      </c>
      <c r="AI11" s="12" t="s">
        <v>71</v>
      </c>
    </row>
    <row r="12" customFormat="false" ht="15" hidden="false" customHeight="false" outlineLevel="0" collapsed="false">
      <c r="A12" s="8" t="s">
        <v>82</v>
      </c>
      <c r="B12" s="9" t="s">
        <v>83</v>
      </c>
      <c r="C12" s="8" t="s">
        <v>69</v>
      </c>
      <c r="D12" s="12" t="s">
        <v>70</v>
      </c>
      <c r="E12" s="10" t="str">
        <f aca="true">IFERROR(IF(INDEX(INDIRECT("'"&amp;$AI12&amp;"'!$E$2:$E$320"),MATCH($A12,INDIRECT("'"&amp;$AI12&amp;"'!$A$2:$A$320"),0))="","",INDEX(INDIRECT("'"&amp;$AI12&amp;"'!$E$2:$E$320"),MATCH($A12,INDIRECT("'"&amp;$AI12&amp;"'!$A$2:$A$320"),0))),"")</f>
        <v/>
      </c>
      <c r="F12" s="9" t="str">
        <f aca="false">IF($E12="","",IFERROR(INDEX(担当者マスタ!$B$2:$B$101,MATCH($E12,担当者マスタ!$A$2:$A$101,0)),"※マスタ未登録"))</f>
        <v/>
      </c>
      <c r="G12" s="11" t="n">
        <v>0</v>
      </c>
      <c r="H12" s="11" t="n">
        <v>0</v>
      </c>
      <c r="I12" s="11" t="n">
        <v>0</v>
      </c>
      <c r="J12" s="11" t="n">
        <v>5.565</v>
      </c>
      <c r="K12" s="11" t="n">
        <v>0</v>
      </c>
      <c r="L12" s="11" t="n">
        <v>1.36</v>
      </c>
      <c r="M12" s="11" t="n">
        <f aca="false">SUM(G12:L12)</f>
        <v>6.925</v>
      </c>
      <c r="N12" s="11" t="n">
        <v>0</v>
      </c>
      <c r="O12" s="11" t="n">
        <v>0</v>
      </c>
      <c r="P12" s="11" t="n">
        <v>0</v>
      </c>
      <c r="Q12" s="11" t="n">
        <v>2.115</v>
      </c>
      <c r="R12" s="11" t="n">
        <v>0</v>
      </c>
      <c r="S12" s="11" t="n">
        <v>0.38</v>
      </c>
      <c r="T12" s="11" t="n">
        <f aca="false">SUM(N12:S12)</f>
        <v>2.495</v>
      </c>
      <c r="U12" s="11" t="n">
        <v>12.3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f aca="false">SUM(U12:Z12)</f>
        <v>12.3</v>
      </c>
      <c r="AB12" s="11" t="n">
        <v>7.36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f aca="false">SUM(AB12:AG12)</f>
        <v>7.36</v>
      </c>
      <c r="AI12" s="12" t="s">
        <v>71</v>
      </c>
    </row>
    <row r="13" customFormat="false" ht="15" hidden="false" customHeight="false" outlineLevel="0" collapsed="false">
      <c r="A13" s="8" t="s">
        <v>84</v>
      </c>
      <c r="B13" s="9" t="s">
        <v>85</v>
      </c>
      <c r="C13" s="8" t="s">
        <v>69</v>
      </c>
      <c r="D13" s="12" t="s">
        <v>70</v>
      </c>
      <c r="E13" s="10" t="str">
        <f aca="true">IFERROR(IF(INDEX(INDIRECT("'"&amp;$AI13&amp;"'!$E$2:$E$320"),MATCH($A13,INDIRECT("'"&amp;$AI13&amp;"'!$A$2:$A$320"),0))="","",INDEX(INDIRECT("'"&amp;$AI13&amp;"'!$E$2:$E$320"),MATCH($A13,INDIRECT("'"&amp;$AI13&amp;"'!$A$2:$A$320"),0))),"")</f>
        <v/>
      </c>
      <c r="F13" s="9" t="str">
        <f aca="false">IF($E13="","",IFERROR(INDEX(担当者マスタ!$B$2:$B$101,MATCH($E13,担当者マスタ!$A$2:$A$101,0)),"※マスタ未登録"))</f>
        <v/>
      </c>
      <c r="G13" s="11" t="n">
        <v>12.138</v>
      </c>
      <c r="H13" s="11" t="n">
        <v>42.301</v>
      </c>
      <c r="I13" s="11" t="n">
        <v>203.145</v>
      </c>
      <c r="J13" s="11" t="n">
        <v>-30.188</v>
      </c>
      <c r="K13" s="11" t="n">
        <v>25.386</v>
      </c>
      <c r="L13" s="11" t="n">
        <v>84.022</v>
      </c>
      <c r="M13" s="11" t="n">
        <f aca="false">SUM(G13:L13)</f>
        <v>336.804</v>
      </c>
      <c r="N13" s="11" t="n">
        <v>6.817</v>
      </c>
      <c r="O13" s="11" t="n">
        <v>23.374</v>
      </c>
      <c r="P13" s="11" t="n">
        <v>102.421</v>
      </c>
      <c r="Q13" s="11" t="n">
        <v>-15.475</v>
      </c>
      <c r="R13" s="11" t="n">
        <v>12.409</v>
      </c>
      <c r="S13" s="11" t="n">
        <v>23.692</v>
      </c>
      <c r="T13" s="11" t="n">
        <f aca="false">SUM(N13:S13)</f>
        <v>153.238</v>
      </c>
      <c r="U13" s="11" t="n">
        <v>35.263</v>
      </c>
      <c r="V13" s="11" t="n">
        <v>24.819</v>
      </c>
      <c r="W13" s="11" t="n">
        <v>116.324</v>
      </c>
      <c r="X13" s="11" t="n">
        <v>5.615</v>
      </c>
      <c r="Y13" s="11" t="n">
        <v>101.697</v>
      </c>
      <c r="Z13" s="11" t="n">
        <v>21.525</v>
      </c>
      <c r="AA13" s="11" t="n">
        <f aca="false">SUM(U13:Z13)</f>
        <v>305.243</v>
      </c>
      <c r="AB13" s="11" t="n">
        <v>18.983</v>
      </c>
      <c r="AC13" s="11" t="n">
        <v>13.872</v>
      </c>
      <c r="AD13" s="11" t="n">
        <v>49.442</v>
      </c>
      <c r="AE13" s="11" t="n">
        <v>2.946</v>
      </c>
      <c r="AF13" s="11" t="n">
        <v>32.017</v>
      </c>
      <c r="AG13" s="11" t="n">
        <v>8.522</v>
      </c>
      <c r="AH13" s="11" t="n">
        <f aca="false">SUM(AB13:AG13)</f>
        <v>125.782</v>
      </c>
      <c r="AI13" s="12" t="s">
        <v>71</v>
      </c>
    </row>
    <row r="14" customFormat="false" ht="15" hidden="false" customHeight="false" outlineLevel="0" collapsed="false">
      <c r="A14" s="8" t="s">
        <v>86</v>
      </c>
      <c r="B14" s="9" t="s">
        <v>87</v>
      </c>
      <c r="C14" s="8" t="s">
        <v>69</v>
      </c>
      <c r="D14" s="12" t="s">
        <v>70</v>
      </c>
      <c r="E14" s="10" t="str">
        <f aca="true">IFERROR(IF(INDEX(INDIRECT("'"&amp;$AI14&amp;"'!$E$2:$E$320"),MATCH($A14,INDIRECT("'"&amp;$AI14&amp;"'!$A$2:$A$320"),0))="","",INDEX(INDIRECT("'"&amp;$AI14&amp;"'!$E$2:$E$320"),MATCH($A14,INDIRECT("'"&amp;$AI14&amp;"'!$A$2:$A$320"),0))),"")</f>
        <v/>
      </c>
      <c r="F14" s="9" t="str">
        <f aca="false">IF($E14="","",IFERROR(INDEX(担当者マスタ!$B$2:$B$101,MATCH($E14,担当者マスタ!$A$2:$A$101,0)),"※マスタ未登録"))</f>
        <v/>
      </c>
      <c r="G14" s="11" t="n">
        <v>199.66</v>
      </c>
      <c r="H14" s="11" t="n">
        <v>85.905</v>
      </c>
      <c r="I14" s="11" t="n">
        <v>106.962</v>
      </c>
      <c r="J14" s="11" t="n">
        <v>61.555</v>
      </c>
      <c r="K14" s="11" t="n">
        <v>72.31</v>
      </c>
      <c r="L14" s="11" t="n">
        <v>78.24</v>
      </c>
      <c r="M14" s="11" t="n">
        <f aca="false">SUM(G14:L14)</f>
        <v>604.632</v>
      </c>
      <c r="N14" s="11" t="n">
        <v>72.783</v>
      </c>
      <c r="O14" s="11" t="n">
        <v>29.191</v>
      </c>
      <c r="P14" s="11" t="n">
        <v>34.663</v>
      </c>
      <c r="Q14" s="11" t="n">
        <v>21.201</v>
      </c>
      <c r="R14" s="11" t="n">
        <v>22.532</v>
      </c>
      <c r="S14" s="11" t="n">
        <v>20.17</v>
      </c>
      <c r="T14" s="11" t="n">
        <f aca="false">SUM(N14:S14)</f>
        <v>200.54</v>
      </c>
      <c r="U14" s="11" t="n">
        <v>83.7</v>
      </c>
      <c r="V14" s="11" t="n">
        <v>41.17</v>
      </c>
      <c r="W14" s="11" t="n">
        <v>112.518</v>
      </c>
      <c r="X14" s="11" t="n">
        <v>52.6</v>
      </c>
      <c r="Y14" s="11" t="n">
        <v>75.59</v>
      </c>
      <c r="Z14" s="11" t="n">
        <v>115.225</v>
      </c>
      <c r="AA14" s="11" t="n">
        <f aca="false">SUM(U14:Z14)</f>
        <v>480.803</v>
      </c>
      <c r="AB14" s="11" t="n">
        <v>23.787</v>
      </c>
      <c r="AC14" s="11" t="n">
        <v>10.86</v>
      </c>
      <c r="AD14" s="11" t="n">
        <v>36.634</v>
      </c>
      <c r="AE14" s="11" t="n">
        <v>16.819</v>
      </c>
      <c r="AF14" s="11" t="n">
        <v>21.22</v>
      </c>
      <c r="AG14" s="11" t="n">
        <v>37.85</v>
      </c>
      <c r="AH14" s="11" t="n">
        <f aca="false">SUM(AB14:AG14)</f>
        <v>147.17</v>
      </c>
      <c r="AI14" s="12" t="s">
        <v>71</v>
      </c>
    </row>
    <row r="15" customFormat="false" ht="15" hidden="false" customHeight="false" outlineLevel="0" collapsed="false">
      <c r="A15" s="8" t="s">
        <v>88</v>
      </c>
      <c r="B15" s="12" t="s">
        <v>89</v>
      </c>
      <c r="C15" s="8" t="s">
        <v>69</v>
      </c>
      <c r="D15" s="12" t="s">
        <v>70</v>
      </c>
      <c r="E15" s="10" t="str">
        <f aca="true">IFERROR(IF(INDEX(INDIRECT("'"&amp;$AI15&amp;"'!$E$2:$E$320"),MATCH($A15,INDIRECT("'"&amp;$AI15&amp;"'!$A$2:$A$320"),0))="","",INDEX(INDIRECT("'"&amp;$AI15&amp;"'!$E$2:$E$320"),MATCH($A15,INDIRECT("'"&amp;$AI15&amp;"'!$A$2:$A$320"),0))),"")</f>
        <v/>
      </c>
      <c r="F15" s="9" t="str">
        <f aca="false">IF($E15="","",IFERROR(INDEX(担当者マスタ!$B$2:$B$101,MATCH($E15,担当者マスタ!$A$2:$A$101,0)),"※マスタ未登録"))</f>
        <v/>
      </c>
      <c r="G15" s="11" t="n">
        <v>0</v>
      </c>
      <c r="H15" s="11" t="n">
        <v>0</v>
      </c>
      <c r="I15" s="11" t="n">
        <v>23.1</v>
      </c>
      <c r="J15" s="11" t="n">
        <v>0</v>
      </c>
      <c r="K15" s="11" t="n">
        <v>0</v>
      </c>
      <c r="L15" s="11" t="n">
        <v>8.96</v>
      </c>
      <c r="M15" s="11" t="n">
        <f aca="false">SUM(G15:L15)</f>
        <v>32.06</v>
      </c>
      <c r="N15" s="11" t="n">
        <v>0</v>
      </c>
      <c r="O15" s="11" t="n">
        <v>0</v>
      </c>
      <c r="P15" s="11" t="n">
        <v>4.95</v>
      </c>
      <c r="Q15" s="11" t="n">
        <v>0</v>
      </c>
      <c r="R15" s="11" t="n">
        <v>0</v>
      </c>
      <c r="S15" s="11" t="n">
        <v>1.8</v>
      </c>
      <c r="T15" s="11" t="n">
        <f aca="false">SUM(N15:S15)</f>
        <v>6.75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f aca="false">SUM(U15:Z15)</f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f aca="false">SUM(AB15:AG15)</f>
        <v>0</v>
      </c>
      <c r="AI15" s="12" t="s">
        <v>71</v>
      </c>
    </row>
    <row r="16" customFormat="false" ht="15" hidden="false" customHeight="false" outlineLevel="0" collapsed="false">
      <c r="A16" s="8" t="s">
        <v>90</v>
      </c>
      <c r="B16" s="9" t="s">
        <v>91</v>
      </c>
      <c r="C16" s="8" t="s">
        <v>69</v>
      </c>
      <c r="D16" s="12" t="s">
        <v>70</v>
      </c>
      <c r="E16" s="10" t="str">
        <f aca="true">IFERROR(IF(INDEX(INDIRECT("'"&amp;$AI16&amp;"'!$E$2:$E$320"),MATCH($A16,INDIRECT("'"&amp;$AI16&amp;"'!$A$2:$A$320"),0))="","",INDEX(INDIRECT("'"&amp;$AI16&amp;"'!$E$2:$E$320"),MATCH($A16,INDIRECT("'"&amp;$AI16&amp;"'!$A$2:$A$320"),0))),"")</f>
        <v/>
      </c>
      <c r="F16" s="9" t="str">
        <f aca="false">IF($E16="","",IFERROR(INDEX(担当者マスタ!$B$2:$B$101,MATCH($E16,担当者マスタ!$A$2:$A$101,0)),"※マスタ未登録"))</f>
        <v/>
      </c>
      <c r="G16" s="11" t="n">
        <v>1150.858</v>
      </c>
      <c r="H16" s="11" t="n">
        <v>598</v>
      </c>
      <c r="I16" s="11" t="n">
        <v>0</v>
      </c>
      <c r="J16" s="11" t="n">
        <v>237.8</v>
      </c>
      <c r="K16" s="11" t="n">
        <v>479.33</v>
      </c>
      <c r="L16" s="11" t="n">
        <v>125.88</v>
      </c>
      <c r="M16" s="11" t="n">
        <f aca="false">SUM(G16:L16)</f>
        <v>2591.868</v>
      </c>
      <c r="N16" s="11" t="n">
        <v>228.633</v>
      </c>
      <c r="O16" s="11" t="n">
        <v>33</v>
      </c>
      <c r="P16" s="11" t="n">
        <v>0</v>
      </c>
      <c r="Q16" s="11" t="n">
        <v>38.1</v>
      </c>
      <c r="R16" s="11" t="n">
        <v>97.446</v>
      </c>
      <c r="S16" s="11" t="n">
        <v>19.84</v>
      </c>
      <c r="T16" s="11" t="n">
        <f aca="false">SUM(N16:S16)</f>
        <v>417.019</v>
      </c>
      <c r="U16" s="11" t="n">
        <v>4.2</v>
      </c>
      <c r="V16" s="11" t="n">
        <v>0</v>
      </c>
      <c r="W16" s="11" t="n">
        <v>8.4</v>
      </c>
      <c r="X16" s="11" t="n">
        <v>0</v>
      </c>
      <c r="Y16" s="11" t="n">
        <v>6.3</v>
      </c>
      <c r="Z16" s="11" t="n">
        <v>4.2</v>
      </c>
      <c r="AA16" s="11" t="n">
        <f aca="false">SUM(U16:Z16)</f>
        <v>23.1</v>
      </c>
      <c r="AB16" s="11" t="n">
        <v>0.6</v>
      </c>
      <c r="AC16" s="11" t="n">
        <v>0</v>
      </c>
      <c r="AD16" s="11" t="n">
        <v>1.2</v>
      </c>
      <c r="AE16" s="11" t="n">
        <v>0</v>
      </c>
      <c r="AF16" s="11" t="n">
        <v>0.9</v>
      </c>
      <c r="AG16" s="11" t="n">
        <v>0.6</v>
      </c>
      <c r="AH16" s="11" t="n">
        <f aca="false">SUM(AB16:AG16)</f>
        <v>3.3</v>
      </c>
      <c r="AI16" s="12" t="s">
        <v>71</v>
      </c>
    </row>
    <row r="17" customFormat="false" ht="15" hidden="false" customHeight="false" outlineLevel="0" collapsed="false">
      <c r="A17" s="8" t="s">
        <v>92</v>
      </c>
      <c r="B17" s="12" t="s">
        <v>93</v>
      </c>
      <c r="C17" s="8" t="s">
        <v>69</v>
      </c>
      <c r="D17" s="12" t="s">
        <v>70</v>
      </c>
      <c r="E17" s="10" t="str">
        <f aca="true">IFERROR(IF(INDEX(INDIRECT("'"&amp;$AI17&amp;"'!$E$2:$E$320"),MATCH($A17,INDIRECT("'"&amp;$AI17&amp;"'!$A$2:$A$320"),0))="","",INDEX(INDIRECT("'"&amp;$AI17&amp;"'!$E$2:$E$320"),MATCH($A17,INDIRECT("'"&amp;$AI17&amp;"'!$A$2:$A$320"),0))),"")</f>
        <v/>
      </c>
      <c r="F17" s="9" t="str">
        <f aca="false">IF($E17="","",IFERROR(INDEX(担当者マスタ!$B$2:$B$101,MATCH($E17,担当者マスタ!$A$2:$A$101,0)),"※マスタ未登録"))</f>
        <v/>
      </c>
      <c r="G17" s="11" t="n">
        <v>11.328</v>
      </c>
      <c r="H17" s="11" t="n">
        <v>10.152</v>
      </c>
      <c r="I17" s="11" t="n">
        <v>13.992</v>
      </c>
      <c r="J17" s="11" t="n">
        <v>10.896</v>
      </c>
      <c r="K17" s="11" t="n">
        <v>14.712</v>
      </c>
      <c r="L17" s="11" t="n">
        <v>10.896</v>
      </c>
      <c r="M17" s="11" t="n">
        <f aca="false">SUM(G17:L17)</f>
        <v>71.976</v>
      </c>
      <c r="N17" s="11" t="n">
        <v>2.376</v>
      </c>
      <c r="O17" s="11" t="n">
        <v>2.136</v>
      </c>
      <c r="P17" s="11" t="n">
        <v>3.048</v>
      </c>
      <c r="Q17" s="11" t="n">
        <v>2.352</v>
      </c>
      <c r="R17" s="11" t="n">
        <v>3.096</v>
      </c>
      <c r="S17" s="11" t="n">
        <v>2.352</v>
      </c>
      <c r="T17" s="11" t="n">
        <f aca="false">SUM(N17:S17)</f>
        <v>15.36</v>
      </c>
      <c r="U17" s="11" t="n">
        <v>9.912</v>
      </c>
      <c r="V17" s="11" t="n">
        <v>8.616</v>
      </c>
      <c r="W17" s="11" t="n">
        <v>6.48</v>
      </c>
      <c r="X17" s="11" t="n">
        <v>12.048</v>
      </c>
      <c r="Y17" s="11" t="n">
        <v>8.616</v>
      </c>
      <c r="Z17" s="11" t="n">
        <v>8.616</v>
      </c>
      <c r="AA17" s="11" t="n">
        <f aca="false">SUM(U17:Z17)</f>
        <v>54.288</v>
      </c>
      <c r="AB17" s="11" t="n">
        <v>2.832</v>
      </c>
      <c r="AC17" s="11" t="n">
        <v>2.472</v>
      </c>
      <c r="AD17" s="11" t="n">
        <v>1.8</v>
      </c>
      <c r="AE17" s="11" t="n">
        <v>2.928</v>
      </c>
      <c r="AF17" s="11" t="n">
        <v>1.992</v>
      </c>
      <c r="AG17" s="11" t="n">
        <v>1.992</v>
      </c>
      <c r="AH17" s="11" t="n">
        <f aca="false">SUM(AB17:AG17)</f>
        <v>14.016</v>
      </c>
      <c r="AI17" s="12" t="s">
        <v>71</v>
      </c>
    </row>
    <row r="18" customFormat="false" ht="15" hidden="false" customHeight="false" outlineLevel="0" collapsed="false">
      <c r="A18" s="8" t="s">
        <v>94</v>
      </c>
      <c r="B18" s="12" t="s">
        <v>95</v>
      </c>
      <c r="C18" s="8" t="s">
        <v>69</v>
      </c>
      <c r="D18" s="12" t="s">
        <v>70</v>
      </c>
      <c r="E18" s="10" t="str">
        <f aca="true">IFERROR(IF(INDEX(INDIRECT("'"&amp;$AI18&amp;"'!$E$2:$E$320"),MATCH($A18,INDIRECT("'"&amp;$AI18&amp;"'!$A$2:$A$320"),0))="","",INDEX(INDIRECT("'"&amp;$AI18&amp;"'!$E$2:$E$320"),MATCH($A18,INDIRECT("'"&amp;$AI18&amp;"'!$A$2:$A$320"),0))),"")</f>
        <v/>
      </c>
      <c r="F18" s="9" t="str">
        <f aca="false">IF($E18="","",IFERROR(INDEX(担当者マスタ!$B$2:$B$101,MATCH($E18,担当者マスタ!$A$2:$A$101,0)),"※マスタ未登録"))</f>
        <v/>
      </c>
      <c r="G18" s="11" t="n">
        <v>194.978</v>
      </c>
      <c r="H18" s="11" t="n">
        <v>271.234</v>
      </c>
      <c r="I18" s="11" t="n">
        <v>458.92</v>
      </c>
      <c r="J18" s="11" t="n">
        <v>174.512</v>
      </c>
      <c r="K18" s="11" t="n">
        <v>242.428</v>
      </c>
      <c r="L18" s="11" t="n">
        <v>287.871</v>
      </c>
      <c r="M18" s="11" t="n">
        <f aca="false">SUM(G18:L18)</f>
        <v>1629.943</v>
      </c>
      <c r="N18" s="11" t="n">
        <v>77.311</v>
      </c>
      <c r="O18" s="11" t="n">
        <v>94.519</v>
      </c>
      <c r="P18" s="11" t="n">
        <v>135.017</v>
      </c>
      <c r="Q18" s="11" t="n">
        <v>49.531</v>
      </c>
      <c r="R18" s="11" t="n">
        <v>82.871</v>
      </c>
      <c r="S18" s="11" t="n">
        <v>74.615</v>
      </c>
      <c r="T18" s="11" t="n">
        <f aca="false">SUM(N18:S18)</f>
        <v>513.864</v>
      </c>
      <c r="U18" s="11" t="n">
        <v>350.69</v>
      </c>
      <c r="V18" s="11" t="n">
        <v>171.46</v>
      </c>
      <c r="W18" s="11" t="n">
        <v>425.923</v>
      </c>
      <c r="X18" s="11" t="n">
        <v>266.668</v>
      </c>
      <c r="Y18" s="11" t="n">
        <v>312.111</v>
      </c>
      <c r="Z18" s="11" t="n">
        <v>242.54</v>
      </c>
      <c r="AA18" s="11" t="n">
        <f aca="false">SUM(U18:Z18)</f>
        <v>1769.392</v>
      </c>
      <c r="AB18" s="11" t="n">
        <v>115.343</v>
      </c>
      <c r="AC18" s="11" t="n">
        <v>52.855</v>
      </c>
      <c r="AD18" s="11" t="n">
        <v>119.493</v>
      </c>
      <c r="AE18" s="11" t="n">
        <v>82.149</v>
      </c>
      <c r="AF18" s="11" t="n">
        <v>90.802</v>
      </c>
      <c r="AG18" s="11" t="n">
        <v>74.657</v>
      </c>
      <c r="AH18" s="11" t="n">
        <f aca="false">SUM(AB18:AG18)</f>
        <v>535.299</v>
      </c>
      <c r="AI18" s="12" t="s">
        <v>71</v>
      </c>
    </row>
    <row r="19" customFormat="false" ht="15" hidden="false" customHeight="false" outlineLevel="0" collapsed="false">
      <c r="A19" s="8" t="s">
        <v>96</v>
      </c>
      <c r="B19" s="12" t="s">
        <v>97</v>
      </c>
      <c r="C19" s="8" t="s">
        <v>69</v>
      </c>
      <c r="D19" s="12" t="s">
        <v>70</v>
      </c>
      <c r="E19" s="10" t="str">
        <f aca="true">IFERROR(IF(INDEX(INDIRECT("'"&amp;$AI19&amp;"'!$E$2:$E$320"),MATCH($A19,INDIRECT("'"&amp;$AI19&amp;"'!$A$2:$A$320"),0))="","",INDEX(INDIRECT("'"&amp;$AI19&amp;"'!$E$2:$E$320"),MATCH($A19,INDIRECT("'"&amp;$AI19&amp;"'!$A$2:$A$320"),0))),"")</f>
        <v/>
      </c>
      <c r="F19" s="9" t="str">
        <f aca="false">IF($E19="","",IFERROR(INDEX(担当者マスタ!$B$2:$B$101,MATCH($E19,担当者マスタ!$A$2:$A$101,0)),"※マスタ未登録"))</f>
        <v/>
      </c>
      <c r="G19" s="11" t="n">
        <v>375.095</v>
      </c>
      <c r="H19" s="11" t="n">
        <v>300.763</v>
      </c>
      <c r="I19" s="11" t="n">
        <v>358.827</v>
      </c>
      <c r="J19" s="11" t="n">
        <v>168.396</v>
      </c>
      <c r="K19" s="11" t="n">
        <v>266.131</v>
      </c>
      <c r="L19" s="11" t="n">
        <v>292.713</v>
      </c>
      <c r="M19" s="11" t="n">
        <f aca="false">SUM(G19:L19)</f>
        <v>1761.925</v>
      </c>
      <c r="N19" s="11" t="n">
        <v>117.531</v>
      </c>
      <c r="O19" s="11" t="n">
        <v>96.673</v>
      </c>
      <c r="P19" s="11" t="n">
        <v>110.662</v>
      </c>
      <c r="Q19" s="11" t="n">
        <v>52.538</v>
      </c>
      <c r="R19" s="11" t="n">
        <v>85.24</v>
      </c>
      <c r="S19" s="11" t="n">
        <v>95.156</v>
      </c>
      <c r="T19" s="11" t="n">
        <f aca="false">SUM(N19:S19)</f>
        <v>557.8</v>
      </c>
      <c r="U19" s="11" t="n">
        <v>389.489</v>
      </c>
      <c r="V19" s="11" t="n">
        <v>320.151</v>
      </c>
      <c r="W19" s="11" t="n">
        <v>438.299</v>
      </c>
      <c r="X19" s="11" t="n">
        <v>287.297</v>
      </c>
      <c r="Y19" s="11" t="n">
        <v>268.709</v>
      </c>
      <c r="Z19" s="11" t="n">
        <v>331.839</v>
      </c>
      <c r="AA19" s="11" t="n">
        <f aca="false">SUM(U19:Z19)</f>
        <v>2035.784</v>
      </c>
      <c r="AB19" s="11" t="n">
        <v>121.989</v>
      </c>
      <c r="AC19" s="11" t="n">
        <v>102.214</v>
      </c>
      <c r="AD19" s="11" t="n">
        <v>140.126</v>
      </c>
      <c r="AE19" s="11" t="n">
        <v>93.285</v>
      </c>
      <c r="AF19" s="11" t="n">
        <v>84.583</v>
      </c>
      <c r="AG19" s="11" t="n">
        <v>105.34</v>
      </c>
      <c r="AH19" s="11" t="n">
        <f aca="false">SUM(AB19:AG19)</f>
        <v>647.537</v>
      </c>
      <c r="AI19" s="12" t="s">
        <v>71</v>
      </c>
    </row>
    <row r="20" customFormat="false" ht="15" hidden="false" customHeight="false" outlineLevel="0" collapsed="false">
      <c r="A20" s="8" t="s">
        <v>98</v>
      </c>
      <c r="B20" s="12" t="s">
        <v>99</v>
      </c>
      <c r="C20" s="8" t="s">
        <v>69</v>
      </c>
      <c r="D20" s="12" t="s">
        <v>70</v>
      </c>
      <c r="E20" s="10" t="str">
        <f aca="true">IFERROR(IF(INDEX(INDIRECT("'"&amp;$AI20&amp;"'!$E$2:$E$320"),MATCH($A20,INDIRECT("'"&amp;$AI20&amp;"'!$A$2:$A$320"),0))="","",INDEX(INDIRECT("'"&amp;$AI20&amp;"'!$E$2:$E$320"),MATCH($A20,INDIRECT("'"&amp;$AI20&amp;"'!$A$2:$A$320"),0))),"")</f>
        <v/>
      </c>
      <c r="F20" s="9" t="str">
        <f aca="false">IF($E20="","",IFERROR(INDEX(担当者マスタ!$B$2:$B$101,MATCH($E20,担当者マスタ!$A$2:$A$101,0)),"※マスタ未登録"))</f>
        <v/>
      </c>
      <c r="G20" s="11" t="n">
        <v>48.335</v>
      </c>
      <c r="H20" s="11" t="n">
        <v>54.516</v>
      </c>
      <c r="I20" s="11" t="n">
        <v>121.202</v>
      </c>
      <c r="J20" s="11" t="n">
        <v>0</v>
      </c>
      <c r="K20" s="11" t="n">
        <v>0</v>
      </c>
      <c r="L20" s="11" t="n">
        <v>0</v>
      </c>
      <c r="M20" s="11" t="n">
        <f aca="false">SUM(G20:L20)</f>
        <v>224.053</v>
      </c>
      <c r="N20" s="11" t="n">
        <v>17.99</v>
      </c>
      <c r="O20" s="11" t="n">
        <v>19.422</v>
      </c>
      <c r="P20" s="11" t="n">
        <v>44.878</v>
      </c>
      <c r="Q20" s="11" t="n">
        <v>0</v>
      </c>
      <c r="R20" s="11" t="n">
        <v>0</v>
      </c>
      <c r="S20" s="11" t="n">
        <v>0</v>
      </c>
      <c r="T20" s="11" t="n">
        <f aca="false">SUM(N20:S20)</f>
        <v>82.29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f aca="false">SUM(U20:Z20)</f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f aca="false">SUM(AB20:AG20)</f>
        <v>0</v>
      </c>
      <c r="AI20" s="12" t="s">
        <v>71</v>
      </c>
    </row>
    <row r="21" customFormat="false" ht="15" hidden="false" customHeight="false" outlineLevel="0" collapsed="false">
      <c r="A21" s="8" t="s">
        <v>100</v>
      </c>
      <c r="B21" s="12" t="s">
        <v>101</v>
      </c>
      <c r="C21" s="8" t="s">
        <v>69</v>
      </c>
      <c r="D21" s="12" t="s">
        <v>70</v>
      </c>
      <c r="E21" s="10" t="str">
        <f aca="true">IFERROR(IF(INDEX(INDIRECT("'"&amp;$AI21&amp;"'!$E$2:$E$320"),MATCH($A21,INDIRECT("'"&amp;$AI21&amp;"'!$A$2:$A$320"),0))="","",INDEX(INDIRECT("'"&amp;$AI21&amp;"'!$E$2:$E$320"),MATCH($A21,INDIRECT("'"&amp;$AI21&amp;"'!$A$2:$A$320"),0))),"")</f>
        <v/>
      </c>
      <c r="F21" s="9" t="str">
        <f aca="false">IF($E21="","",IFERROR(INDEX(担当者マスタ!$B$2:$B$101,MATCH($E21,担当者マスタ!$A$2:$A$101,0)),"※マスタ未登録"))</f>
        <v/>
      </c>
      <c r="G21" s="11" t="n">
        <v>61.64</v>
      </c>
      <c r="H21" s="11" t="n">
        <v>0</v>
      </c>
      <c r="I21" s="11" t="n">
        <v>0</v>
      </c>
      <c r="J21" s="11" t="n">
        <v>17.04</v>
      </c>
      <c r="K21" s="11" t="n">
        <v>44.6</v>
      </c>
      <c r="L21" s="11" t="n">
        <v>0</v>
      </c>
      <c r="M21" s="11" t="n">
        <f aca="false">SUM(G21:L21)</f>
        <v>123.28</v>
      </c>
      <c r="N21" s="11" t="n">
        <v>25.44</v>
      </c>
      <c r="O21" s="11" t="n">
        <v>0</v>
      </c>
      <c r="P21" s="11" t="n">
        <v>0</v>
      </c>
      <c r="Q21" s="11" t="n">
        <v>7.44</v>
      </c>
      <c r="R21" s="11" t="n">
        <v>18</v>
      </c>
      <c r="S21" s="11" t="n">
        <v>0</v>
      </c>
      <c r="T21" s="11" t="n">
        <f aca="false">SUM(N21:S21)</f>
        <v>50.88</v>
      </c>
      <c r="U21" s="11" t="n">
        <v>0</v>
      </c>
      <c r="V21" s="11" t="n">
        <v>17.04</v>
      </c>
      <c r="W21" s="11" t="n">
        <v>49.2</v>
      </c>
      <c r="X21" s="11" t="n">
        <v>0</v>
      </c>
      <c r="Y21" s="11" t="n">
        <v>0</v>
      </c>
      <c r="Z21" s="11" t="n">
        <v>76.375</v>
      </c>
      <c r="AA21" s="11" t="n">
        <f aca="false">SUM(U21:Z21)</f>
        <v>142.615</v>
      </c>
      <c r="AB21" s="11" t="n">
        <v>0</v>
      </c>
      <c r="AC21" s="11" t="n">
        <v>7.44</v>
      </c>
      <c r="AD21" s="11" t="n">
        <v>22.6</v>
      </c>
      <c r="AE21" s="11" t="n">
        <v>0</v>
      </c>
      <c r="AF21" s="11" t="n">
        <v>0</v>
      </c>
      <c r="AG21" s="11" t="n">
        <v>19.725</v>
      </c>
      <c r="AH21" s="11" t="n">
        <f aca="false">SUM(AB21:AG21)</f>
        <v>49.765</v>
      </c>
      <c r="AI21" s="12" t="s">
        <v>71</v>
      </c>
    </row>
    <row r="22" customFormat="false" ht="15" hidden="false" customHeight="false" outlineLevel="0" collapsed="false">
      <c r="A22" s="8" t="s">
        <v>102</v>
      </c>
      <c r="B22" s="12" t="s">
        <v>103</v>
      </c>
      <c r="C22" s="8" t="s">
        <v>69</v>
      </c>
      <c r="D22" s="12" t="s">
        <v>70</v>
      </c>
      <c r="E22" s="10" t="str">
        <f aca="true">IFERROR(IF(INDEX(INDIRECT("'"&amp;$AI22&amp;"'!$E$2:$E$320"),MATCH($A22,INDIRECT("'"&amp;$AI22&amp;"'!$A$2:$A$320"),0))="","",INDEX(INDIRECT("'"&amp;$AI22&amp;"'!$E$2:$E$320"),MATCH($A22,INDIRECT("'"&amp;$AI22&amp;"'!$A$2:$A$320"),0))),"")</f>
        <v/>
      </c>
      <c r="F22" s="9" t="str">
        <f aca="false">IF($E22="","",IFERROR(INDEX(担当者マスタ!$B$2:$B$101,MATCH($E22,担当者マスタ!$A$2:$A$101,0)),"※マスタ未登録"))</f>
        <v/>
      </c>
      <c r="G22" s="11" t="n">
        <v>0</v>
      </c>
      <c r="H22" s="11" t="n">
        <v>71.65</v>
      </c>
      <c r="I22" s="11" t="n">
        <v>0</v>
      </c>
      <c r="J22" s="11" t="n">
        <v>0</v>
      </c>
      <c r="K22" s="11" t="n">
        <v>25.5</v>
      </c>
      <c r="L22" s="11" t="n">
        <v>0</v>
      </c>
      <c r="M22" s="11" t="n">
        <f aca="false">SUM(G22:L22)</f>
        <v>97.15</v>
      </c>
      <c r="N22" s="11" t="n">
        <v>0</v>
      </c>
      <c r="O22" s="11" t="n">
        <v>32.5</v>
      </c>
      <c r="P22" s="11" t="n">
        <v>0</v>
      </c>
      <c r="Q22" s="11" t="n">
        <v>0</v>
      </c>
      <c r="R22" s="11" t="n">
        <v>12.96</v>
      </c>
      <c r="S22" s="11" t="n">
        <v>0</v>
      </c>
      <c r="T22" s="11" t="n">
        <f aca="false">SUM(N22:S22)</f>
        <v>45.46</v>
      </c>
      <c r="U22" s="11" t="n">
        <v>0</v>
      </c>
      <c r="V22" s="11" t="n">
        <v>54.65</v>
      </c>
      <c r="W22" s="11" t="n">
        <v>0</v>
      </c>
      <c r="X22" s="11" t="n">
        <v>0</v>
      </c>
      <c r="Y22" s="11" t="n">
        <v>0</v>
      </c>
      <c r="Z22" s="11" t="n">
        <v>264</v>
      </c>
      <c r="AA22" s="11" t="n">
        <f aca="false">SUM(U22:Z22)</f>
        <v>318.65</v>
      </c>
      <c r="AB22" s="11" t="n">
        <v>0</v>
      </c>
      <c r="AC22" s="11" t="n">
        <v>25.18</v>
      </c>
      <c r="AD22" s="11" t="n">
        <v>0</v>
      </c>
      <c r="AE22" s="11" t="n">
        <v>0</v>
      </c>
      <c r="AF22" s="11" t="n">
        <v>0</v>
      </c>
      <c r="AG22" s="11" t="n">
        <v>19.8</v>
      </c>
      <c r="AH22" s="11" t="n">
        <f aca="false">SUM(AB22:AG22)</f>
        <v>44.98</v>
      </c>
      <c r="AI22" s="12" t="s">
        <v>71</v>
      </c>
    </row>
    <row r="23" customFormat="false" ht="15" hidden="false" customHeight="false" outlineLevel="0" collapsed="false">
      <c r="A23" s="8" t="s">
        <v>104</v>
      </c>
      <c r="B23" s="12" t="s">
        <v>105</v>
      </c>
      <c r="C23" s="8" t="s">
        <v>69</v>
      </c>
      <c r="D23" s="12" t="s">
        <v>70</v>
      </c>
      <c r="E23" s="10" t="str">
        <f aca="true">IFERROR(IF(INDEX(INDIRECT("'"&amp;$AI23&amp;"'!$E$2:$E$320"),MATCH($A23,INDIRECT("'"&amp;$AI23&amp;"'!$A$2:$A$320"),0))="","",INDEX(INDIRECT("'"&amp;$AI23&amp;"'!$E$2:$E$320"),MATCH($A23,INDIRECT("'"&amp;$AI23&amp;"'!$A$2:$A$320"),0))),"")</f>
        <v/>
      </c>
      <c r="F23" s="9" t="str">
        <f aca="false">IF($E23="","",IFERROR(INDEX(担当者マスタ!$B$2:$B$101,MATCH($E23,担当者マスタ!$A$2:$A$101,0)),"※マスタ未登録"))</f>
        <v/>
      </c>
      <c r="G23" s="11" t="n">
        <v>37.557</v>
      </c>
      <c r="H23" s="11" t="n">
        <v>89.972</v>
      </c>
      <c r="I23" s="11" t="n">
        <v>17.389</v>
      </c>
      <c r="J23" s="11" t="n">
        <v>63.257</v>
      </c>
      <c r="K23" s="11" t="n">
        <v>17.566</v>
      </c>
      <c r="L23" s="11" t="n">
        <v>31.898</v>
      </c>
      <c r="M23" s="11" t="n">
        <f aca="false">SUM(G23:L23)</f>
        <v>257.639</v>
      </c>
      <c r="N23" s="11" t="n">
        <v>16.682</v>
      </c>
      <c r="O23" s="11" t="n">
        <v>39.907</v>
      </c>
      <c r="P23" s="11" t="n">
        <v>7.969</v>
      </c>
      <c r="Q23" s="11" t="n">
        <v>26.385</v>
      </c>
      <c r="R23" s="11" t="n">
        <v>8.294</v>
      </c>
      <c r="S23" s="11" t="n">
        <v>13.646</v>
      </c>
      <c r="T23" s="11" t="n">
        <f aca="false">SUM(N23:S23)</f>
        <v>112.883</v>
      </c>
      <c r="U23" s="11" t="n">
        <v>30.521</v>
      </c>
      <c r="V23" s="11" t="n">
        <v>0</v>
      </c>
      <c r="W23" s="11" t="n">
        <v>23.912</v>
      </c>
      <c r="X23" s="11" t="n">
        <v>0</v>
      </c>
      <c r="Y23" s="11" t="n">
        <v>0</v>
      </c>
      <c r="Z23" s="11" t="n">
        <v>0</v>
      </c>
      <c r="AA23" s="11" t="n">
        <f aca="false">SUM(U23:Z23)</f>
        <v>54.433</v>
      </c>
      <c r="AB23" s="11" t="n">
        <v>13.483</v>
      </c>
      <c r="AC23" s="11" t="n">
        <v>0</v>
      </c>
      <c r="AD23" s="11" t="n">
        <v>10.427</v>
      </c>
      <c r="AE23" s="11" t="n">
        <v>0</v>
      </c>
      <c r="AF23" s="11" t="n">
        <v>0</v>
      </c>
      <c r="AG23" s="11" t="n">
        <v>0</v>
      </c>
      <c r="AH23" s="11" t="n">
        <f aca="false">SUM(AB23:AG23)</f>
        <v>23.91</v>
      </c>
      <c r="AI23" s="12" t="s">
        <v>71</v>
      </c>
    </row>
    <row r="24" customFormat="false" ht="15" hidden="false" customHeight="false" outlineLevel="0" collapsed="false">
      <c r="A24" s="8" t="s">
        <v>106</v>
      </c>
      <c r="B24" s="9" t="s">
        <v>107</v>
      </c>
      <c r="C24" s="8" t="s">
        <v>69</v>
      </c>
      <c r="D24" s="12" t="s">
        <v>70</v>
      </c>
      <c r="E24" s="10" t="str">
        <f aca="true">IFERROR(IF(INDEX(INDIRECT("'"&amp;$AI24&amp;"'!$E$2:$E$320"),MATCH($A24,INDIRECT("'"&amp;$AI24&amp;"'!$A$2:$A$320"),0))="","",INDEX(INDIRECT("'"&amp;$AI24&amp;"'!$E$2:$E$320"),MATCH($A24,INDIRECT("'"&amp;$AI24&amp;"'!$A$2:$A$320"),0))),"")</f>
        <v/>
      </c>
      <c r="F24" s="9" t="str">
        <f aca="false">IF($E24="","",IFERROR(INDEX(担当者マスタ!$B$2:$B$101,MATCH($E24,担当者マスタ!$A$2:$A$101,0)),"※マスタ未登録"))</f>
        <v/>
      </c>
      <c r="G24" s="11" t="n">
        <v>3.6</v>
      </c>
      <c r="H24" s="11" t="n">
        <v>0</v>
      </c>
      <c r="I24" s="11" t="n">
        <v>0</v>
      </c>
      <c r="J24" s="11" t="n">
        <v>8.91</v>
      </c>
      <c r="K24" s="11" t="n">
        <v>0</v>
      </c>
      <c r="L24" s="11" t="n">
        <v>0</v>
      </c>
      <c r="M24" s="11" t="n">
        <f aca="false">SUM(G24:L24)</f>
        <v>12.51</v>
      </c>
      <c r="N24" s="11" t="n">
        <v>1.47</v>
      </c>
      <c r="O24" s="11" t="n">
        <v>0</v>
      </c>
      <c r="P24" s="11" t="n">
        <v>0</v>
      </c>
      <c r="Q24" s="11" t="n">
        <v>1.337</v>
      </c>
      <c r="R24" s="11" t="n">
        <v>0</v>
      </c>
      <c r="S24" s="11" t="n">
        <v>0</v>
      </c>
      <c r="T24" s="11" t="n">
        <f aca="false">SUM(N24:S24)</f>
        <v>2.807</v>
      </c>
      <c r="U24" s="11" t="n">
        <v>0</v>
      </c>
      <c r="V24" s="11" t="n">
        <v>7.7</v>
      </c>
      <c r="W24" s="11" t="n">
        <v>4.885</v>
      </c>
      <c r="X24" s="11" t="n">
        <v>75.87</v>
      </c>
      <c r="Y24" s="11" t="n">
        <v>0</v>
      </c>
      <c r="Z24" s="11" t="n">
        <v>0</v>
      </c>
      <c r="AA24" s="11" t="n">
        <f aca="false">SUM(U24:Z24)</f>
        <v>88.455</v>
      </c>
      <c r="AB24" s="11" t="n">
        <v>0</v>
      </c>
      <c r="AC24" s="11" t="n">
        <v>2.95</v>
      </c>
      <c r="AD24" s="11" t="n">
        <v>1.82</v>
      </c>
      <c r="AE24" s="11" t="n">
        <v>21.287</v>
      </c>
      <c r="AF24" s="11" t="n">
        <v>0</v>
      </c>
      <c r="AG24" s="11" t="n">
        <v>0</v>
      </c>
      <c r="AH24" s="11" t="n">
        <f aca="false">SUM(AB24:AG24)</f>
        <v>26.057</v>
      </c>
      <c r="AI24" s="12" t="s">
        <v>71</v>
      </c>
    </row>
    <row r="25" customFormat="false" ht="15" hidden="false" customHeight="false" outlineLevel="0" collapsed="false">
      <c r="A25" s="8" t="s">
        <v>108</v>
      </c>
      <c r="B25" s="12" t="s">
        <v>109</v>
      </c>
      <c r="C25" s="8" t="s">
        <v>69</v>
      </c>
      <c r="D25" s="12" t="s">
        <v>70</v>
      </c>
      <c r="E25" s="10" t="str">
        <f aca="true">IFERROR(IF(INDEX(INDIRECT("'"&amp;$AI25&amp;"'!$E$2:$E$320"),MATCH($A25,INDIRECT("'"&amp;$AI25&amp;"'!$A$2:$A$320"),0))="","",INDEX(INDIRECT("'"&amp;$AI25&amp;"'!$E$2:$E$320"),MATCH($A25,INDIRECT("'"&amp;$AI25&amp;"'!$A$2:$A$320"),0))),"")</f>
        <v/>
      </c>
      <c r="F25" s="9" t="str">
        <f aca="false">IF($E25="","",IFERROR(INDEX(担当者マスタ!$B$2:$B$101,MATCH($E25,担当者マスタ!$A$2:$A$101,0)),"※マスタ未登録"))</f>
        <v/>
      </c>
      <c r="G25" s="11" t="n">
        <v>415.146</v>
      </c>
      <c r="H25" s="11" t="n">
        <v>36.7</v>
      </c>
      <c r="I25" s="11" t="n">
        <v>0</v>
      </c>
      <c r="J25" s="11" t="n">
        <v>17.2</v>
      </c>
      <c r="K25" s="11" t="n">
        <v>0</v>
      </c>
      <c r="L25" s="11" t="n">
        <v>0</v>
      </c>
      <c r="M25" s="11" t="n">
        <f aca="false">SUM(G25:L25)</f>
        <v>469.046</v>
      </c>
      <c r="N25" s="11" t="n">
        <v>138.535</v>
      </c>
      <c r="O25" s="11" t="n">
        <v>13.918</v>
      </c>
      <c r="P25" s="11" t="n">
        <v>0</v>
      </c>
      <c r="Q25" s="11" t="n">
        <v>4.4</v>
      </c>
      <c r="R25" s="11" t="n">
        <v>0</v>
      </c>
      <c r="S25" s="11" t="n">
        <v>0</v>
      </c>
      <c r="T25" s="11" t="n">
        <f aca="false">SUM(N25:S25)</f>
        <v>156.853</v>
      </c>
      <c r="U25" s="11" t="n">
        <v>65.8</v>
      </c>
      <c r="V25" s="11" t="n">
        <v>301.35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f aca="false">SUM(U25:Z25)</f>
        <v>367.15</v>
      </c>
      <c r="AB25" s="11" t="n">
        <v>38.04</v>
      </c>
      <c r="AC25" s="11" t="n">
        <v>90.904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f aca="false">SUM(AB25:AG25)</f>
        <v>128.944</v>
      </c>
      <c r="AI25" s="12" t="s">
        <v>71</v>
      </c>
    </row>
    <row r="26" customFormat="false" ht="15" hidden="false" customHeight="false" outlineLevel="0" collapsed="false">
      <c r="A26" s="8" t="s">
        <v>110</v>
      </c>
      <c r="B26" s="12" t="s">
        <v>111</v>
      </c>
      <c r="C26" s="8" t="s">
        <v>69</v>
      </c>
      <c r="D26" s="12" t="s">
        <v>70</v>
      </c>
      <c r="E26" s="10" t="str">
        <f aca="true">IFERROR(IF(INDEX(INDIRECT("'"&amp;$AI26&amp;"'!$E$2:$E$320"),MATCH($A26,INDIRECT("'"&amp;$AI26&amp;"'!$A$2:$A$320"),0))="","",INDEX(INDIRECT("'"&amp;$AI26&amp;"'!$E$2:$E$320"),MATCH($A26,INDIRECT("'"&amp;$AI26&amp;"'!$A$2:$A$320"),0))),"")</f>
        <v/>
      </c>
      <c r="F26" s="9" t="str">
        <f aca="false">IF($E26="","",IFERROR(INDEX(担当者マスタ!$B$2:$B$101,MATCH($E26,担当者マスタ!$A$2:$A$101,0)),"※マスタ未登録"))</f>
        <v/>
      </c>
      <c r="G26" s="11" t="n">
        <v>61.198</v>
      </c>
      <c r="H26" s="11" t="n">
        <v>41.933</v>
      </c>
      <c r="I26" s="11" t="n">
        <v>36.788</v>
      </c>
      <c r="J26" s="11" t="n">
        <v>11.237</v>
      </c>
      <c r="K26" s="11" t="n">
        <v>12.466</v>
      </c>
      <c r="L26" s="11" t="n">
        <v>16.468</v>
      </c>
      <c r="M26" s="11" t="n">
        <f aca="false">SUM(G26:L26)</f>
        <v>180.09</v>
      </c>
      <c r="N26" s="11" t="n">
        <v>18.778</v>
      </c>
      <c r="O26" s="11" t="n">
        <v>13.409</v>
      </c>
      <c r="P26" s="11" t="n">
        <v>11.611</v>
      </c>
      <c r="Q26" s="11" t="n">
        <v>3.099</v>
      </c>
      <c r="R26" s="11" t="n">
        <v>3.768</v>
      </c>
      <c r="S26" s="11" t="n">
        <v>4.696</v>
      </c>
      <c r="T26" s="11" t="n">
        <f aca="false">SUM(N26:S26)</f>
        <v>55.361</v>
      </c>
      <c r="U26" s="11" t="n">
        <v>45.948</v>
      </c>
      <c r="V26" s="11" t="n">
        <v>44.112</v>
      </c>
      <c r="W26" s="11" t="n">
        <v>27.378</v>
      </c>
      <c r="X26" s="11" t="n">
        <v>17.512</v>
      </c>
      <c r="Y26" s="11" t="n">
        <v>19.022</v>
      </c>
      <c r="Z26" s="11" t="n">
        <v>29.266</v>
      </c>
      <c r="AA26" s="11" t="n">
        <f aca="false">SUM(U26:Z26)</f>
        <v>183.238</v>
      </c>
      <c r="AB26" s="11" t="n">
        <v>12.63</v>
      </c>
      <c r="AC26" s="11" t="n">
        <v>11.067</v>
      </c>
      <c r="AD26" s="11" t="n">
        <v>8.009</v>
      </c>
      <c r="AE26" s="11" t="n">
        <v>5.152</v>
      </c>
      <c r="AF26" s="11" t="n">
        <v>5.57</v>
      </c>
      <c r="AG26" s="11" t="n">
        <v>8.576</v>
      </c>
      <c r="AH26" s="11" t="n">
        <f aca="false">SUM(AB26:AG26)</f>
        <v>51.004</v>
      </c>
      <c r="AI26" s="12" t="s">
        <v>71</v>
      </c>
    </row>
    <row r="27" customFormat="false" ht="15" hidden="false" customHeight="false" outlineLevel="0" collapsed="false">
      <c r="A27" s="8" t="s">
        <v>112</v>
      </c>
      <c r="B27" s="12" t="s">
        <v>113</v>
      </c>
      <c r="C27" s="8" t="s">
        <v>69</v>
      </c>
      <c r="D27" s="12" t="s">
        <v>70</v>
      </c>
      <c r="E27" s="10" t="str">
        <f aca="true">IFERROR(IF(INDEX(INDIRECT("'"&amp;$AI27&amp;"'!$E$2:$E$320"),MATCH($A27,INDIRECT("'"&amp;$AI27&amp;"'!$A$2:$A$320"),0))="","",INDEX(INDIRECT("'"&amp;$AI27&amp;"'!$E$2:$E$320"),MATCH($A27,INDIRECT("'"&amp;$AI27&amp;"'!$A$2:$A$320"),0))),"")</f>
        <v/>
      </c>
      <c r="F27" s="9" t="str">
        <f aca="false">IF($E27="","",IFERROR(INDEX(担当者マスタ!$B$2:$B$101,MATCH($E27,担当者マスタ!$A$2:$A$101,0)),"※マスタ未登録"))</f>
        <v/>
      </c>
      <c r="G27" s="11" t="n">
        <v>0</v>
      </c>
      <c r="H27" s="11" t="n">
        <v>19.87</v>
      </c>
      <c r="I27" s="11" t="n">
        <v>39.515</v>
      </c>
      <c r="J27" s="11" t="n">
        <v>0</v>
      </c>
      <c r="K27" s="11" t="n">
        <v>1.671</v>
      </c>
      <c r="L27" s="11" t="n">
        <v>0</v>
      </c>
      <c r="M27" s="11" t="n">
        <f aca="false">SUM(G27:L27)</f>
        <v>61.056</v>
      </c>
      <c r="N27" s="11" t="n">
        <v>0</v>
      </c>
      <c r="O27" s="11" t="n">
        <v>7.493</v>
      </c>
      <c r="P27" s="11" t="n">
        <v>13.272</v>
      </c>
      <c r="Q27" s="11" t="n">
        <v>0</v>
      </c>
      <c r="R27" s="11" t="n">
        <v>0.39</v>
      </c>
      <c r="S27" s="11" t="n">
        <v>0</v>
      </c>
      <c r="T27" s="11" t="n">
        <f aca="false">SUM(N27:S27)</f>
        <v>21.155</v>
      </c>
      <c r="U27" s="11" t="n">
        <v>11.293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15.6</v>
      </c>
      <c r="AA27" s="11" t="n">
        <f aca="false">SUM(U27:Z27)</f>
        <v>26.893</v>
      </c>
      <c r="AB27" s="11" t="n">
        <v>4.609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5.61</v>
      </c>
      <c r="AH27" s="11" t="n">
        <f aca="false">SUM(AB27:AG27)</f>
        <v>10.219</v>
      </c>
      <c r="AI27" s="12" t="s">
        <v>71</v>
      </c>
    </row>
    <row r="28" customFormat="false" ht="15" hidden="false" customHeight="false" outlineLevel="0" collapsed="false">
      <c r="A28" s="8" t="s">
        <v>114</v>
      </c>
      <c r="B28" s="12" t="s">
        <v>115</v>
      </c>
      <c r="C28" s="8" t="s">
        <v>69</v>
      </c>
      <c r="D28" s="12" t="s">
        <v>70</v>
      </c>
      <c r="E28" s="10" t="str">
        <f aca="true">IFERROR(IF(INDEX(INDIRECT("'"&amp;$AI28&amp;"'!$E$2:$E$320"),MATCH($A28,INDIRECT("'"&amp;$AI28&amp;"'!$A$2:$A$320"),0))="","",INDEX(INDIRECT("'"&amp;$AI28&amp;"'!$E$2:$E$320"),MATCH($A28,INDIRECT("'"&amp;$AI28&amp;"'!$A$2:$A$320"),0))),"")</f>
        <v/>
      </c>
      <c r="F28" s="9" t="str">
        <f aca="false">IF($E28="","",IFERROR(INDEX(担当者マスタ!$B$2:$B$101,MATCH($E28,担当者マスタ!$A$2:$A$101,0)),"※マスタ未登録"))</f>
        <v/>
      </c>
      <c r="G28" s="11" t="n">
        <v>81.652</v>
      </c>
      <c r="H28" s="11" t="n">
        <v>103.142</v>
      </c>
      <c r="I28" s="11" t="n">
        <v>30.82</v>
      </c>
      <c r="J28" s="11" t="n">
        <v>69.002</v>
      </c>
      <c r="K28" s="11" t="n">
        <v>82.885</v>
      </c>
      <c r="L28" s="11" t="n">
        <v>40.212</v>
      </c>
      <c r="M28" s="11" t="n">
        <f aca="false">SUM(G28:L28)</f>
        <v>407.713</v>
      </c>
      <c r="N28" s="11" t="n">
        <v>29.529</v>
      </c>
      <c r="O28" s="11" t="n">
        <v>35.36</v>
      </c>
      <c r="P28" s="11" t="n">
        <v>10.842</v>
      </c>
      <c r="Q28" s="11" t="n">
        <v>24.805</v>
      </c>
      <c r="R28" s="11" t="n">
        <v>29.002</v>
      </c>
      <c r="S28" s="11" t="n">
        <v>14.18</v>
      </c>
      <c r="T28" s="11" t="n">
        <f aca="false">SUM(N28:S28)</f>
        <v>143.718</v>
      </c>
      <c r="U28" s="11" t="n">
        <v>76.857</v>
      </c>
      <c r="V28" s="11" t="n">
        <v>54.502</v>
      </c>
      <c r="W28" s="11" t="n">
        <v>94.697</v>
      </c>
      <c r="X28" s="11" t="n">
        <v>75.08</v>
      </c>
      <c r="Y28" s="11" t="n">
        <v>76.407</v>
      </c>
      <c r="Z28" s="11" t="n">
        <v>89.922</v>
      </c>
      <c r="AA28" s="11" t="n">
        <f aca="false">SUM(U28:Z28)</f>
        <v>467.465</v>
      </c>
      <c r="AB28" s="11" t="n">
        <v>26.82</v>
      </c>
      <c r="AC28" s="11" t="n">
        <v>19.548</v>
      </c>
      <c r="AD28" s="11" t="n">
        <v>32.864</v>
      </c>
      <c r="AE28" s="11" t="n">
        <v>25.952</v>
      </c>
      <c r="AF28" s="11" t="n">
        <v>27.279</v>
      </c>
      <c r="AG28" s="11" t="n">
        <v>31.358</v>
      </c>
      <c r="AH28" s="11" t="n">
        <f aca="false">SUM(AB28:AG28)</f>
        <v>163.821</v>
      </c>
      <c r="AI28" s="12" t="s">
        <v>71</v>
      </c>
    </row>
    <row r="29" customFormat="false" ht="15" hidden="false" customHeight="false" outlineLevel="0" collapsed="false">
      <c r="A29" s="8" t="s">
        <v>116</v>
      </c>
      <c r="B29" s="12" t="s">
        <v>117</v>
      </c>
      <c r="C29" s="8" t="s">
        <v>69</v>
      </c>
      <c r="D29" s="12" t="s">
        <v>70</v>
      </c>
      <c r="E29" s="10" t="str">
        <f aca="true">IFERROR(IF(INDEX(INDIRECT("'"&amp;$AI29&amp;"'!$E$2:$E$320"),MATCH($A29,INDIRECT("'"&amp;$AI29&amp;"'!$A$2:$A$320"),0))="","",INDEX(INDIRECT("'"&amp;$AI29&amp;"'!$E$2:$E$320"),MATCH($A29,INDIRECT("'"&amp;$AI29&amp;"'!$A$2:$A$320"),0))),"")</f>
        <v/>
      </c>
      <c r="F29" s="9" t="str">
        <f aca="false">IF($E29="","",IFERROR(INDEX(担当者マスタ!$B$2:$B$101,MATCH($E29,担当者マスタ!$A$2:$A$101,0)),"※マスタ未登録"))</f>
        <v/>
      </c>
      <c r="G29" s="11" t="n">
        <v>1.93</v>
      </c>
      <c r="H29" s="11" t="n">
        <v>50.802</v>
      </c>
      <c r="I29" s="11" t="n">
        <v>0</v>
      </c>
      <c r="J29" s="11" t="n">
        <v>0</v>
      </c>
      <c r="K29" s="11" t="n">
        <v>5.72</v>
      </c>
      <c r="L29" s="11" t="n">
        <v>0</v>
      </c>
      <c r="M29" s="11" t="n">
        <f aca="false">SUM(G29:L29)</f>
        <v>58.452</v>
      </c>
      <c r="N29" s="11" t="n">
        <v>0.67</v>
      </c>
      <c r="O29" s="11" t="n">
        <v>27.556</v>
      </c>
      <c r="P29" s="11" t="n">
        <v>0</v>
      </c>
      <c r="Q29" s="11" t="n">
        <v>0</v>
      </c>
      <c r="R29" s="11" t="n">
        <v>1.82</v>
      </c>
      <c r="S29" s="11" t="n">
        <v>0</v>
      </c>
      <c r="T29" s="11" t="n">
        <f aca="false">SUM(N29:S29)</f>
        <v>30.046</v>
      </c>
      <c r="U29" s="11" t="n">
        <v>4.03</v>
      </c>
      <c r="V29" s="11" t="n">
        <v>45.277</v>
      </c>
      <c r="W29" s="11" t="n">
        <v>1.98</v>
      </c>
      <c r="X29" s="11" t="n">
        <v>4.27</v>
      </c>
      <c r="Y29" s="11" t="n">
        <v>0</v>
      </c>
      <c r="Z29" s="11" t="n">
        <v>25.922</v>
      </c>
      <c r="AA29" s="11" t="n">
        <f aca="false">SUM(U29:Z29)</f>
        <v>81.479</v>
      </c>
      <c r="AB29" s="11" t="n">
        <v>1.58</v>
      </c>
      <c r="AC29" s="11" t="n">
        <v>24.542</v>
      </c>
      <c r="AD29" s="11" t="n">
        <v>0.63</v>
      </c>
      <c r="AE29" s="11" t="n">
        <v>1.36</v>
      </c>
      <c r="AF29" s="11" t="n">
        <v>0</v>
      </c>
      <c r="AG29" s="11" t="n">
        <v>12.746</v>
      </c>
      <c r="AH29" s="11" t="n">
        <f aca="false">SUM(AB29:AG29)</f>
        <v>40.858</v>
      </c>
      <c r="AI29" s="12" t="s">
        <v>71</v>
      </c>
    </row>
    <row r="30" customFormat="false" ht="15" hidden="false" customHeight="false" outlineLevel="0" collapsed="false">
      <c r="A30" s="8" t="s">
        <v>118</v>
      </c>
      <c r="B30" s="12" t="s">
        <v>119</v>
      </c>
      <c r="C30" s="8" t="s">
        <v>69</v>
      </c>
      <c r="D30" s="12" t="s">
        <v>70</v>
      </c>
      <c r="E30" s="10" t="str">
        <f aca="true">IFERROR(IF(INDEX(INDIRECT("'"&amp;$AI30&amp;"'!$E$2:$E$320"),MATCH($A30,INDIRECT("'"&amp;$AI30&amp;"'!$A$2:$A$320"),0))="","",INDEX(INDIRECT("'"&amp;$AI30&amp;"'!$E$2:$E$320"),MATCH($A30,INDIRECT("'"&amp;$AI30&amp;"'!$A$2:$A$320"),0))),"")</f>
        <v/>
      </c>
      <c r="F30" s="9" t="str">
        <f aca="false">IF($E30="","",IFERROR(INDEX(担当者マスタ!$B$2:$B$101,MATCH($E30,担当者マスタ!$A$2:$A$101,0)),"※マスタ未登録"))</f>
        <v/>
      </c>
      <c r="G30" s="11" t="n">
        <v>0</v>
      </c>
      <c r="H30" s="11" t="n">
        <v>4.715</v>
      </c>
      <c r="I30" s="11" t="n">
        <v>3.98</v>
      </c>
      <c r="J30" s="11" t="n">
        <v>1.16</v>
      </c>
      <c r="K30" s="11" t="n">
        <v>0</v>
      </c>
      <c r="L30" s="11" t="n">
        <v>5.517</v>
      </c>
      <c r="M30" s="11" t="n">
        <f aca="false">SUM(G30:L30)</f>
        <v>15.372</v>
      </c>
      <c r="N30" s="11" t="n">
        <v>0</v>
      </c>
      <c r="O30" s="11" t="n">
        <v>2.015</v>
      </c>
      <c r="P30" s="11" t="n">
        <v>1.28</v>
      </c>
      <c r="Q30" s="11" t="n">
        <v>0.35</v>
      </c>
      <c r="R30" s="11" t="n">
        <v>0</v>
      </c>
      <c r="S30" s="11" t="n">
        <v>1.79</v>
      </c>
      <c r="T30" s="11" t="n">
        <f aca="false">SUM(N30:S30)</f>
        <v>5.435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f aca="false">SUM(U30:Z30)</f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f aca="false">SUM(AB30:AG30)</f>
        <v>0</v>
      </c>
      <c r="AI30" s="12" t="s">
        <v>71</v>
      </c>
    </row>
    <row r="31" customFormat="false" ht="15" hidden="false" customHeight="false" outlineLevel="0" collapsed="false">
      <c r="A31" s="8" t="s">
        <v>120</v>
      </c>
      <c r="B31" s="9" t="s">
        <v>121</v>
      </c>
      <c r="C31" s="8" t="s">
        <v>69</v>
      </c>
      <c r="D31" s="12" t="s">
        <v>70</v>
      </c>
      <c r="E31" s="10" t="str">
        <f aca="true">IFERROR(IF(INDEX(INDIRECT("'"&amp;$AI31&amp;"'!$E$2:$E$320"),MATCH($A31,INDIRECT("'"&amp;$AI31&amp;"'!$A$2:$A$320"),0))="","",INDEX(INDIRECT("'"&amp;$AI31&amp;"'!$E$2:$E$320"),MATCH($A31,INDIRECT("'"&amp;$AI31&amp;"'!$A$2:$A$320"),0))),"")</f>
        <v/>
      </c>
      <c r="F31" s="9" t="str">
        <f aca="false">IF($E31="","",IFERROR(INDEX(担当者マスタ!$B$2:$B$101,MATCH($E31,担当者マスタ!$A$2:$A$101,0)),"※マスタ未登録"))</f>
        <v/>
      </c>
      <c r="G31" s="11" t="n">
        <v>51.541</v>
      </c>
      <c r="H31" s="11" t="n">
        <v>19.414</v>
      </c>
      <c r="I31" s="11" t="n">
        <v>275</v>
      </c>
      <c r="J31" s="11" t="n">
        <v>16.897</v>
      </c>
      <c r="K31" s="11" t="n">
        <v>1.15</v>
      </c>
      <c r="L31" s="11" t="n">
        <v>6.2</v>
      </c>
      <c r="M31" s="11" t="n">
        <f aca="false">SUM(G31:L31)</f>
        <v>370.202</v>
      </c>
      <c r="N31" s="11" t="n">
        <v>37.041</v>
      </c>
      <c r="O31" s="11" t="n">
        <v>12.891</v>
      </c>
      <c r="P31" s="11" t="n">
        <v>57.43</v>
      </c>
      <c r="Q31" s="11" t="n">
        <v>6.532</v>
      </c>
      <c r="R31" s="11" t="n">
        <v>1.15</v>
      </c>
      <c r="S31" s="11" t="n">
        <v>2.41</v>
      </c>
      <c r="T31" s="11" t="n">
        <f aca="false">SUM(N31:S31)</f>
        <v>117.454</v>
      </c>
      <c r="U31" s="11" t="n">
        <v>105.935</v>
      </c>
      <c r="V31" s="11" t="n">
        <v>59.463</v>
      </c>
      <c r="W31" s="11" t="n">
        <v>276.375</v>
      </c>
      <c r="X31" s="11" t="n">
        <v>23.947</v>
      </c>
      <c r="Y31" s="11" t="n">
        <v>10.24</v>
      </c>
      <c r="Z31" s="11" t="n">
        <v>95.137</v>
      </c>
      <c r="AA31" s="11" t="n">
        <f aca="false">SUM(U31:Z31)</f>
        <v>571.097</v>
      </c>
      <c r="AB31" s="11" t="n">
        <v>27.86</v>
      </c>
      <c r="AC31" s="11" t="n">
        <v>15.601</v>
      </c>
      <c r="AD31" s="11" t="n">
        <v>69.61</v>
      </c>
      <c r="AE31" s="11" t="n">
        <v>9.964</v>
      </c>
      <c r="AF31" s="11" t="n">
        <v>3.435</v>
      </c>
      <c r="AG31" s="11" t="n">
        <v>17.367</v>
      </c>
      <c r="AH31" s="11" t="n">
        <f aca="false">SUM(AB31:AG31)</f>
        <v>143.837</v>
      </c>
      <c r="AI31" s="12" t="s">
        <v>71</v>
      </c>
    </row>
    <row r="32" customFormat="false" ht="15" hidden="false" customHeight="false" outlineLevel="0" collapsed="false">
      <c r="A32" s="8" t="s">
        <v>122</v>
      </c>
      <c r="B32" s="12" t="s">
        <v>123</v>
      </c>
      <c r="C32" s="8" t="s">
        <v>69</v>
      </c>
      <c r="D32" s="12" t="s">
        <v>70</v>
      </c>
      <c r="E32" s="10" t="str">
        <f aca="true">IFERROR(IF(INDEX(INDIRECT("'"&amp;$AI32&amp;"'!$E$2:$E$320"),MATCH($A32,INDIRECT("'"&amp;$AI32&amp;"'!$A$2:$A$320"),0))="","",INDEX(INDIRECT("'"&amp;$AI32&amp;"'!$E$2:$E$320"),MATCH($A32,INDIRECT("'"&amp;$AI32&amp;"'!$A$2:$A$320"),0))),"")</f>
        <v/>
      </c>
      <c r="F32" s="9" t="str">
        <f aca="false">IF($E32="","",IFERROR(INDEX(担当者マスタ!$B$2:$B$101,MATCH($E32,担当者マスタ!$A$2:$A$101,0)),"※マスタ未登録"))</f>
        <v/>
      </c>
      <c r="G32" s="11" t="n">
        <v>209.108</v>
      </c>
      <c r="H32" s="11" t="n">
        <v>1825.732</v>
      </c>
      <c r="I32" s="11" t="n">
        <v>1054.732</v>
      </c>
      <c r="J32" s="11" t="n">
        <v>80.911</v>
      </c>
      <c r="K32" s="11" t="n">
        <v>0</v>
      </c>
      <c r="L32" s="11" t="n">
        <v>10.589</v>
      </c>
      <c r="M32" s="11" t="n">
        <f aca="false">SUM(G32:L32)</f>
        <v>3181.072</v>
      </c>
      <c r="N32" s="11" t="n">
        <v>63.022</v>
      </c>
      <c r="O32" s="11" t="n">
        <v>530.836</v>
      </c>
      <c r="P32" s="11" t="n">
        <v>355.696</v>
      </c>
      <c r="Q32" s="11" t="n">
        <v>34.94</v>
      </c>
      <c r="R32" s="11" t="n">
        <v>0</v>
      </c>
      <c r="S32" s="11" t="n">
        <v>3.555</v>
      </c>
      <c r="T32" s="11" t="n">
        <f aca="false">SUM(N32:S32)</f>
        <v>988.049</v>
      </c>
      <c r="U32" s="11" t="n">
        <v>477.003</v>
      </c>
      <c r="V32" s="11" t="n">
        <v>2585.131</v>
      </c>
      <c r="W32" s="11" t="n">
        <v>1389.822</v>
      </c>
      <c r="X32" s="11" t="n">
        <v>448.403</v>
      </c>
      <c r="Y32" s="11" t="n">
        <v>181.456</v>
      </c>
      <c r="Z32" s="11" t="n">
        <v>377.47</v>
      </c>
      <c r="AA32" s="11" t="n">
        <f aca="false">SUM(U32:Z32)</f>
        <v>5459.285</v>
      </c>
      <c r="AB32" s="11" t="n">
        <v>143.983</v>
      </c>
      <c r="AC32" s="11" t="n">
        <v>833.4654</v>
      </c>
      <c r="AD32" s="11" t="n">
        <v>450.231</v>
      </c>
      <c r="AE32" s="11" t="n">
        <v>121.664</v>
      </c>
      <c r="AF32" s="11" t="n">
        <v>54.475</v>
      </c>
      <c r="AG32" s="11" t="n">
        <v>130.96</v>
      </c>
      <c r="AH32" s="11" t="n">
        <f aca="false">SUM(AB32:AG32)</f>
        <v>1734.7784</v>
      </c>
      <c r="AI32" s="12" t="s">
        <v>71</v>
      </c>
    </row>
    <row r="33" customFormat="false" ht="15" hidden="false" customHeight="false" outlineLevel="0" collapsed="false">
      <c r="A33" s="8" t="s">
        <v>124</v>
      </c>
      <c r="B33" s="9" t="s">
        <v>125</v>
      </c>
      <c r="C33" s="8" t="s">
        <v>69</v>
      </c>
      <c r="D33" s="12" t="s">
        <v>70</v>
      </c>
      <c r="E33" s="10" t="str">
        <f aca="true">IFERROR(IF(INDEX(INDIRECT("'"&amp;$AI33&amp;"'!$E$2:$E$320"),MATCH($A33,INDIRECT("'"&amp;$AI33&amp;"'!$A$2:$A$320"),0))="","",INDEX(INDIRECT("'"&amp;$AI33&amp;"'!$E$2:$E$320"),MATCH($A33,INDIRECT("'"&amp;$AI33&amp;"'!$A$2:$A$320"),0))),"")</f>
        <v/>
      </c>
      <c r="F33" s="9" t="str">
        <f aca="false">IF($E33="","",IFERROR(INDEX(担当者マスタ!$B$2:$B$101,MATCH($E33,担当者マスタ!$A$2:$A$101,0)),"※マスタ未登録"))</f>
        <v/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39.18</v>
      </c>
      <c r="M33" s="11" t="n">
        <f aca="false">SUM(G33:L33)</f>
        <v>39.18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10.68</v>
      </c>
      <c r="T33" s="11" t="n">
        <f aca="false">SUM(N33:S33)</f>
        <v>10.68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42.36</v>
      </c>
      <c r="AA33" s="11" t="n">
        <f aca="false">SUM(U33:Z33)</f>
        <v>42.36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12.675</v>
      </c>
      <c r="AH33" s="11" t="n">
        <f aca="false">SUM(AB33:AG33)</f>
        <v>12.675</v>
      </c>
      <c r="AI33" s="12" t="s">
        <v>71</v>
      </c>
    </row>
    <row r="34" customFormat="false" ht="15" hidden="false" customHeight="false" outlineLevel="0" collapsed="false">
      <c r="A34" s="8" t="s">
        <v>126</v>
      </c>
      <c r="B34" s="12" t="s">
        <v>127</v>
      </c>
      <c r="C34" s="8" t="s">
        <v>69</v>
      </c>
      <c r="D34" s="12" t="s">
        <v>70</v>
      </c>
      <c r="E34" s="10" t="str">
        <f aca="true">IFERROR(IF(INDEX(INDIRECT("'"&amp;$AI34&amp;"'!$E$2:$E$320"),MATCH($A34,INDIRECT("'"&amp;$AI34&amp;"'!$A$2:$A$320"),0))="","",INDEX(INDIRECT("'"&amp;$AI34&amp;"'!$E$2:$E$320"),MATCH($A34,INDIRECT("'"&amp;$AI34&amp;"'!$A$2:$A$320"),0))),"")</f>
        <v/>
      </c>
      <c r="F34" s="9" t="str">
        <f aca="false">IF($E34="","",IFERROR(INDEX(担当者マスタ!$B$2:$B$101,MATCH($E34,担当者マスタ!$A$2:$A$101,0)),"※マスタ未登録"))</f>
        <v/>
      </c>
      <c r="G34" s="11" t="n">
        <v>39.002</v>
      </c>
      <c r="H34" s="11" t="n">
        <v>63.96</v>
      </c>
      <c r="I34" s="11" t="n">
        <v>0</v>
      </c>
      <c r="J34" s="11" t="n">
        <v>12.06</v>
      </c>
      <c r="K34" s="11" t="n">
        <v>1.8</v>
      </c>
      <c r="L34" s="11" t="n">
        <v>0</v>
      </c>
      <c r="M34" s="11" t="n">
        <f aca="false">SUM(G34:L34)</f>
        <v>116.822</v>
      </c>
      <c r="N34" s="11" t="n">
        <v>13.482</v>
      </c>
      <c r="O34" s="11" t="n">
        <v>23.28</v>
      </c>
      <c r="P34" s="11" t="n">
        <v>0</v>
      </c>
      <c r="Q34" s="11" t="n">
        <v>3.48</v>
      </c>
      <c r="R34" s="11" t="n">
        <v>0.48</v>
      </c>
      <c r="S34" s="11" t="n">
        <v>0</v>
      </c>
      <c r="T34" s="11" t="n">
        <f aca="false">SUM(N34:S34)</f>
        <v>40.722</v>
      </c>
      <c r="U34" s="11" t="n">
        <v>26.86</v>
      </c>
      <c r="V34" s="11" t="n">
        <v>58.4</v>
      </c>
      <c r="W34" s="11" t="n">
        <v>24.12</v>
      </c>
      <c r="X34" s="11" t="n">
        <v>3.34</v>
      </c>
      <c r="Y34" s="11" t="n">
        <v>0</v>
      </c>
      <c r="Z34" s="11" t="n">
        <v>1.8</v>
      </c>
      <c r="AA34" s="11" t="n">
        <f aca="false">SUM(U34:Z34)</f>
        <v>114.52</v>
      </c>
      <c r="AB34" s="11" t="n">
        <v>7.28</v>
      </c>
      <c r="AC34" s="11" t="n">
        <v>15.58</v>
      </c>
      <c r="AD34" s="11" t="n">
        <v>6.96</v>
      </c>
      <c r="AE34" s="11" t="n">
        <v>1.386</v>
      </c>
      <c r="AF34" s="11" t="n">
        <v>0</v>
      </c>
      <c r="AG34" s="11" t="n">
        <v>0.48</v>
      </c>
      <c r="AH34" s="11" t="n">
        <f aca="false">SUM(AB34:AG34)</f>
        <v>31.686</v>
      </c>
      <c r="AI34" s="12" t="s">
        <v>71</v>
      </c>
    </row>
    <row r="35" customFormat="false" ht="15" hidden="false" customHeight="false" outlineLevel="0" collapsed="false">
      <c r="A35" s="8" t="s">
        <v>128</v>
      </c>
      <c r="B35" s="12" t="s">
        <v>129</v>
      </c>
      <c r="C35" s="8" t="s">
        <v>69</v>
      </c>
      <c r="D35" s="12" t="s">
        <v>70</v>
      </c>
      <c r="E35" s="10" t="str">
        <f aca="true">IFERROR(IF(INDEX(INDIRECT("'"&amp;$AI35&amp;"'!$E$2:$E$320"),MATCH($A35,INDIRECT("'"&amp;$AI35&amp;"'!$A$2:$A$320"),0))="","",INDEX(INDIRECT("'"&amp;$AI35&amp;"'!$E$2:$E$320"),MATCH($A35,INDIRECT("'"&amp;$AI35&amp;"'!$A$2:$A$320"),0))),"")</f>
        <v/>
      </c>
      <c r="F35" s="9" t="str">
        <f aca="false">IF($E35="","",IFERROR(INDEX(担当者マスタ!$B$2:$B$101,MATCH($E35,担当者マスタ!$A$2:$A$101,0)),"※マスタ未登録"))</f>
        <v/>
      </c>
      <c r="G35" s="11" t="n">
        <v>0</v>
      </c>
      <c r="H35" s="11" t="n">
        <v>36.6</v>
      </c>
      <c r="I35" s="11" t="n">
        <v>0</v>
      </c>
      <c r="J35" s="11" t="n">
        <v>0</v>
      </c>
      <c r="K35" s="11" t="n">
        <v>36.6</v>
      </c>
      <c r="L35" s="11" t="n">
        <v>36.6</v>
      </c>
      <c r="M35" s="11" t="n">
        <f aca="false">SUM(G35:L35)</f>
        <v>109.8</v>
      </c>
      <c r="N35" s="11" t="n">
        <v>0</v>
      </c>
      <c r="O35" s="11" t="n">
        <v>2.7</v>
      </c>
      <c r="P35" s="11" t="n">
        <v>0</v>
      </c>
      <c r="Q35" s="11" t="n">
        <v>0</v>
      </c>
      <c r="R35" s="11" t="n">
        <v>2.7</v>
      </c>
      <c r="S35" s="11" t="n">
        <v>2.7</v>
      </c>
      <c r="T35" s="11" t="n">
        <f aca="false">SUM(N35:S35)</f>
        <v>8.1</v>
      </c>
      <c r="U35" s="11" t="n">
        <v>0</v>
      </c>
      <c r="V35" s="11" t="n">
        <v>48.84</v>
      </c>
      <c r="W35" s="11" t="n">
        <v>0</v>
      </c>
      <c r="X35" s="11" t="n">
        <v>0</v>
      </c>
      <c r="Y35" s="11" t="n">
        <v>48.84</v>
      </c>
      <c r="Z35" s="11" t="n">
        <v>0</v>
      </c>
      <c r="AA35" s="11" t="n">
        <f aca="false">SUM(U35:Z35)</f>
        <v>97.68</v>
      </c>
      <c r="AB35" s="11" t="n">
        <v>0</v>
      </c>
      <c r="AC35" s="11" t="n">
        <v>4.62</v>
      </c>
      <c r="AD35" s="11" t="n">
        <v>0</v>
      </c>
      <c r="AE35" s="11" t="n">
        <v>0</v>
      </c>
      <c r="AF35" s="11" t="n">
        <v>4.62</v>
      </c>
      <c r="AG35" s="11" t="n">
        <v>0</v>
      </c>
      <c r="AH35" s="11" t="n">
        <f aca="false">SUM(AB35:AG35)</f>
        <v>9.24</v>
      </c>
      <c r="AI35" s="12" t="s">
        <v>71</v>
      </c>
    </row>
    <row r="36" customFormat="false" ht="15" hidden="false" customHeight="false" outlineLevel="0" collapsed="false">
      <c r="A36" s="8" t="s">
        <v>130</v>
      </c>
      <c r="B36" s="12" t="s">
        <v>131</v>
      </c>
      <c r="C36" s="8" t="s">
        <v>69</v>
      </c>
      <c r="D36" s="12" t="s">
        <v>70</v>
      </c>
      <c r="E36" s="10" t="str">
        <f aca="true">IFERROR(IF(INDEX(INDIRECT("'"&amp;$AI36&amp;"'!$E$2:$E$320"),MATCH($A36,INDIRECT("'"&amp;$AI36&amp;"'!$A$2:$A$320"),0))="","",INDEX(INDIRECT("'"&amp;$AI36&amp;"'!$E$2:$E$320"),MATCH($A36,INDIRECT("'"&amp;$AI36&amp;"'!$A$2:$A$320"),0))),"")</f>
        <v/>
      </c>
      <c r="F36" s="9" t="str">
        <f aca="false">IF($E36="","",IFERROR(INDEX(担当者マスタ!$B$2:$B$101,MATCH($E36,担当者マスタ!$A$2:$A$101,0)),"※マスタ未登録"))</f>
        <v/>
      </c>
      <c r="G36" s="11" t="n">
        <v>36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f aca="false">SUM(G36:L36)</f>
        <v>36</v>
      </c>
      <c r="N36" s="11" t="n">
        <v>10.1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f aca="false">SUM(N36:S36)</f>
        <v>10.1</v>
      </c>
      <c r="U36" s="11" t="n">
        <v>0</v>
      </c>
      <c r="V36" s="11" t="n">
        <v>0</v>
      </c>
      <c r="W36" s="11" t="n">
        <v>0</v>
      </c>
      <c r="X36" s="11" t="n">
        <v>61</v>
      </c>
      <c r="Y36" s="11" t="n">
        <v>0</v>
      </c>
      <c r="Z36" s="11" t="n">
        <v>0</v>
      </c>
      <c r="AA36" s="11" t="n">
        <f aca="false">SUM(U36:Z36)</f>
        <v>61</v>
      </c>
      <c r="AB36" s="11" t="n">
        <v>0</v>
      </c>
      <c r="AC36" s="11" t="n">
        <v>0</v>
      </c>
      <c r="AD36" s="11" t="n">
        <v>0</v>
      </c>
      <c r="AE36" s="11" t="n">
        <v>13.65</v>
      </c>
      <c r="AF36" s="11" t="n">
        <v>0</v>
      </c>
      <c r="AG36" s="11" t="n">
        <v>0</v>
      </c>
      <c r="AH36" s="11" t="n">
        <f aca="false">SUM(AB36:AG36)</f>
        <v>13.65</v>
      </c>
      <c r="AI36" s="12" t="s">
        <v>71</v>
      </c>
    </row>
    <row r="37" customFormat="false" ht="15" hidden="false" customHeight="false" outlineLevel="0" collapsed="false">
      <c r="A37" s="8" t="s">
        <v>132</v>
      </c>
      <c r="B37" s="12" t="s">
        <v>133</v>
      </c>
      <c r="C37" s="8" t="s">
        <v>69</v>
      </c>
      <c r="D37" s="12" t="s">
        <v>70</v>
      </c>
      <c r="E37" s="10" t="str">
        <f aca="true">IFERROR(IF(INDEX(INDIRECT("'"&amp;$AI37&amp;"'!$E$2:$E$320"),MATCH($A37,INDIRECT("'"&amp;$AI37&amp;"'!$A$2:$A$320"),0))="","",INDEX(INDIRECT("'"&amp;$AI37&amp;"'!$E$2:$E$320"),MATCH($A37,INDIRECT("'"&amp;$AI37&amp;"'!$A$2:$A$320"),0))),"")</f>
        <v/>
      </c>
      <c r="F37" s="9" t="str">
        <f aca="false">IF($E37="","",IFERROR(INDEX(担当者マスタ!$B$2:$B$101,MATCH($E37,担当者マスタ!$A$2:$A$101,0)),"※マスタ未登録"))</f>
        <v/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f aca="false">SUM(G37:L37)</f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f aca="false">SUM(N37:S37)</f>
        <v>0</v>
      </c>
      <c r="U37" s="11" t="n">
        <v>0</v>
      </c>
      <c r="V37" s="11" t="n">
        <v>0</v>
      </c>
      <c r="W37" s="11" t="n">
        <v>38</v>
      </c>
      <c r="X37" s="11" t="n">
        <v>319.3</v>
      </c>
      <c r="Y37" s="11" t="n">
        <v>1.53</v>
      </c>
      <c r="Z37" s="11" t="n">
        <v>0</v>
      </c>
      <c r="AA37" s="11" t="n">
        <f aca="false">SUM(U37:Z37)</f>
        <v>358.83</v>
      </c>
      <c r="AB37" s="11" t="n">
        <v>0</v>
      </c>
      <c r="AC37" s="11" t="n">
        <v>0</v>
      </c>
      <c r="AD37" s="11" t="n">
        <v>5.455</v>
      </c>
      <c r="AE37" s="11" t="n">
        <v>67.85</v>
      </c>
      <c r="AF37" s="11" t="n">
        <v>0.234</v>
      </c>
      <c r="AG37" s="11" t="n">
        <v>0</v>
      </c>
      <c r="AH37" s="11" t="n">
        <f aca="false">SUM(AB37:AG37)</f>
        <v>73.539</v>
      </c>
      <c r="AI37" s="12" t="s">
        <v>71</v>
      </c>
    </row>
    <row r="38" customFormat="false" ht="15" hidden="false" customHeight="false" outlineLevel="0" collapsed="false">
      <c r="A38" s="8" t="s">
        <v>134</v>
      </c>
      <c r="B38" s="12" t="s">
        <v>135</v>
      </c>
      <c r="C38" s="8" t="s">
        <v>69</v>
      </c>
      <c r="D38" s="12" t="s">
        <v>70</v>
      </c>
      <c r="E38" s="10" t="str">
        <f aca="true">IFERROR(IF(INDEX(INDIRECT("'"&amp;$AI38&amp;"'!$E$2:$E$320"),MATCH($A38,INDIRECT("'"&amp;$AI38&amp;"'!$A$2:$A$320"),0))="","",INDEX(INDIRECT("'"&amp;$AI38&amp;"'!$E$2:$E$320"),MATCH($A38,INDIRECT("'"&amp;$AI38&amp;"'!$A$2:$A$320"),0))),"")</f>
        <v/>
      </c>
      <c r="F38" s="9" t="str">
        <f aca="false">IF($E38="","",IFERROR(INDEX(担当者マスタ!$B$2:$B$101,MATCH($E38,担当者マスタ!$A$2:$A$101,0)),"※マスタ未登録"))</f>
        <v/>
      </c>
      <c r="G38" s="11" t="n">
        <v>1.52</v>
      </c>
      <c r="H38" s="11" t="n">
        <v>0</v>
      </c>
      <c r="I38" s="11" t="n">
        <v>31.096</v>
      </c>
      <c r="J38" s="11" t="n">
        <v>0</v>
      </c>
      <c r="K38" s="11" t="n">
        <v>0</v>
      </c>
      <c r="L38" s="11" t="n">
        <v>1.52</v>
      </c>
      <c r="M38" s="11" t="n">
        <f aca="false">SUM(G38:L38)</f>
        <v>34.136</v>
      </c>
      <c r="N38" s="11" t="n">
        <v>0.576</v>
      </c>
      <c r="O38" s="11" t="n">
        <v>0</v>
      </c>
      <c r="P38" s="11" t="n">
        <v>6.448</v>
      </c>
      <c r="Q38" s="11" t="n">
        <v>0</v>
      </c>
      <c r="R38" s="11" t="n">
        <v>0</v>
      </c>
      <c r="S38" s="11" t="n">
        <v>0.576</v>
      </c>
      <c r="T38" s="11" t="n">
        <f aca="false">SUM(N38:S38)</f>
        <v>7.6</v>
      </c>
      <c r="U38" s="11" t="n">
        <v>0</v>
      </c>
      <c r="V38" s="11" t="n">
        <v>0</v>
      </c>
      <c r="W38" s="11" t="n">
        <v>22.86</v>
      </c>
      <c r="X38" s="11" t="n">
        <v>0</v>
      </c>
      <c r="Y38" s="11" t="n">
        <v>0</v>
      </c>
      <c r="Z38" s="11" t="n">
        <v>1.52</v>
      </c>
      <c r="AA38" s="11" t="n">
        <f aca="false">SUM(U38:Z38)</f>
        <v>24.38</v>
      </c>
      <c r="AB38" s="11" t="n">
        <v>0</v>
      </c>
      <c r="AC38" s="11" t="n">
        <v>0</v>
      </c>
      <c r="AD38" s="11" t="n">
        <v>6.12</v>
      </c>
      <c r="AE38" s="11" t="n">
        <v>0</v>
      </c>
      <c r="AF38" s="11" t="n">
        <v>0</v>
      </c>
      <c r="AG38" s="11" t="n">
        <v>0.62</v>
      </c>
      <c r="AH38" s="11" t="n">
        <f aca="false">SUM(AB38:AG38)</f>
        <v>6.74</v>
      </c>
      <c r="AI38" s="12" t="s">
        <v>71</v>
      </c>
    </row>
    <row r="39" customFormat="false" ht="15" hidden="false" customHeight="false" outlineLevel="0" collapsed="false">
      <c r="A39" s="8" t="s">
        <v>136</v>
      </c>
      <c r="B39" s="12" t="s">
        <v>137</v>
      </c>
      <c r="C39" s="8" t="s">
        <v>69</v>
      </c>
      <c r="D39" s="12" t="s">
        <v>70</v>
      </c>
      <c r="E39" s="10" t="str">
        <f aca="true">IFERROR(IF(INDEX(INDIRECT("'"&amp;$AI39&amp;"'!$E$2:$E$320"),MATCH($A39,INDIRECT("'"&amp;$AI39&amp;"'!$A$2:$A$320"),0))="","",INDEX(INDIRECT("'"&amp;$AI39&amp;"'!$E$2:$E$320"),MATCH($A39,INDIRECT("'"&amp;$AI39&amp;"'!$A$2:$A$320"),0))),"")</f>
        <v/>
      </c>
      <c r="F39" s="9" t="str">
        <f aca="false">IF($E39="","",IFERROR(INDEX(担当者マスタ!$B$2:$B$101,MATCH($E39,担当者マスタ!$A$2:$A$101,0)),"※マスタ未登録"))</f>
        <v/>
      </c>
      <c r="G39" s="11" t="n">
        <v>29.52</v>
      </c>
      <c r="H39" s="11" t="n">
        <v>62.08</v>
      </c>
      <c r="I39" s="11" t="n">
        <v>147.9</v>
      </c>
      <c r="J39" s="11" t="n">
        <v>33.52</v>
      </c>
      <c r="K39" s="11" t="n">
        <v>7.8</v>
      </c>
      <c r="L39" s="11" t="n">
        <v>37.32</v>
      </c>
      <c r="M39" s="11" t="n">
        <f aca="false">SUM(G39:L39)</f>
        <v>318.14</v>
      </c>
      <c r="N39" s="11" t="n">
        <v>9.888</v>
      </c>
      <c r="O39" s="11" t="n">
        <v>21.016</v>
      </c>
      <c r="P39" s="11" t="n">
        <v>57.876</v>
      </c>
      <c r="Q39" s="11" t="n">
        <v>11.936</v>
      </c>
      <c r="R39" s="11" t="n">
        <v>2.328</v>
      </c>
      <c r="S39" s="11" t="n">
        <v>12.216</v>
      </c>
      <c r="T39" s="11" t="n">
        <f aca="false">SUM(N39:S39)</f>
        <v>115.26</v>
      </c>
      <c r="U39" s="11" t="n">
        <v>37.32</v>
      </c>
      <c r="V39" s="11" t="n">
        <v>72.22</v>
      </c>
      <c r="W39" s="11" t="n">
        <v>143.68</v>
      </c>
      <c r="X39" s="11" t="n">
        <v>36.99</v>
      </c>
      <c r="Y39" s="11" t="n">
        <v>11.6</v>
      </c>
      <c r="Z39" s="11" t="n">
        <v>25.72</v>
      </c>
      <c r="AA39" s="11" t="n">
        <f aca="false">SUM(U39:Z39)</f>
        <v>327.53</v>
      </c>
      <c r="AB39" s="11" t="n">
        <v>12.136</v>
      </c>
      <c r="AC39" s="11" t="n">
        <v>26.628</v>
      </c>
      <c r="AD39" s="11" t="n">
        <v>54.504</v>
      </c>
      <c r="AE39" s="11" t="n">
        <v>12.836</v>
      </c>
      <c r="AF39" s="11" t="n">
        <v>2.528</v>
      </c>
      <c r="AG39" s="11" t="n">
        <v>9.608</v>
      </c>
      <c r="AH39" s="11" t="n">
        <f aca="false">SUM(AB39:AG39)</f>
        <v>118.24</v>
      </c>
      <c r="AI39" s="12" t="s">
        <v>71</v>
      </c>
    </row>
    <row r="40" customFormat="false" ht="15" hidden="false" customHeight="false" outlineLevel="0" collapsed="false">
      <c r="A40" s="8" t="s">
        <v>138</v>
      </c>
      <c r="B40" s="12" t="s">
        <v>139</v>
      </c>
      <c r="C40" s="8" t="s">
        <v>69</v>
      </c>
      <c r="D40" s="12" t="s">
        <v>70</v>
      </c>
      <c r="E40" s="10" t="str">
        <f aca="true">IFERROR(IF(INDEX(INDIRECT("'"&amp;$AI40&amp;"'!$E$2:$E$320"),MATCH($A40,INDIRECT("'"&amp;$AI40&amp;"'!$A$2:$A$320"),0))="","",INDEX(INDIRECT("'"&amp;$AI40&amp;"'!$E$2:$E$320"),MATCH($A40,INDIRECT("'"&amp;$AI40&amp;"'!$A$2:$A$320"),0))),"")</f>
        <v/>
      </c>
      <c r="F40" s="9" t="str">
        <f aca="false">IF($E40="","",IFERROR(INDEX(担当者マスタ!$B$2:$B$101,MATCH($E40,担当者マスタ!$A$2:$A$101,0)),"※マスタ未登録"))</f>
        <v/>
      </c>
      <c r="G40" s="11" t="n">
        <v>325.665</v>
      </c>
      <c r="H40" s="11" t="n">
        <v>552.33</v>
      </c>
      <c r="I40" s="11" t="n">
        <v>447.7</v>
      </c>
      <c r="J40" s="11" t="n">
        <v>203.604</v>
      </c>
      <c r="K40" s="11" t="n">
        <v>298.769</v>
      </c>
      <c r="L40" s="11" t="n">
        <v>980.425</v>
      </c>
      <c r="M40" s="11" t="n">
        <f aca="false">SUM(G40:L40)</f>
        <v>2808.493</v>
      </c>
      <c r="N40" s="11" t="n">
        <v>75.795</v>
      </c>
      <c r="O40" s="11" t="n">
        <v>132.754</v>
      </c>
      <c r="P40" s="11" t="n">
        <v>116.632</v>
      </c>
      <c r="Q40" s="11" t="n">
        <v>48.401</v>
      </c>
      <c r="R40" s="11" t="n">
        <v>74.083</v>
      </c>
      <c r="S40" s="11" t="n">
        <v>259.8</v>
      </c>
      <c r="T40" s="11" t="n">
        <f aca="false">SUM(N40:S40)</f>
        <v>707.465</v>
      </c>
      <c r="U40" s="11" t="n">
        <v>363.453</v>
      </c>
      <c r="V40" s="11" t="n">
        <v>719.397</v>
      </c>
      <c r="W40" s="11" t="n">
        <v>1789.922</v>
      </c>
      <c r="X40" s="11" t="n">
        <v>699.444</v>
      </c>
      <c r="Y40" s="11" t="n">
        <v>456.273</v>
      </c>
      <c r="Z40" s="11" t="n">
        <v>1207.754</v>
      </c>
      <c r="AA40" s="11" t="n">
        <f aca="false">SUM(U40:Z40)</f>
        <v>5236.243</v>
      </c>
      <c r="AB40" s="11" t="n">
        <v>83.206</v>
      </c>
      <c r="AC40" s="11" t="n">
        <v>142.988</v>
      </c>
      <c r="AD40" s="11" t="n">
        <v>476.776</v>
      </c>
      <c r="AE40" s="11" t="n">
        <v>161.184</v>
      </c>
      <c r="AF40" s="11" t="n">
        <v>91.764</v>
      </c>
      <c r="AG40" s="11" t="n">
        <v>285.128</v>
      </c>
      <c r="AH40" s="11" t="n">
        <f aca="false">SUM(AB40:AG40)</f>
        <v>1241.046</v>
      </c>
      <c r="AI40" s="12" t="s">
        <v>71</v>
      </c>
    </row>
    <row r="41" customFormat="false" ht="15" hidden="false" customHeight="false" outlineLevel="0" collapsed="false">
      <c r="A41" s="8" t="s">
        <v>140</v>
      </c>
      <c r="B41" s="12" t="s">
        <v>141</v>
      </c>
      <c r="C41" s="8" t="s">
        <v>69</v>
      </c>
      <c r="D41" s="12" t="s">
        <v>70</v>
      </c>
      <c r="E41" s="10" t="str">
        <f aca="true">IFERROR(IF(INDEX(INDIRECT("'"&amp;$AI41&amp;"'!$E$2:$E$320"),MATCH($A41,INDIRECT("'"&amp;$AI41&amp;"'!$A$2:$A$320"),0))="","",INDEX(INDIRECT("'"&amp;$AI41&amp;"'!$E$2:$E$320"),MATCH($A41,INDIRECT("'"&amp;$AI41&amp;"'!$A$2:$A$320"),0))),"")</f>
        <v/>
      </c>
      <c r="F41" s="9" t="str">
        <f aca="false">IF($E41="","",IFERROR(INDEX(担当者マスタ!$B$2:$B$101,MATCH($E41,担当者マスタ!$A$2:$A$101,0)),"※マスタ未登録"))</f>
        <v/>
      </c>
      <c r="G41" s="11" t="n">
        <v>93.66</v>
      </c>
      <c r="H41" s="11" t="n">
        <v>128.851</v>
      </c>
      <c r="I41" s="11" t="n">
        <v>71.838</v>
      </c>
      <c r="J41" s="11" t="n">
        <v>116.68</v>
      </c>
      <c r="K41" s="11" t="n">
        <v>0</v>
      </c>
      <c r="L41" s="11" t="n">
        <v>76.62</v>
      </c>
      <c r="M41" s="11" t="n">
        <f aca="false">SUM(G41:L41)</f>
        <v>487.649</v>
      </c>
      <c r="N41" s="11" t="n">
        <v>32.172</v>
      </c>
      <c r="O41" s="11" t="n">
        <v>40.239</v>
      </c>
      <c r="P41" s="11" t="n">
        <v>34.828</v>
      </c>
      <c r="Q41" s="11" t="n">
        <v>58.36</v>
      </c>
      <c r="R41" s="11" t="n">
        <v>0</v>
      </c>
      <c r="S41" s="11" t="n">
        <v>19.35</v>
      </c>
      <c r="T41" s="11" t="n">
        <f aca="false">SUM(N41:S41)</f>
        <v>184.949</v>
      </c>
      <c r="U41" s="11" t="n">
        <v>17.88</v>
      </c>
      <c r="V41" s="11" t="n">
        <v>80.32</v>
      </c>
      <c r="W41" s="11" t="n">
        <v>39.45</v>
      </c>
      <c r="X41" s="11" t="n">
        <v>105.68</v>
      </c>
      <c r="Y41" s="11" t="n">
        <v>51.9</v>
      </c>
      <c r="Z41" s="11" t="n">
        <v>17.88</v>
      </c>
      <c r="AA41" s="11" t="n">
        <f aca="false">SUM(U41:Z41)</f>
        <v>313.11</v>
      </c>
      <c r="AB41" s="11" t="n">
        <v>5.56</v>
      </c>
      <c r="AC41" s="11" t="n">
        <v>28.784</v>
      </c>
      <c r="AD41" s="11" t="n">
        <v>13.736</v>
      </c>
      <c r="AE41" s="11" t="n">
        <v>34.546</v>
      </c>
      <c r="AF41" s="11" t="n">
        <v>10.38</v>
      </c>
      <c r="AG41" s="11" t="n">
        <v>5.56</v>
      </c>
      <c r="AH41" s="11" t="n">
        <f aca="false">SUM(AB41:AG41)</f>
        <v>98.566</v>
      </c>
      <c r="AI41" s="12" t="s">
        <v>71</v>
      </c>
    </row>
    <row r="42" customFormat="false" ht="15" hidden="false" customHeight="false" outlineLevel="0" collapsed="false">
      <c r="A42" s="8" t="s">
        <v>142</v>
      </c>
      <c r="B42" s="12" t="s">
        <v>143</v>
      </c>
      <c r="C42" s="8" t="s">
        <v>69</v>
      </c>
      <c r="D42" s="12" t="s">
        <v>70</v>
      </c>
      <c r="E42" s="10" t="str">
        <f aca="true">IFERROR(IF(INDEX(INDIRECT("'"&amp;$AI42&amp;"'!$E$2:$E$320"),MATCH($A42,INDIRECT("'"&amp;$AI42&amp;"'!$A$2:$A$320"),0))="","",INDEX(INDIRECT("'"&amp;$AI42&amp;"'!$E$2:$E$320"),MATCH($A42,INDIRECT("'"&amp;$AI42&amp;"'!$A$2:$A$320"),0))),"")</f>
        <v/>
      </c>
      <c r="F42" s="9" t="str">
        <f aca="false">IF($E42="","",IFERROR(INDEX(担当者マスタ!$B$2:$B$101,MATCH($E42,担当者マスタ!$A$2:$A$101,0)),"※マスタ未登録"))</f>
        <v/>
      </c>
      <c r="G42" s="11" t="n">
        <v>81.205</v>
      </c>
      <c r="H42" s="11" t="n">
        <v>57.101</v>
      </c>
      <c r="I42" s="11" t="n">
        <v>31.6</v>
      </c>
      <c r="J42" s="11" t="n">
        <v>138.927</v>
      </c>
      <c r="K42" s="11" t="n">
        <v>41.032</v>
      </c>
      <c r="L42" s="11" t="n">
        <v>126.244</v>
      </c>
      <c r="M42" s="11" t="n">
        <f aca="false">SUM(G42:L42)</f>
        <v>476.109</v>
      </c>
      <c r="N42" s="11" t="n">
        <v>29.234</v>
      </c>
      <c r="O42" s="11" t="n">
        <v>21.41</v>
      </c>
      <c r="P42" s="11" t="n">
        <v>12.394</v>
      </c>
      <c r="Q42" s="11" t="n">
        <v>60.59</v>
      </c>
      <c r="R42" s="11" t="n">
        <v>15.196</v>
      </c>
      <c r="S42" s="11" t="n">
        <v>44.74</v>
      </c>
      <c r="T42" s="11" t="n">
        <f aca="false">SUM(N42:S42)</f>
        <v>183.564</v>
      </c>
      <c r="U42" s="11" t="n">
        <v>109.101</v>
      </c>
      <c r="V42" s="11" t="n">
        <v>109.781</v>
      </c>
      <c r="W42" s="11" t="n">
        <v>77.503</v>
      </c>
      <c r="X42" s="11" t="n">
        <v>52.526</v>
      </c>
      <c r="Y42" s="11" t="n">
        <v>47.675</v>
      </c>
      <c r="Z42" s="11" t="n">
        <v>1107.704</v>
      </c>
      <c r="AA42" s="11" t="n">
        <f aca="false">SUM(U42:Z42)</f>
        <v>1504.29</v>
      </c>
      <c r="AB42" s="11" t="n">
        <v>52.972</v>
      </c>
      <c r="AC42" s="11" t="n">
        <v>41.529</v>
      </c>
      <c r="AD42" s="11" t="n">
        <v>28.323</v>
      </c>
      <c r="AE42" s="11" t="n">
        <v>20.01</v>
      </c>
      <c r="AF42" s="11" t="n">
        <v>18.353</v>
      </c>
      <c r="AG42" s="11" t="n">
        <v>226.433</v>
      </c>
      <c r="AH42" s="11" t="n">
        <f aca="false">SUM(AB42:AG42)</f>
        <v>387.62</v>
      </c>
      <c r="AI42" s="12" t="s">
        <v>71</v>
      </c>
    </row>
    <row r="43" customFormat="false" ht="15" hidden="false" customHeight="false" outlineLevel="0" collapsed="false">
      <c r="A43" s="8" t="s">
        <v>144</v>
      </c>
      <c r="B43" s="12" t="s">
        <v>145</v>
      </c>
      <c r="C43" s="8" t="s">
        <v>69</v>
      </c>
      <c r="D43" s="12" t="s">
        <v>70</v>
      </c>
      <c r="E43" s="10" t="str">
        <f aca="true">IFERROR(IF(INDEX(INDIRECT("'"&amp;$AI43&amp;"'!$E$2:$E$320"),MATCH($A43,INDIRECT("'"&amp;$AI43&amp;"'!$A$2:$A$320"),0))="","",INDEX(INDIRECT("'"&amp;$AI43&amp;"'!$E$2:$E$320"),MATCH($A43,INDIRECT("'"&amp;$AI43&amp;"'!$A$2:$A$320"),0))),"")</f>
        <v/>
      </c>
      <c r="F43" s="9" t="str">
        <f aca="false">IF($E43="","",IFERROR(INDEX(担当者マスタ!$B$2:$B$101,MATCH($E43,担当者マスタ!$A$2:$A$101,0)),"※マスタ未登録"))</f>
        <v/>
      </c>
      <c r="G43" s="11" t="n">
        <v>31.42</v>
      </c>
      <c r="H43" s="11" t="n">
        <v>65.056</v>
      </c>
      <c r="I43" s="11" t="n">
        <v>157.853</v>
      </c>
      <c r="J43" s="11" t="n">
        <v>29.684</v>
      </c>
      <c r="K43" s="11" t="n">
        <v>11.517</v>
      </c>
      <c r="L43" s="11" t="n">
        <v>37.232</v>
      </c>
      <c r="M43" s="11" t="n">
        <f aca="false">SUM(G43:L43)</f>
        <v>332.762</v>
      </c>
      <c r="N43" s="11" t="n">
        <v>15.389</v>
      </c>
      <c r="O43" s="11" t="n">
        <v>30.909</v>
      </c>
      <c r="P43" s="11" t="n">
        <v>56.222</v>
      </c>
      <c r="Q43" s="11" t="n">
        <v>15.075</v>
      </c>
      <c r="R43" s="11" t="n">
        <v>5.453</v>
      </c>
      <c r="S43" s="11" t="n">
        <v>17.894</v>
      </c>
      <c r="T43" s="11" t="n">
        <f aca="false">SUM(N43:S43)</f>
        <v>140.942</v>
      </c>
      <c r="U43" s="11" t="n">
        <v>27.199</v>
      </c>
      <c r="V43" s="11" t="n">
        <v>54.519</v>
      </c>
      <c r="W43" s="11" t="n">
        <v>21.783</v>
      </c>
      <c r="X43" s="11" t="n">
        <v>22.964</v>
      </c>
      <c r="Y43" s="11" t="n">
        <v>58.147</v>
      </c>
      <c r="Z43" s="11" t="n">
        <v>13.731</v>
      </c>
      <c r="AA43" s="11" t="n">
        <f aca="false">SUM(U43:Z43)</f>
        <v>198.343</v>
      </c>
      <c r="AB43" s="11" t="n">
        <v>14.597</v>
      </c>
      <c r="AC43" s="11" t="n">
        <v>24.211</v>
      </c>
      <c r="AD43" s="11" t="n">
        <v>9.89</v>
      </c>
      <c r="AE43" s="11" t="n">
        <v>12.615</v>
      </c>
      <c r="AF43" s="11" t="n">
        <v>29.367</v>
      </c>
      <c r="AG43" s="11" t="n">
        <v>5.457</v>
      </c>
      <c r="AH43" s="11" t="n">
        <f aca="false">SUM(AB43:AG43)</f>
        <v>96.137</v>
      </c>
      <c r="AI43" s="12" t="s">
        <v>71</v>
      </c>
    </row>
    <row r="44" customFormat="false" ht="15" hidden="false" customHeight="false" outlineLevel="0" collapsed="false">
      <c r="A44" s="8" t="s">
        <v>146</v>
      </c>
      <c r="B44" s="12" t="s">
        <v>147</v>
      </c>
      <c r="C44" s="8" t="s">
        <v>69</v>
      </c>
      <c r="D44" s="12" t="s">
        <v>70</v>
      </c>
      <c r="E44" s="10" t="str">
        <f aca="true">IFERROR(IF(INDEX(INDIRECT("'"&amp;$AI44&amp;"'!$E$2:$E$320"),MATCH($A44,INDIRECT("'"&amp;$AI44&amp;"'!$A$2:$A$320"),0))="","",INDEX(INDIRECT("'"&amp;$AI44&amp;"'!$E$2:$E$320"),MATCH($A44,INDIRECT("'"&amp;$AI44&amp;"'!$A$2:$A$320"),0))),"")</f>
        <v/>
      </c>
      <c r="F44" s="9" t="str">
        <f aca="false">IF($E44="","",IFERROR(INDEX(担当者マスタ!$B$2:$B$101,MATCH($E44,担当者マスタ!$A$2:$A$101,0)),"※マスタ未登録"))</f>
        <v/>
      </c>
      <c r="G44" s="11" t="n">
        <v>198.7</v>
      </c>
      <c r="H44" s="11" t="n">
        <v>39.8</v>
      </c>
      <c r="I44" s="11" t="n">
        <v>46.89</v>
      </c>
      <c r="J44" s="11" t="n">
        <v>55.14</v>
      </c>
      <c r="K44" s="11" t="n">
        <v>0</v>
      </c>
      <c r="L44" s="11" t="n">
        <v>44.975</v>
      </c>
      <c r="M44" s="11" t="n">
        <f aca="false">SUM(G44:L44)</f>
        <v>385.505</v>
      </c>
      <c r="N44" s="11" t="n">
        <v>58.05</v>
      </c>
      <c r="O44" s="11" t="n">
        <v>10.36</v>
      </c>
      <c r="P44" s="11" t="n">
        <v>8.94</v>
      </c>
      <c r="Q44" s="11" t="n">
        <v>14.492</v>
      </c>
      <c r="R44" s="11" t="n">
        <v>0</v>
      </c>
      <c r="S44" s="11" t="n">
        <v>11.635</v>
      </c>
      <c r="T44" s="11" t="n">
        <f aca="false">SUM(N44:S44)</f>
        <v>103.477</v>
      </c>
      <c r="U44" s="11" t="n">
        <v>38.975</v>
      </c>
      <c r="V44" s="11" t="n">
        <v>19.9</v>
      </c>
      <c r="W44" s="11" t="n">
        <v>23.11</v>
      </c>
      <c r="X44" s="11" t="n">
        <v>55.9</v>
      </c>
      <c r="Y44" s="11" t="n">
        <v>0</v>
      </c>
      <c r="Z44" s="11" t="n">
        <v>8.2</v>
      </c>
      <c r="AA44" s="11" t="n">
        <f aca="false">SUM(U44:Z44)</f>
        <v>146.085</v>
      </c>
      <c r="AB44" s="11" t="n">
        <v>5.987</v>
      </c>
      <c r="AC44" s="11" t="n">
        <v>5.18</v>
      </c>
      <c r="AD44" s="11" t="n">
        <v>6.09</v>
      </c>
      <c r="AE44" s="11" t="n">
        <v>21.68</v>
      </c>
      <c r="AF44" s="11" t="n">
        <v>0</v>
      </c>
      <c r="AG44" s="11" t="n">
        <v>1.1</v>
      </c>
      <c r="AH44" s="11" t="n">
        <f aca="false">SUM(AB44:AG44)</f>
        <v>40.037</v>
      </c>
      <c r="AI44" s="12" t="s">
        <v>71</v>
      </c>
    </row>
    <row r="45" customFormat="false" ht="15" hidden="false" customHeight="false" outlineLevel="0" collapsed="false">
      <c r="A45" s="8" t="s">
        <v>148</v>
      </c>
      <c r="B45" s="12" t="s">
        <v>149</v>
      </c>
      <c r="C45" s="8" t="s">
        <v>69</v>
      </c>
      <c r="D45" s="12" t="s">
        <v>70</v>
      </c>
      <c r="E45" s="10" t="str">
        <f aca="true">IFERROR(IF(INDEX(INDIRECT("'"&amp;$AI45&amp;"'!$E$2:$E$320"),MATCH($A45,INDIRECT("'"&amp;$AI45&amp;"'!$A$2:$A$320"),0))="","",INDEX(INDIRECT("'"&amp;$AI45&amp;"'!$E$2:$E$320"),MATCH($A45,INDIRECT("'"&amp;$AI45&amp;"'!$A$2:$A$320"),0))),"")</f>
        <v/>
      </c>
      <c r="F45" s="9" t="str">
        <f aca="false">IF($E45="","",IFERROR(INDEX(担当者マスタ!$B$2:$B$101,MATCH($E45,担当者マスタ!$A$2:$A$101,0)),"※マスタ未登録"))</f>
        <v/>
      </c>
      <c r="G45" s="11" t="n">
        <v>1431.854</v>
      </c>
      <c r="H45" s="11" t="n">
        <v>3066.078</v>
      </c>
      <c r="I45" s="11" t="n">
        <v>1969.235</v>
      </c>
      <c r="J45" s="11" t="n">
        <v>1886.457</v>
      </c>
      <c r="K45" s="11" t="n">
        <v>2086.572</v>
      </c>
      <c r="L45" s="11" t="n">
        <v>1947.429</v>
      </c>
      <c r="M45" s="11" t="n">
        <f aca="false">SUM(G45:L45)</f>
        <v>12387.625</v>
      </c>
      <c r="N45" s="11" t="n">
        <v>313.657</v>
      </c>
      <c r="O45" s="11" t="n">
        <v>776.107</v>
      </c>
      <c r="P45" s="11" t="n">
        <v>469.327</v>
      </c>
      <c r="Q45" s="11" t="n">
        <v>462.238</v>
      </c>
      <c r="R45" s="11" t="n">
        <v>496.788</v>
      </c>
      <c r="S45" s="11" t="n">
        <v>382.482</v>
      </c>
      <c r="T45" s="11" t="n">
        <f aca="false">SUM(N45:S45)</f>
        <v>2900.599</v>
      </c>
      <c r="U45" s="11" t="n">
        <v>2802.998</v>
      </c>
      <c r="V45" s="11" t="n">
        <v>2036.358</v>
      </c>
      <c r="W45" s="11" t="n">
        <v>2509.646</v>
      </c>
      <c r="X45" s="11" t="n">
        <v>2241.829</v>
      </c>
      <c r="Y45" s="11" t="n">
        <v>1841.898</v>
      </c>
      <c r="Z45" s="11" t="n">
        <v>2126.826</v>
      </c>
      <c r="AA45" s="11" t="n">
        <f aca="false">SUM(U45:Z45)</f>
        <v>13559.555</v>
      </c>
      <c r="AB45" s="11" t="n">
        <v>631.608</v>
      </c>
      <c r="AC45" s="11" t="n">
        <v>468.848</v>
      </c>
      <c r="AD45" s="11" t="n">
        <v>576.055</v>
      </c>
      <c r="AE45" s="11" t="n">
        <v>520.029</v>
      </c>
      <c r="AF45" s="11" t="n">
        <v>406.203</v>
      </c>
      <c r="AG45" s="11" t="n">
        <v>479.139</v>
      </c>
      <c r="AH45" s="11" t="n">
        <f aca="false">SUM(AB45:AG45)</f>
        <v>3081.882</v>
      </c>
      <c r="AI45" s="12" t="s">
        <v>71</v>
      </c>
    </row>
    <row r="46" customFormat="false" ht="15" hidden="false" customHeight="false" outlineLevel="0" collapsed="false">
      <c r="A46" s="8" t="s">
        <v>150</v>
      </c>
      <c r="B46" s="12" t="s">
        <v>151</v>
      </c>
      <c r="C46" s="8" t="s">
        <v>69</v>
      </c>
      <c r="D46" s="12" t="s">
        <v>70</v>
      </c>
      <c r="E46" s="10" t="str">
        <f aca="true">IFERROR(IF(INDEX(INDIRECT("'"&amp;$AI46&amp;"'!$E$2:$E$320"),MATCH($A46,INDIRECT("'"&amp;$AI46&amp;"'!$A$2:$A$320"),0))="","",INDEX(INDIRECT("'"&amp;$AI46&amp;"'!$E$2:$E$320"),MATCH($A46,INDIRECT("'"&amp;$AI46&amp;"'!$A$2:$A$320"),0))),"")</f>
        <v/>
      </c>
      <c r="F46" s="9" t="str">
        <f aca="false">IF($E46="","",IFERROR(INDEX(担当者マスタ!$B$2:$B$101,MATCH($E46,担当者マスタ!$A$2:$A$101,0)),"※マスタ未登録"))</f>
        <v/>
      </c>
      <c r="G46" s="11" t="n">
        <v>3.28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f aca="false">SUM(G46:L46)</f>
        <v>3.28</v>
      </c>
      <c r="N46" s="11" t="n">
        <v>1.13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f aca="false">SUM(N46:S46)</f>
        <v>1.13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f aca="false">SUM(U46:Z46)</f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f aca="false">SUM(AB46:AG46)</f>
        <v>0</v>
      </c>
      <c r="AI46" s="12" t="s">
        <v>71</v>
      </c>
    </row>
    <row r="47" customFormat="false" ht="15" hidden="false" customHeight="false" outlineLevel="0" collapsed="false">
      <c r="A47" s="8" t="s">
        <v>152</v>
      </c>
      <c r="B47" s="12" t="s">
        <v>153</v>
      </c>
      <c r="C47" s="8" t="s">
        <v>69</v>
      </c>
      <c r="D47" s="12" t="s">
        <v>70</v>
      </c>
      <c r="E47" s="10" t="str">
        <f aca="true">IFERROR(IF(INDEX(INDIRECT("'"&amp;$AI47&amp;"'!$E$2:$E$320"),MATCH($A47,INDIRECT("'"&amp;$AI47&amp;"'!$A$2:$A$320"),0))="","",INDEX(INDIRECT("'"&amp;$AI47&amp;"'!$E$2:$E$320"),MATCH($A47,INDIRECT("'"&amp;$AI47&amp;"'!$A$2:$A$320"),0))),"")</f>
        <v/>
      </c>
      <c r="F47" s="9" t="str">
        <f aca="false">IF($E47="","",IFERROR(INDEX(担当者マスタ!$B$2:$B$101,MATCH($E47,担当者マスタ!$A$2:$A$101,0)),"※マスタ未登録"))</f>
        <v/>
      </c>
      <c r="G47" s="11" t="n">
        <v>0</v>
      </c>
      <c r="H47" s="11" t="n">
        <v>0</v>
      </c>
      <c r="I47" s="11" t="n">
        <v>34.6</v>
      </c>
      <c r="J47" s="11" t="n">
        <v>2</v>
      </c>
      <c r="K47" s="11" t="n">
        <v>0</v>
      </c>
      <c r="L47" s="11" t="n">
        <v>1.042</v>
      </c>
      <c r="M47" s="11" t="n">
        <f aca="false">SUM(G47:L47)</f>
        <v>37.642</v>
      </c>
      <c r="N47" s="11" t="n">
        <v>0</v>
      </c>
      <c r="O47" s="11" t="n">
        <v>0</v>
      </c>
      <c r="P47" s="11" t="n">
        <v>13</v>
      </c>
      <c r="Q47" s="11" t="n">
        <v>0.9</v>
      </c>
      <c r="R47" s="11" t="n">
        <v>0</v>
      </c>
      <c r="S47" s="11" t="n">
        <v>0.56</v>
      </c>
      <c r="T47" s="11" t="n">
        <f aca="false">SUM(N47:S47)</f>
        <v>14.46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f aca="false">SUM(U47:Z47)</f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f aca="false">SUM(AB47:AG47)</f>
        <v>0</v>
      </c>
      <c r="AI47" s="12" t="s">
        <v>71</v>
      </c>
    </row>
    <row r="48" customFormat="false" ht="15" hidden="false" customHeight="false" outlineLevel="0" collapsed="false">
      <c r="A48" s="8" t="s">
        <v>154</v>
      </c>
      <c r="B48" s="12" t="s">
        <v>155</v>
      </c>
      <c r="C48" s="8" t="s">
        <v>69</v>
      </c>
      <c r="D48" s="12" t="s">
        <v>70</v>
      </c>
      <c r="E48" s="10" t="str">
        <f aca="true">IFERROR(IF(INDEX(INDIRECT("'"&amp;$AI48&amp;"'!$E$2:$E$320"),MATCH($A48,INDIRECT("'"&amp;$AI48&amp;"'!$A$2:$A$320"),0))="","",INDEX(INDIRECT("'"&amp;$AI48&amp;"'!$E$2:$E$320"),MATCH($A48,INDIRECT("'"&amp;$AI48&amp;"'!$A$2:$A$320"),0))),"")</f>
        <v/>
      </c>
      <c r="F48" s="9" t="str">
        <f aca="false">IF($E48="","",IFERROR(INDEX(担当者マスタ!$B$2:$B$101,MATCH($E48,担当者マスタ!$A$2:$A$101,0)),"※マスタ未登録"))</f>
        <v/>
      </c>
      <c r="G48" s="11" t="n">
        <v>2599.985</v>
      </c>
      <c r="H48" s="11" t="n">
        <v>130.44</v>
      </c>
      <c r="I48" s="11" t="n">
        <v>53.224</v>
      </c>
      <c r="J48" s="11" t="n">
        <v>67.005</v>
      </c>
      <c r="K48" s="11" t="n">
        <v>12.04</v>
      </c>
      <c r="L48" s="11" t="n">
        <v>30.412</v>
      </c>
      <c r="M48" s="11" t="n">
        <f aca="false">SUM(G48:L48)</f>
        <v>2893.106</v>
      </c>
      <c r="N48" s="11" t="n">
        <v>360.61</v>
      </c>
      <c r="O48" s="11" t="n">
        <v>85.718</v>
      </c>
      <c r="P48" s="11" t="n">
        <v>12.818</v>
      </c>
      <c r="Q48" s="11" t="n">
        <v>43.06</v>
      </c>
      <c r="R48" s="11" t="n">
        <v>2.24</v>
      </c>
      <c r="S48" s="11" t="n">
        <v>7.592</v>
      </c>
      <c r="T48" s="11" t="n">
        <f aca="false">SUM(N48:S48)</f>
        <v>512.038</v>
      </c>
      <c r="U48" s="11" t="n">
        <v>83.72</v>
      </c>
      <c r="V48" s="11" t="n">
        <v>82.897</v>
      </c>
      <c r="W48" s="11" t="n">
        <v>230.382</v>
      </c>
      <c r="X48" s="11" t="n">
        <v>23.894</v>
      </c>
      <c r="Y48" s="11" t="n">
        <v>103.788</v>
      </c>
      <c r="Z48" s="11" t="n">
        <v>20.605</v>
      </c>
      <c r="AA48" s="11" t="n">
        <f aca="false">SUM(U48:Z48)</f>
        <v>545.286</v>
      </c>
      <c r="AB48" s="11" t="n">
        <v>19.36</v>
      </c>
      <c r="AC48" s="11" t="n">
        <v>20.102</v>
      </c>
      <c r="AD48" s="11" t="n">
        <v>106.142</v>
      </c>
      <c r="AE48" s="11" t="n">
        <v>13.288</v>
      </c>
      <c r="AF48" s="11" t="n">
        <v>51.576</v>
      </c>
      <c r="AG48" s="11" t="n">
        <v>5.24</v>
      </c>
      <c r="AH48" s="11" t="n">
        <f aca="false">SUM(AB48:AG48)</f>
        <v>215.708</v>
      </c>
      <c r="AI48" s="12" t="s">
        <v>71</v>
      </c>
    </row>
    <row r="49" customFormat="false" ht="15" hidden="false" customHeight="false" outlineLevel="0" collapsed="false">
      <c r="A49" s="8" t="s">
        <v>156</v>
      </c>
      <c r="B49" s="12" t="s">
        <v>157</v>
      </c>
      <c r="C49" s="8" t="s">
        <v>69</v>
      </c>
      <c r="D49" s="12" t="s">
        <v>70</v>
      </c>
      <c r="E49" s="10" t="str">
        <f aca="true">IFERROR(IF(INDEX(INDIRECT("'"&amp;$AI49&amp;"'!$E$2:$E$320"),MATCH($A49,INDIRECT("'"&amp;$AI49&amp;"'!$A$2:$A$320"),0))="","",INDEX(INDIRECT("'"&amp;$AI49&amp;"'!$E$2:$E$320"),MATCH($A49,INDIRECT("'"&amp;$AI49&amp;"'!$A$2:$A$320"),0))),"")</f>
        <v/>
      </c>
      <c r="F49" s="9" t="str">
        <f aca="false">IF($E49="","",IFERROR(INDEX(担当者マスタ!$B$2:$B$101,MATCH($E49,担当者マスタ!$A$2:$A$101,0)),"※マスタ未登録"))</f>
        <v/>
      </c>
      <c r="G49" s="11" t="n">
        <v>1191.656</v>
      </c>
      <c r="H49" s="11" t="n">
        <v>1366.181</v>
      </c>
      <c r="I49" s="11" t="n">
        <v>1227.292</v>
      </c>
      <c r="J49" s="11" t="n">
        <v>1227.3</v>
      </c>
      <c r="K49" s="11" t="n">
        <v>728.967</v>
      </c>
      <c r="L49" s="11" t="n">
        <v>843.926</v>
      </c>
      <c r="M49" s="11" t="n">
        <f aca="false">SUM(G49:L49)</f>
        <v>6585.322</v>
      </c>
      <c r="N49" s="11" t="n">
        <v>366.727</v>
      </c>
      <c r="O49" s="11" t="n">
        <v>416.167</v>
      </c>
      <c r="P49" s="11" t="n">
        <v>366.005</v>
      </c>
      <c r="Q49" s="11" t="n">
        <v>387.593</v>
      </c>
      <c r="R49" s="11" t="n">
        <v>230.057</v>
      </c>
      <c r="S49" s="11" t="n">
        <v>256.357</v>
      </c>
      <c r="T49" s="11" t="n">
        <f aca="false">SUM(N49:S49)</f>
        <v>2022.906</v>
      </c>
      <c r="U49" s="11" t="n">
        <v>792.717</v>
      </c>
      <c r="V49" s="11" t="n">
        <v>621.483</v>
      </c>
      <c r="W49" s="11" t="n">
        <v>766.906</v>
      </c>
      <c r="X49" s="11" t="n">
        <v>788.389</v>
      </c>
      <c r="Y49" s="11" t="n">
        <v>581.807</v>
      </c>
      <c r="Z49" s="11" t="n">
        <v>680.841</v>
      </c>
      <c r="AA49" s="11" t="n">
        <f aca="false">SUM(U49:Z49)</f>
        <v>4232.143</v>
      </c>
      <c r="AB49" s="11" t="n">
        <v>250.382</v>
      </c>
      <c r="AC49" s="11" t="n">
        <v>188.033</v>
      </c>
      <c r="AD49" s="11" t="n">
        <v>240.761</v>
      </c>
      <c r="AE49" s="11" t="n">
        <v>235.775</v>
      </c>
      <c r="AF49" s="11" t="n">
        <v>191.081</v>
      </c>
      <c r="AG49" s="11" t="n">
        <v>213.1</v>
      </c>
      <c r="AH49" s="11" t="n">
        <f aca="false">SUM(AB49:AG49)</f>
        <v>1319.132</v>
      </c>
      <c r="AI49" s="12" t="s">
        <v>71</v>
      </c>
    </row>
    <row r="50" customFormat="false" ht="15" hidden="false" customHeight="false" outlineLevel="0" collapsed="false">
      <c r="A50" s="8" t="s">
        <v>158</v>
      </c>
      <c r="B50" s="12" t="s">
        <v>159</v>
      </c>
      <c r="C50" s="8" t="s">
        <v>69</v>
      </c>
      <c r="D50" s="12" t="s">
        <v>70</v>
      </c>
      <c r="E50" s="10" t="str">
        <f aca="true">IFERROR(IF(INDEX(INDIRECT("'"&amp;$AI50&amp;"'!$E$2:$E$320"),MATCH($A50,INDIRECT("'"&amp;$AI50&amp;"'!$A$2:$A$320"),0))="","",INDEX(INDIRECT("'"&amp;$AI50&amp;"'!$E$2:$E$320"),MATCH($A50,INDIRECT("'"&amp;$AI50&amp;"'!$A$2:$A$320"),0))),"")</f>
        <v/>
      </c>
      <c r="F50" s="9" t="str">
        <f aca="false">IF($E50="","",IFERROR(INDEX(担当者マスタ!$B$2:$B$101,MATCH($E50,担当者マスタ!$A$2:$A$101,0)),"※マスタ未登録"))</f>
        <v/>
      </c>
      <c r="G50" s="11" t="n">
        <v>87.666</v>
      </c>
      <c r="H50" s="11" t="n">
        <v>150.505</v>
      </c>
      <c r="I50" s="11" t="n">
        <v>231.186</v>
      </c>
      <c r="J50" s="11" t="n">
        <v>87.522</v>
      </c>
      <c r="K50" s="11" t="n">
        <v>191.37</v>
      </c>
      <c r="L50" s="11" t="n">
        <v>145.228</v>
      </c>
      <c r="M50" s="11" t="n">
        <f aca="false">SUM(G50:L50)</f>
        <v>893.477</v>
      </c>
      <c r="N50" s="11" t="n">
        <v>28.858</v>
      </c>
      <c r="O50" s="11" t="n">
        <v>59.347</v>
      </c>
      <c r="P50" s="11" t="n">
        <v>75.818</v>
      </c>
      <c r="Q50" s="11" t="n">
        <v>31.085</v>
      </c>
      <c r="R50" s="11" t="n">
        <v>58.539</v>
      </c>
      <c r="S50" s="11" t="n">
        <v>54.169</v>
      </c>
      <c r="T50" s="11" t="n">
        <f aca="false">SUM(N50:S50)</f>
        <v>307.816</v>
      </c>
      <c r="U50" s="11" t="n">
        <v>77.927</v>
      </c>
      <c r="V50" s="11" t="n">
        <v>95.15</v>
      </c>
      <c r="W50" s="11" t="n">
        <v>88.816</v>
      </c>
      <c r="X50" s="11" t="n">
        <v>65.322</v>
      </c>
      <c r="Y50" s="11" t="n">
        <v>164.702</v>
      </c>
      <c r="Z50" s="11" t="n">
        <v>79.2</v>
      </c>
      <c r="AA50" s="11" t="n">
        <f aca="false">SUM(U50:Z50)</f>
        <v>571.117</v>
      </c>
      <c r="AB50" s="11" t="n">
        <v>26.288</v>
      </c>
      <c r="AC50" s="11" t="n">
        <v>35.164</v>
      </c>
      <c r="AD50" s="11" t="n">
        <v>29.857</v>
      </c>
      <c r="AE50" s="11" t="n">
        <v>22.661</v>
      </c>
      <c r="AF50" s="11" t="n">
        <v>56.725</v>
      </c>
      <c r="AG50" s="11" t="n">
        <v>27.456</v>
      </c>
      <c r="AH50" s="11" t="n">
        <f aca="false">SUM(AB50:AG50)</f>
        <v>198.151</v>
      </c>
      <c r="AI50" s="12" t="s">
        <v>71</v>
      </c>
    </row>
    <row r="51" customFormat="false" ht="15" hidden="false" customHeight="false" outlineLevel="0" collapsed="false">
      <c r="A51" s="8" t="s">
        <v>160</v>
      </c>
      <c r="B51" s="12" t="s">
        <v>161</v>
      </c>
      <c r="C51" s="8" t="s">
        <v>69</v>
      </c>
      <c r="D51" s="12" t="s">
        <v>70</v>
      </c>
      <c r="E51" s="10" t="str">
        <f aca="true">IFERROR(IF(INDEX(INDIRECT("'"&amp;$AI51&amp;"'!$E$2:$E$320"),MATCH($A51,INDIRECT("'"&amp;$AI51&amp;"'!$A$2:$A$320"),0))="","",INDEX(INDIRECT("'"&amp;$AI51&amp;"'!$E$2:$E$320"),MATCH($A51,INDIRECT("'"&amp;$AI51&amp;"'!$A$2:$A$320"),0))),"")</f>
        <v/>
      </c>
      <c r="F51" s="9" t="str">
        <f aca="false">IF($E51="","",IFERROR(INDEX(担当者マスタ!$B$2:$B$101,MATCH($E51,担当者マスタ!$A$2:$A$101,0)),"※マスタ未登録"))</f>
        <v/>
      </c>
      <c r="G51" s="11" t="n">
        <v>41.604</v>
      </c>
      <c r="H51" s="11" t="n">
        <v>7.6</v>
      </c>
      <c r="I51" s="11" t="n">
        <v>25.31</v>
      </c>
      <c r="J51" s="11" t="n">
        <v>15.15</v>
      </c>
      <c r="K51" s="11" t="n">
        <v>0</v>
      </c>
      <c r="L51" s="11" t="n">
        <v>5.624</v>
      </c>
      <c r="M51" s="11" t="n">
        <f aca="false">SUM(G51:L51)</f>
        <v>95.288</v>
      </c>
      <c r="N51" s="11" t="n">
        <v>14.194</v>
      </c>
      <c r="O51" s="11" t="n">
        <v>2.3</v>
      </c>
      <c r="P51" s="11" t="n">
        <v>10.92</v>
      </c>
      <c r="Q51" s="11" t="n">
        <v>5.15</v>
      </c>
      <c r="R51" s="11" t="n">
        <v>0</v>
      </c>
      <c r="S51" s="11" t="n">
        <v>1.774</v>
      </c>
      <c r="T51" s="11" t="n">
        <f aca="false">SUM(N51:S51)</f>
        <v>34.338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f aca="false">SUM(U51:Z51)</f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f aca="false">SUM(AB51:AG51)</f>
        <v>0</v>
      </c>
      <c r="AI51" s="12" t="s">
        <v>71</v>
      </c>
    </row>
    <row r="52" customFormat="false" ht="15" hidden="false" customHeight="false" outlineLevel="0" collapsed="false">
      <c r="A52" s="8" t="s">
        <v>162</v>
      </c>
      <c r="B52" s="9" t="s">
        <v>163</v>
      </c>
      <c r="C52" s="8" t="s">
        <v>69</v>
      </c>
      <c r="D52" s="12" t="s">
        <v>70</v>
      </c>
      <c r="E52" s="10" t="str">
        <f aca="true">IFERROR(IF(INDEX(INDIRECT("'"&amp;$AI52&amp;"'!$E$2:$E$320"),MATCH($A52,INDIRECT("'"&amp;$AI52&amp;"'!$A$2:$A$320"),0))="","",INDEX(INDIRECT("'"&amp;$AI52&amp;"'!$E$2:$E$320"),MATCH($A52,INDIRECT("'"&amp;$AI52&amp;"'!$A$2:$A$320"),0))),"")</f>
        <v/>
      </c>
      <c r="F52" s="9" t="str">
        <f aca="false">IF($E52="","",IFERROR(INDEX(担当者マスタ!$B$2:$B$101,MATCH($E52,担当者マスタ!$A$2:$A$101,0)),"※マスタ未登録"))</f>
        <v/>
      </c>
      <c r="G52" s="11" t="n">
        <v>1304.335</v>
      </c>
      <c r="H52" s="11" t="n">
        <v>846.11</v>
      </c>
      <c r="I52" s="11" t="n">
        <v>1108.62</v>
      </c>
      <c r="J52" s="11" t="n">
        <v>760.81</v>
      </c>
      <c r="K52" s="11" t="n">
        <v>746.59</v>
      </c>
      <c r="L52" s="11" t="n">
        <v>851.11</v>
      </c>
      <c r="M52" s="11" t="n">
        <f aca="false">SUM(G52:L52)</f>
        <v>5617.575</v>
      </c>
      <c r="N52" s="11" t="n">
        <v>374.698</v>
      </c>
      <c r="O52" s="11" t="n">
        <v>233.334</v>
      </c>
      <c r="P52" s="11" t="n">
        <v>310.895</v>
      </c>
      <c r="Q52" s="11" t="n">
        <v>174.88</v>
      </c>
      <c r="R52" s="11" t="n">
        <v>165.405</v>
      </c>
      <c r="S52" s="11" t="n">
        <v>183.062</v>
      </c>
      <c r="T52" s="11" t="n">
        <f aca="false">SUM(N52:S52)</f>
        <v>1442.274</v>
      </c>
      <c r="U52" s="11" t="n">
        <v>1222.235</v>
      </c>
      <c r="V52" s="11" t="n">
        <v>654.93</v>
      </c>
      <c r="W52" s="11" t="n">
        <v>1192.085</v>
      </c>
      <c r="X52" s="11" t="n">
        <v>583.895</v>
      </c>
      <c r="Y52" s="11" t="n">
        <v>869.19</v>
      </c>
      <c r="Z52" s="11" t="n">
        <v>1020.8</v>
      </c>
      <c r="AA52" s="11" t="n">
        <f aca="false">SUM(U52:Z52)</f>
        <v>5543.135</v>
      </c>
      <c r="AB52" s="11" t="n">
        <v>340.712</v>
      </c>
      <c r="AC52" s="11" t="n">
        <v>193.62</v>
      </c>
      <c r="AD52" s="11" t="n">
        <v>330.595</v>
      </c>
      <c r="AE52" s="11" t="n">
        <v>146.311</v>
      </c>
      <c r="AF52" s="11" t="n">
        <v>214.002</v>
      </c>
      <c r="AG52" s="11" t="n">
        <v>239.4</v>
      </c>
      <c r="AH52" s="11" t="n">
        <f aca="false">SUM(AB52:AG52)</f>
        <v>1464.64</v>
      </c>
      <c r="AI52" s="12" t="s">
        <v>71</v>
      </c>
    </row>
    <row r="53" customFormat="false" ht="15" hidden="false" customHeight="false" outlineLevel="0" collapsed="false">
      <c r="A53" s="8" t="s">
        <v>164</v>
      </c>
      <c r="B53" s="9" t="s">
        <v>165</v>
      </c>
      <c r="C53" s="8" t="s">
        <v>69</v>
      </c>
      <c r="D53" s="12" t="s">
        <v>70</v>
      </c>
      <c r="E53" s="10" t="str">
        <f aca="true">IFERROR(IF(INDEX(INDIRECT("'"&amp;$AI53&amp;"'!$E$2:$E$320"),MATCH($A53,INDIRECT("'"&amp;$AI53&amp;"'!$A$2:$A$320"),0))="","",INDEX(INDIRECT("'"&amp;$AI53&amp;"'!$E$2:$E$320"),MATCH($A53,INDIRECT("'"&amp;$AI53&amp;"'!$A$2:$A$320"),0))),"")</f>
        <v/>
      </c>
      <c r="F53" s="9" t="str">
        <f aca="false">IF($E53="","",IFERROR(INDEX(担当者マスタ!$B$2:$B$101,MATCH($E53,担当者マスタ!$A$2:$A$101,0)),"※マスタ未登録"))</f>
        <v/>
      </c>
      <c r="G53" s="11" t="n">
        <v>62.766</v>
      </c>
      <c r="H53" s="11" t="n">
        <v>170.382</v>
      </c>
      <c r="I53" s="11" t="n">
        <v>231.82</v>
      </c>
      <c r="J53" s="11" t="n">
        <v>12.32</v>
      </c>
      <c r="K53" s="11" t="n">
        <v>134.467</v>
      </c>
      <c r="L53" s="11" t="n">
        <v>62.196</v>
      </c>
      <c r="M53" s="11" t="n">
        <f aca="false">SUM(G53:L53)</f>
        <v>673.951</v>
      </c>
      <c r="N53" s="11" t="n">
        <v>23.351</v>
      </c>
      <c r="O53" s="11" t="n">
        <v>50.294</v>
      </c>
      <c r="P53" s="11" t="n">
        <v>64.375</v>
      </c>
      <c r="Q53" s="11" t="n">
        <v>2.72</v>
      </c>
      <c r="R53" s="11" t="n">
        <v>61.32</v>
      </c>
      <c r="S53" s="11" t="n">
        <v>13.939</v>
      </c>
      <c r="T53" s="11" t="n">
        <f aca="false">SUM(N53:S53)</f>
        <v>215.999</v>
      </c>
      <c r="U53" s="11" t="n">
        <v>188.786</v>
      </c>
      <c r="V53" s="11" t="n">
        <v>155.92</v>
      </c>
      <c r="W53" s="11" t="n">
        <v>124.93</v>
      </c>
      <c r="X53" s="11" t="n">
        <v>189.74</v>
      </c>
      <c r="Y53" s="11" t="n">
        <v>277.496</v>
      </c>
      <c r="Z53" s="11" t="n">
        <v>283.278</v>
      </c>
      <c r="AA53" s="11" t="n">
        <f aca="false">SUM(U53:Z53)</f>
        <v>1220.15</v>
      </c>
      <c r="AB53" s="11" t="n">
        <v>63.971</v>
      </c>
      <c r="AC53" s="11" t="n">
        <v>32.12</v>
      </c>
      <c r="AD53" s="11" t="n">
        <v>41.545</v>
      </c>
      <c r="AE53" s="11" t="n">
        <v>42.758</v>
      </c>
      <c r="AF53" s="11" t="n">
        <v>60.291</v>
      </c>
      <c r="AG53" s="11" t="n">
        <v>66.046</v>
      </c>
      <c r="AH53" s="11" t="n">
        <f aca="false">SUM(AB53:AG53)</f>
        <v>306.731</v>
      </c>
      <c r="AI53" s="12" t="s">
        <v>71</v>
      </c>
    </row>
    <row r="54" customFormat="false" ht="15" hidden="false" customHeight="false" outlineLevel="0" collapsed="false">
      <c r="A54" s="8" t="s">
        <v>166</v>
      </c>
      <c r="B54" s="12" t="s">
        <v>167</v>
      </c>
      <c r="C54" s="8" t="s">
        <v>69</v>
      </c>
      <c r="D54" s="12" t="s">
        <v>70</v>
      </c>
      <c r="E54" s="10" t="str">
        <f aca="true">IFERROR(IF(INDEX(INDIRECT("'"&amp;$AI54&amp;"'!$E$2:$E$320"),MATCH($A54,INDIRECT("'"&amp;$AI54&amp;"'!$A$2:$A$320"),0))="","",INDEX(INDIRECT("'"&amp;$AI54&amp;"'!$E$2:$E$320"),MATCH($A54,INDIRECT("'"&amp;$AI54&amp;"'!$A$2:$A$320"),0))),"")</f>
        <v/>
      </c>
      <c r="F54" s="9" t="str">
        <f aca="false">IF($E54="","",IFERROR(INDEX(担当者マスタ!$B$2:$B$101,MATCH($E54,担当者マスタ!$A$2:$A$101,0)),"※マスタ未登録"))</f>
        <v/>
      </c>
      <c r="G54" s="11" t="n">
        <v>0</v>
      </c>
      <c r="H54" s="11" t="n">
        <v>0</v>
      </c>
      <c r="I54" s="11" t="n">
        <v>8.808</v>
      </c>
      <c r="J54" s="11" t="n">
        <v>0</v>
      </c>
      <c r="K54" s="11" t="n">
        <v>0</v>
      </c>
      <c r="L54" s="11" t="n">
        <v>0</v>
      </c>
      <c r="M54" s="11" t="n">
        <f aca="false">SUM(G54:L54)</f>
        <v>8.808</v>
      </c>
      <c r="N54" s="11" t="n">
        <v>0</v>
      </c>
      <c r="O54" s="11" t="n">
        <v>0</v>
      </c>
      <c r="P54" s="11" t="n">
        <v>3.036</v>
      </c>
      <c r="Q54" s="11" t="n">
        <v>0</v>
      </c>
      <c r="R54" s="11" t="n">
        <v>0</v>
      </c>
      <c r="S54" s="11" t="n">
        <v>0</v>
      </c>
      <c r="T54" s="11" t="n">
        <f aca="false">SUM(N54:S54)</f>
        <v>3.036</v>
      </c>
      <c r="U54" s="11" t="n">
        <v>0</v>
      </c>
      <c r="V54" s="11" t="n">
        <v>14.44</v>
      </c>
      <c r="W54" s="11" t="n">
        <v>0.365</v>
      </c>
      <c r="X54" s="11" t="n">
        <v>0</v>
      </c>
      <c r="Y54" s="11" t="n">
        <v>0</v>
      </c>
      <c r="Z54" s="11" t="n">
        <v>0</v>
      </c>
      <c r="AA54" s="11" t="n">
        <f aca="false">SUM(U54:Z54)</f>
        <v>14.805</v>
      </c>
      <c r="AB54" s="11" t="n">
        <v>0</v>
      </c>
      <c r="AC54" s="11" t="n">
        <v>4.908</v>
      </c>
      <c r="AD54" s="11" t="n">
        <v>0.122</v>
      </c>
      <c r="AE54" s="11" t="n">
        <v>0</v>
      </c>
      <c r="AF54" s="11" t="n">
        <v>0</v>
      </c>
      <c r="AG54" s="11" t="n">
        <v>0</v>
      </c>
      <c r="AH54" s="11" t="n">
        <f aca="false">SUM(AB54:AG54)</f>
        <v>5.03</v>
      </c>
      <c r="AI54" s="12" t="s">
        <v>71</v>
      </c>
    </row>
    <row r="55" customFormat="false" ht="15" hidden="false" customHeight="false" outlineLevel="0" collapsed="false">
      <c r="A55" s="8" t="s">
        <v>168</v>
      </c>
      <c r="B55" s="12" t="s">
        <v>169</v>
      </c>
      <c r="C55" s="8" t="s">
        <v>69</v>
      </c>
      <c r="D55" s="12" t="s">
        <v>70</v>
      </c>
      <c r="E55" s="10" t="str">
        <f aca="true">IFERROR(IF(INDEX(INDIRECT("'"&amp;$AI55&amp;"'!$E$2:$E$320"),MATCH($A55,INDIRECT("'"&amp;$AI55&amp;"'!$A$2:$A$320"),0))="","",INDEX(INDIRECT("'"&amp;$AI55&amp;"'!$E$2:$E$320"),MATCH($A55,INDIRECT("'"&amp;$AI55&amp;"'!$A$2:$A$320"),0))),"")</f>
        <v/>
      </c>
      <c r="F55" s="9" t="str">
        <f aca="false">IF($E55="","",IFERROR(INDEX(担当者マスタ!$B$2:$B$101,MATCH($E55,担当者マスタ!$A$2:$A$101,0)),"※マスタ未登録"))</f>
        <v/>
      </c>
      <c r="G55" s="11" t="n">
        <v>133.037</v>
      </c>
      <c r="H55" s="11" t="n">
        <v>108.653</v>
      </c>
      <c r="I55" s="11" t="n">
        <v>133.621</v>
      </c>
      <c r="J55" s="11" t="n">
        <v>85.489</v>
      </c>
      <c r="K55" s="11" t="n">
        <v>54.935</v>
      </c>
      <c r="L55" s="11" t="n">
        <v>112.343</v>
      </c>
      <c r="M55" s="11" t="n">
        <f aca="false">SUM(G55:L55)</f>
        <v>628.078</v>
      </c>
      <c r="N55" s="11" t="n">
        <v>54.604</v>
      </c>
      <c r="O55" s="11" t="n">
        <v>44.92</v>
      </c>
      <c r="P55" s="11" t="n">
        <v>54.24</v>
      </c>
      <c r="Q55" s="11" t="n">
        <v>36.677</v>
      </c>
      <c r="R55" s="11" t="n">
        <v>21.432</v>
      </c>
      <c r="S55" s="11" t="n">
        <v>46.776</v>
      </c>
      <c r="T55" s="11" t="n">
        <f aca="false">SUM(N55:S55)</f>
        <v>258.649</v>
      </c>
      <c r="U55" s="11" t="n">
        <v>94.245</v>
      </c>
      <c r="V55" s="11" t="n">
        <v>58.813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f aca="false">SUM(U55:Z55)</f>
        <v>153.058</v>
      </c>
      <c r="AB55" s="11" t="n">
        <v>38.821</v>
      </c>
      <c r="AC55" s="11" t="n">
        <v>17.348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f aca="false">SUM(AB55:AG55)</f>
        <v>56.169</v>
      </c>
      <c r="AI55" s="12" t="s">
        <v>71</v>
      </c>
    </row>
    <row r="56" customFormat="false" ht="15" hidden="false" customHeight="false" outlineLevel="0" collapsed="false">
      <c r="A56" s="8" t="s">
        <v>170</v>
      </c>
      <c r="B56" s="12" t="s">
        <v>171</v>
      </c>
      <c r="C56" s="8" t="s">
        <v>69</v>
      </c>
      <c r="D56" s="12" t="s">
        <v>70</v>
      </c>
      <c r="E56" s="10" t="str">
        <f aca="true">IFERROR(IF(INDEX(INDIRECT("'"&amp;$AI56&amp;"'!$E$2:$E$320"),MATCH($A56,INDIRECT("'"&amp;$AI56&amp;"'!$A$2:$A$320"),0))="","",INDEX(INDIRECT("'"&amp;$AI56&amp;"'!$E$2:$E$320"),MATCH($A56,INDIRECT("'"&amp;$AI56&amp;"'!$A$2:$A$320"),0))),"")</f>
        <v/>
      </c>
      <c r="F56" s="9" t="str">
        <f aca="false">IF($E56="","",IFERROR(INDEX(担当者マスタ!$B$2:$B$101,MATCH($E56,担当者マスタ!$A$2:$A$101,0)),"※マスタ未登録"))</f>
        <v/>
      </c>
      <c r="G56" s="11" t="n">
        <v>24.8</v>
      </c>
      <c r="H56" s="11" t="n">
        <v>0</v>
      </c>
      <c r="I56" s="11" t="n">
        <v>0</v>
      </c>
      <c r="J56" s="11" t="n">
        <v>0</v>
      </c>
      <c r="K56" s="11" t="n">
        <v>28.66</v>
      </c>
      <c r="L56" s="11" t="n">
        <v>25.6</v>
      </c>
      <c r="M56" s="11" t="n">
        <f aca="false">SUM(G56:L56)</f>
        <v>79.06</v>
      </c>
      <c r="N56" s="11" t="n">
        <v>12.8</v>
      </c>
      <c r="O56" s="11" t="n">
        <v>0</v>
      </c>
      <c r="P56" s="11" t="n">
        <v>0</v>
      </c>
      <c r="Q56" s="11" t="n">
        <v>0</v>
      </c>
      <c r="R56" s="11" t="n">
        <v>13.06</v>
      </c>
      <c r="S56" s="11" t="n">
        <v>5</v>
      </c>
      <c r="T56" s="11" t="n">
        <f aca="false">SUM(N56:S56)</f>
        <v>30.86</v>
      </c>
      <c r="U56" s="11" t="n">
        <v>0</v>
      </c>
      <c r="V56" s="11" t="n">
        <v>191.2</v>
      </c>
      <c r="W56" s="11" t="n">
        <v>0</v>
      </c>
      <c r="X56" s="11" t="n">
        <v>98</v>
      </c>
      <c r="Y56" s="11" t="n">
        <v>35.66</v>
      </c>
      <c r="Z56" s="11" t="n">
        <v>0</v>
      </c>
      <c r="AA56" s="11" t="n">
        <f aca="false">SUM(U56:Z56)</f>
        <v>324.86</v>
      </c>
      <c r="AB56" s="11" t="n">
        <v>0</v>
      </c>
      <c r="AC56" s="11" t="n">
        <v>66.8</v>
      </c>
      <c r="AD56" s="11" t="n">
        <v>0</v>
      </c>
      <c r="AE56" s="11" t="n">
        <v>24.88</v>
      </c>
      <c r="AF56" s="11" t="n">
        <v>20.06</v>
      </c>
      <c r="AG56" s="11" t="n">
        <v>0</v>
      </c>
      <c r="AH56" s="11" t="n">
        <f aca="false">SUM(AB56:AG56)</f>
        <v>111.74</v>
      </c>
      <c r="AI56" s="12" t="s">
        <v>71</v>
      </c>
    </row>
    <row r="57" customFormat="false" ht="15" hidden="false" customHeight="false" outlineLevel="0" collapsed="false">
      <c r="A57" s="8" t="s">
        <v>172</v>
      </c>
      <c r="B57" s="12" t="s">
        <v>173</v>
      </c>
      <c r="C57" s="8" t="s">
        <v>69</v>
      </c>
      <c r="D57" s="12" t="s">
        <v>70</v>
      </c>
      <c r="E57" s="10" t="str">
        <f aca="true">IFERROR(IF(INDEX(INDIRECT("'"&amp;$AI57&amp;"'!$E$2:$E$320"),MATCH($A57,INDIRECT("'"&amp;$AI57&amp;"'!$A$2:$A$320"),0))="","",INDEX(INDIRECT("'"&amp;$AI57&amp;"'!$E$2:$E$320"),MATCH($A57,INDIRECT("'"&amp;$AI57&amp;"'!$A$2:$A$320"),0))),"")</f>
        <v/>
      </c>
      <c r="F57" s="9" t="str">
        <f aca="false">IF($E57="","",IFERROR(INDEX(担当者マスタ!$B$2:$B$101,MATCH($E57,担当者マスタ!$A$2:$A$101,0)),"※マスタ未登録"))</f>
        <v/>
      </c>
      <c r="G57" s="11" t="n">
        <v>185.442</v>
      </c>
      <c r="H57" s="11" t="n">
        <v>106.736</v>
      </c>
      <c r="I57" s="11" t="n">
        <v>178.76</v>
      </c>
      <c r="J57" s="11" t="n">
        <v>89.002</v>
      </c>
      <c r="K57" s="11" t="n">
        <v>205.184</v>
      </c>
      <c r="L57" s="11" t="n">
        <v>271.086</v>
      </c>
      <c r="M57" s="11" t="n">
        <f aca="false">SUM(G57:L57)</f>
        <v>1036.21</v>
      </c>
      <c r="N57" s="11" t="n">
        <v>64.722</v>
      </c>
      <c r="O57" s="11" t="n">
        <v>35.13</v>
      </c>
      <c r="P57" s="11" t="n">
        <v>61.075</v>
      </c>
      <c r="Q57" s="11" t="n">
        <v>32.641</v>
      </c>
      <c r="R57" s="11" t="n">
        <v>62.307</v>
      </c>
      <c r="S57" s="11" t="n">
        <v>91.171</v>
      </c>
      <c r="T57" s="11" t="n">
        <f aca="false">SUM(N57:S57)</f>
        <v>347.046</v>
      </c>
      <c r="U57" s="11" t="n">
        <v>147.024</v>
      </c>
      <c r="V57" s="11" t="n">
        <v>195.04</v>
      </c>
      <c r="W57" s="11" t="n">
        <v>315.932</v>
      </c>
      <c r="X57" s="11" t="n">
        <v>229.084</v>
      </c>
      <c r="Y57" s="11" t="n">
        <v>141.044</v>
      </c>
      <c r="Z57" s="11" t="n">
        <v>186.131</v>
      </c>
      <c r="AA57" s="11" t="n">
        <f aca="false">SUM(U57:Z57)</f>
        <v>1214.255</v>
      </c>
      <c r="AB57" s="11" t="n">
        <v>56.083</v>
      </c>
      <c r="AC57" s="11" t="n">
        <v>72.064</v>
      </c>
      <c r="AD57" s="11" t="n">
        <v>113.593</v>
      </c>
      <c r="AE57" s="11" t="n">
        <v>62.953</v>
      </c>
      <c r="AF57" s="11" t="n">
        <v>43.455</v>
      </c>
      <c r="AG57" s="11" t="n">
        <v>55.955</v>
      </c>
      <c r="AH57" s="11" t="n">
        <f aca="false">SUM(AB57:AG57)</f>
        <v>404.103</v>
      </c>
      <c r="AI57" s="12" t="s">
        <v>71</v>
      </c>
    </row>
    <row r="58" customFormat="false" ht="15" hidden="false" customHeight="false" outlineLevel="0" collapsed="false">
      <c r="A58" s="8" t="s">
        <v>174</v>
      </c>
      <c r="B58" s="12" t="s">
        <v>175</v>
      </c>
      <c r="C58" s="8" t="s">
        <v>69</v>
      </c>
      <c r="D58" s="12" t="s">
        <v>70</v>
      </c>
      <c r="E58" s="10" t="str">
        <f aca="true">IFERROR(IF(INDEX(INDIRECT("'"&amp;$AI58&amp;"'!$E$2:$E$320"),MATCH($A58,INDIRECT("'"&amp;$AI58&amp;"'!$A$2:$A$320"),0))="","",INDEX(INDIRECT("'"&amp;$AI58&amp;"'!$E$2:$E$320"),MATCH($A58,INDIRECT("'"&amp;$AI58&amp;"'!$A$2:$A$320"),0))),"")</f>
        <v/>
      </c>
      <c r="F58" s="9" t="str">
        <f aca="false">IF($E58="","",IFERROR(INDEX(担当者マスタ!$B$2:$B$101,MATCH($E58,担当者マスタ!$A$2:$A$101,0)),"※マスタ未登録"))</f>
        <v/>
      </c>
      <c r="G58" s="11" t="n">
        <v>164.079</v>
      </c>
      <c r="H58" s="11" t="n">
        <v>157.778</v>
      </c>
      <c r="I58" s="11" t="n">
        <v>255.554</v>
      </c>
      <c r="J58" s="11" t="n">
        <v>60.508</v>
      </c>
      <c r="K58" s="11" t="n">
        <v>183.474</v>
      </c>
      <c r="L58" s="11" t="n">
        <v>230.286</v>
      </c>
      <c r="M58" s="11" t="n">
        <f aca="false">SUM(G58:L58)</f>
        <v>1051.679</v>
      </c>
      <c r="N58" s="11" t="n">
        <v>53.942</v>
      </c>
      <c r="O58" s="11" t="n">
        <v>51.261</v>
      </c>
      <c r="P58" s="11" t="n">
        <v>72.201</v>
      </c>
      <c r="Q58" s="11" t="n">
        <v>20.543</v>
      </c>
      <c r="R58" s="11" t="n">
        <v>48.652</v>
      </c>
      <c r="S58" s="11" t="n">
        <v>67.072</v>
      </c>
      <c r="T58" s="11" t="n">
        <f aca="false">SUM(N58:S58)</f>
        <v>313.671</v>
      </c>
      <c r="U58" s="11" t="n">
        <v>184.098</v>
      </c>
      <c r="V58" s="11" t="n">
        <v>248.384</v>
      </c>
      <c r="W58" s="11" t="n">
        <v>191.042</v>
      </c>
      <c r="X58" s="11" t="n">
        <v>177.06</v>
      </c>
      <c r="Y58" s="11" t="n">
        <v>209.615</v>
      </c>
      <c r="Z58" s="11" t="n">
        <v>167.09</v>
      </c>
      <c r="AA58" s="11" t="n">
        <f aca="false">SUM(U58:Z58)</f>
        <v>1177.289</v>
      </c>
      <c r="AB58" s="11" t="n">
        <v>58.32</v>
      </c>
      <c r="AC58" s="11" t="n">
        <v>65.867</v>
      </c>
      <c r="AD58" s="11" t="n">
        <v>58.868</v>
      </c>
      <c r="AE58" s="11" t="n">
        <v>49.201</v>
      </c>
      <c r="AF58" s="11" t="n">
        <v>70.129</v>
      </c>
      <c r="AG58" s="11" t="n">
        <v>47.792</v>
      </c>
      <c r="AH58" s="11" t="n">
        <f aca="false">SUM(AB58:AG58)</f>
        <v>350.177</v>
      </c>
      <c r="AI58" s="12" t="s">
        <v>71</v>
      </c>
    </row>
    <row r="59" customFormat="false" ht="15" hidden="false" customHeight="false" outlineLevel="0" collapsed="false">
      <c r="A59" s="8" t="s">
        <v>176</v>
      </c>
      <c r="B59" s="12" t="s">
        <v>177</v>
      </c>
      <c r="C59" s="8" t="s">
        <v>69</v>
      </c>
      <c r="D59" s="12" t="s">
        <v>70</v>
      </c>
      <c r="E59" s="10" t="str">
        <f aca="true">IFERROR(IF(INDEX(INDIRECT("'"&amp;$AI59&amp;"'!$E$2:$E$320"),MATCH($A59,INDIRECT("'"&amp;$AI59&amp;"'!$A$2:$A$320"),0))="","",INDEX(INDIRECT("'"&amp;$AI59&amp;"'!$E$2:$E$320"),MATCH($A59,INDIRECT("'"&amp;$AI59&amp;"'!$A$2:$A$320"),0))),"")</f>
        <v/>
      </c>
      <c r="F59" s="9" t="str">
        <f aca="false">IF($E59="","",IFERROR(INDEX(担当者マスタ!$B$2:$B$101,MATCH($E59,担当者マスタ!$A$2:$A$101,0)),"※マスタ未登録"))</f>
        <v/>
      </c>
      <c r="G59" s="11" t="n">
        <v>157.151</v>
      </c>
      <c r="H59" s="11" t="n">
        <v>49.6</v>
      </c>
      <c r="I59" s="11" t="n">
        <v>155.332</v>
      </c>
      <c r="J59" s="11" t="n">
        <v>50.58</v>
      </c>
      <c r="K59" s="11" t="n">
        <v>94.785</v>
      </c>
      <c r="L59" s="11" t="n">
        <v>44.278</v>
      </c>
      <c r="M59" s="11" t="n">
        <f aca="false">SUM(G59:L59)</f>
        <v>551.726</v>
      </c>
      <c r="N59" s="11" t="n">
        <v>67.121</v>
      </c>
      <c r="O59" s="11" t="n">
        <v>20.654</v>
      </c>
      <c r="P59" s="11" t="n">
        <v>62.431</v>
      </c>
      <c r="Q59" s="11" t="n">
        <v>19.24</v>
      </c>
      <c r="R59" s="11" t="n">
        <v>36.851</v>
      </c>
      <c r="S59" s="11" t="n">
        <v>18.497</v>
      </c>
      <c r="T59" s="11" t="n">
        <f aca="false">SUM(N59:S59)</f>
        <v>224.794</v>
      </c>
      <c r="U59" s="11" t="n">
        <v>25.69</v>
      </c>
      <c r="V59" s="11" t="n">
        <v>120.21</v>
      </c>
      <c r="W59" s="11" t="n">
        <v>89.86</v>
      </c>
      <c r="X59" s="11" t="n">
        <v>74.94</v>
      </c>
      <c r="Y59" s="11" t="n">
        <v>21.476</v>
      </c>
      <c r="Z59" s="11" t="n">
        <v>44.292</v>
      </c>
      <c r="AA59" s="11" t="n">
        <f aca="false">SUM(U59:Z59)</f>
        <v>376.468</v>
      </c>
      <c r="AB59" s="11" t="n">
        <v>8.298</v>
      </c>
      <c r="AC59" s="11" t="n">
        <v>48.396</v>
      </c>
      <c r="AD59" s="11" t="n">
        <v>34.3</v>
      </c>
      <c r="AE59" s="11" t="n">
        <v>26.596</v>
      </c>
      <c r="AF59" s="11" t="n">
        <v>8.948</v>
      </c>
      <c r="AG59" s="11" t="n">
        <v>15.575</v>
      </c>
      <c r="AH59" s="11" t="n">
        <f aca="false">SUM(AB59:AG59)</f>
        <v>142.113</v>
      </c>
      <c r="AI59" s="12" t="s">
        <v>71</v>
      </c>
    </row>
    <row r="60" customFormat="false" ht="15" hidden="false" customHeight="false" outlineLevel="0" collapsed="false">
      <c r="A60" s="8" t="s">
        <v>178</v>
      </c>
      <c r="B60" s="12" t="s">
        <v>179</v>
      </c>
      <c r="C60" s="8" t="s">
        <v>69</v>
      </c>
      <c r="D60" s="12" t="s">
        <v>70</v>
      </c>
      <c r="E60" s="10" t="str">
        <f aca="true">IFERROR(IF(INDEX(INDIRECT("'"&amp;$AI60&amp;"'!$E$2:$E$320"),MATCH($A60,INDIRECT("'"&amp;$AI60&amp;"'!$A$2:$A$320"),0))="","",INDEX(INDIRECT("'"&amp;$AI60&amp;"'!$E$2:$E$320"),MATCH($A60,INDIRECT("'"&amp;$AI60&amp;"'!$A$2:$A$320"),0))),"")</f>
        <v/>
      </c>
      <c r="F60" s="9" t="str">
        <f aca="false">IF($E60="","",IFERROR(INDEX(担当者マスタ!$B$2:$B$101,MATCH($E60,担当者マスタ!$A$2:$A$101,0)),"※マスタ未登録"))</f>
        <v/>
      </c>
      <c r="G60" s="11" t="n">
        <v>0</v>
      </c>
      <c r="H60" s="11" t="n">
        <v>0</v>
      </c>
      <c r="I60" s="11" t="n">
        <v>11.88</v>
      </c>
      <c r="J60" s="11" t="n">
        <v>0</v>
      </c>
      <c r="K60" s="11" t="n">
        <v>0</v>
      </c>
      <c r="L60" s="11" t="n">
        <v>0</v>
      </c>
      <c r="M60" s="11" t="n">
        <f aca="false">SUM(G60:L60)</f>
        <v>11.88</v>
      </c>
      <c r="N60" s="11" t="n">
        <v>0</v>
      </c>
      <c r="O60" s="11" t="n">
        <v>0</v>
      </c>
      <c r="P60" s="11" t="n">
        <v>3.57</v>
      </c>
      <c r="Q60" s="11" t="n">
        <v>0</v>
      </c>
      <c r="R60" s="11" t="n">
        <v>0</v>
      </c>
      <c r="S60" s="11" t="n">
        <v>0</v>
      </c>
      <c r="T60" s="11" t="n">
        <f aca="false">SUM(N60:S60)</f>
        <v>3.57</v>
      </c>
      <c r="U60" s="11" t="n">
        <v>0</v>
      </c>
      <c r="V60" s="11" t="n">
        <v>0</v>
      </c>
      <c r="W60" s="11" t="n">
        <v>16.3</v>
      </c>
      <c r="X60" s="11" t="n">
        <v>0</v>
      </c>
      <c r="Y60" s="11" t="n">
        <v>0</v>
      </c>
      <c r="Z60" s="11" t="n">
        <v>0</v>
      </c>
      <c r="AA60" s="11" t="n">
        <f aca="false">SUM(U60:Z60)</f>
        <v>16.3</v>
      </c>
      <c r="AB60" s="11" t="n">
        <v>0</v>
      </c>
      <c r="AC60" s="11" t="n">
        <v>0</v>
      </c>
      <c r="AD60" s="11" t="n">
        <v>5.865</v>
      </c>
      <c r="AE60" s="11" t="n">
        <v>0</v>
      </c>
      <c r="AF60" s="11" t="n">
        <v>0</v>
      </c>
      <c r="AG60" s="11" t="n">
        <v>0</v>
      </c>
      <c r="AH60" s="11" t="n">
        <f aca="false">SUM(AB60:AG60)</f>
        <v>5.865</v>
      </c>
      <c r="AI60" s="12" t="s">
        <v>71</v>
      </c>
    </row>
    <row r="61" customFormat="false" ht="15" hidden="false" customHeight="false" outlineLevel="0" collapsed="false">
      <c r="A61" s="8" t="s">
        <v>180</v>
      </c>
      <c r="B61" s="12" t="s">
        <v>181</v>
      </c>
      <c r="C61" s="8" t="s">
        <v>69</v>
      </c>
      <c r="D61" s="12" t="s">
        <v>70</v>
      </c>
      <c r="E61" s="10" t="str">
        <f aca="true">IFERROR(IF(INDEX(INDIRECT("'"&amp;$AI61&amp;"'!$E$2:$E$320"),MATCH($A61,INDIRECT("'"&amp;$AI61&amp;"'!$A$2:$A$320"),0))="","",INDEX(INDIRECT("'"&amp;$AI61&amp;"'!$E$2:$E$320"),MATCH($A61,INDIRECT("'"&amp;$AI61&amp;"'!$A$2:$A$320"),0))),"")</f>
        <v/>
      </c>
      <c r="F61" s="9" t="str">
        <f aca="false">IF($E61="","",IFERROR(INDEX(担当者マスタ!$B$2:$B$101,MATCH($E61,担当者マスタ!$A$2:$A$101,0)),"※マスタ未登録"))</f>
        <v/>
      </c>
      <c r="G61" s="11" t="n">
        <v>8.584</v>
      </c>
      <c r="H61" s="11" t="n">
        <v>0</v>
      </c>
      <c r="I61" s="11" t="n">
        <v>8.584</v>
      </c>
      <c r="J61" s="11" t="n">
        <v>0</v>
      </c>
      <c r="K61" s="11" t="n">
        <v>0</v>
      </c>
      <c r="L61" s="11" t="n">
        <v>0</v>
      </c>
      <c r="M61" s="11" t="n">
        <f aca="false">SUM(G61:L61)</f>
        <v>17.168</v>
      </c>
      <c r="N61" s="11" t="n">
        <v>5.292</v>
      </c>
      <c r="O61" s="11" t="n">
        <v>0</v>
      </c>
      <c r="P61" s="11" t="n">
        <v>5.292</v>
      </c>
      <c r="Q61" s="11" t="n">
        <v>0</v>
      </c>
      <c r="R61" s="11" t="n">
        <v>0</v>
      </c>
      <c r="S61" s="11" t="n">
        <v>0</v>
      </c>
      <c r="T61" s="11" t="n">
        <f aca="false">SUM(N61:S61)</f>
        <v>10.584</v>
      </c>
      <c r="U61" s="11" t="n">
        <v>0</v>
      </c>
      <c r="V61" s="11" t="n">
        <v>8.584</v>
      </c>
      <c r="W61" s="11" t="n">
        <v>0</v>
      </c>
      <c r="X61" s="11" t="n">
        <v>8.584</v>
      </c>
      <c r="Y61" s="11" t="n">
        <v>3.16</v>
      </c>
      <c r="Z61" s="11" t="n">
        <v>0</v>
      </c>
      <c r="AA61" s="11" t="n">
        <f aca="false">SUM(U61:Z61)</f>
        <v>20.328</v>
      </c>
      <c r="AB61" s="11" t="n">
        <v>0</v>
      </c>
      <c r="AC61" s="11" t="n">
        <v>5.292</v>
      </c>
      <c r="AD61" s="11" t="n">
        <v>0</v>
      </c>
      <c r="AE61" s="11" t="n">
        <v>5.292</v>
      </c>
      <c r="AF61" s="11" t="n">
        <v>1.565</v>
      </c>
      <c r="AG61" s="11" t="n">
        <v>0</v>
      </c>
      <c r="AH61" s="11" t="n">
        <f aca="false">SUM(AB61:AG61)</f>
        <v>12.149</v>
      </c>
      <c r="AI61" s="12" t="s">
        <v>71</v>
      </c>
    </row>
    <row r="62" customFormat="false" ht="15" hidden="false" customHeight="false" outlineLevel="0" collapsed="false">
      <c r="A62" s="8" t="s">
        <v>182</v>
      </c>
      <c r="B62" s="9" t="s">
        <v>183</v>
      </c>
      <c r="C62" s="8" t="s">
        <v>69</v>
      </c>
      <c r="D62" s="12" t="s">
        <v>70</v>
      </c>
      <c r="E62" s="10" t="str">
        <f aca="true">IFERROR(IF(INDEX(INDIRECT("'"&amp;$AI62&amp;"'!$E$2:$E$320"),MATCH($A62,INDIRECT("'"&amp;$AI62&amp;"'!$A$2:$A$320"),0))="","",INDEX(INDIRECT("'"&amp;$AI62&amp;"'!$E$2:$E$320"),MATCH($A62,INDIRECT("'"&amp;$AI62&amp;"'!$A$2:$A$320"),0))),"")</f>
        <v/>
      </c>
      <c r="F62" s="9" t="str">
        <f aca="false">IF($E62="","",IFERROR(INDEX(担当者マスタ!$B$2:$B$101,MATCH($E62,担当者マスタ!$A$2:$A$101,0)),"※マスタ未登録"))</f>
        <v/>
      </c>
      <c r="G62" s="11" t="n">
        <v>0</v>
      </c>
      <c r="H62" s="11" t="n">
        <v>71.28</v>
      </c>
      <c r="I62" s="11" t="n">
        <v>120</v>
      </c>
      <c r="J62" s="11" t="n">
        <v>0</v>
      </c>
      <c r="K62" s="11" t="n">
        <v>75</v>
      </c>
      <c r="L62" s="11" t="n">
        <v>135</v>
      </c>
      <c r="M62" s="11" t="n">
        <f aca="false">SUM(G62:L62)</f>
        <v>401.28</v>
      </c>
      <c r="N62" s="11" t="n">
        <v>0</v>
      </c>
      <c r="O62" s="11" t="n">
        <v>31.622</v>
      </c>
      <c r="P62" s="11" t="n">
        <v>47.9</v>
      </c>
      <c r="Q62" s="11" t="n">
        <v>0</v>
      </c>
      <c r="R62" s="11" t="n">
        <v>33.75</v>
      </c>
      <c r="S62" s="11" t="n">
        <v>59.15</v>
      </c>
      <c r="T62" s="11" t="n">
        <f aca="false">SUM(N62:S62)</f>
        <v>172.422</v>
      </c>
      <c r="U62" s="11" t="n">
        <v>87.4</v>
      </c>
      <c r="V62" s="11" t="n">
        <v>39</v>
      </c>
      <c r="W62" s="11" t="n">
        <v>75</v>
      </c>
      <c r="X62" s="11" t="n">
        <v>0</v>
      </c>
      <c r="Y62" s="11" t="n">
        <v>0</v>
      </c>
      <c r="Z62" s="11" t="n">
        <v>96</v>
      </c>
      <c r="AA62" s="11" t="n">
        <f aca="false">SUM(U62:Z62)</f>
        <v>297.4</v>
      </c>
      <c r="AB62" s="11" t="n">
        <v>39.35</v>
      </c>
      <c r="AC62" s="11" t="n">
        <v>19.4</v>
      </c>
      <c r="AD62" s="11" t="n">
        <v>33.75</v>
      </c>
      <c r="AE62" s="11" t="n">
        <v>0</v>
      </c>
      <c r="AF62" s="11" t="n">
        <v>0</v>
      </c>
      <c r="AG62" s="11" t="n">
        <v>42.75</v>
      </c>
      <c r="AH62" s="11" t="n">
        <f aca="false">SUM(AB62:AG62)</f>
        <v>135.25</v>
      </c>
      <c r="AI62" s="12" t="s">
        <v>71</v>
      </c>
    </row>
    <row r="63" customFormat="false" ht="15" hidden="false" customHeight="false" outlineLevel="0" collapsed="false">
      <c r="A63" s="8" t="s">
        <v>184</v>
      </c>
      <c r="B63" s="12" t="s">
        <v>185</v>
      </c>
      <c r="C63" s="8" t="s">
        <v>69</v>
      </c>
      <c r="D63" s="12" t="s">
        <v>70</v>
      </c>
      <c r="E63" s="10" t="str">
        <f aca="true">IFERROR(IF(INDEX(INDIRECT("'"&amp;$AI63&amp;"'!$E$2:$E$320"),MATCH($A63,INDIRECT("'"&amp;$AI63&amp;"'!$A$2:$A$320"),0))="","",INDEX(INDIRECT("'"&amp;$AI63&amp;"'!$E$2:$E$320"),MATCH($A63,INDIRECT("'"&amp;$AI63&amp;"'!$A$2:$A$320"),0))),"")</f>
        <v/>
      </c>
      <c r="F63" s="9" t="str">
        <f aca="false">IF($E63="","",IFERROR(INDEX(担当者マスタ!$B$2:$B$101,MATCH($E63,担当者マスタ!$A$2:$A$101,0)),"※マスタ未登録"))</f>
        <v/>
      </c>
      <c r="G63" s="11" t="n">
        <v>0</v>
      </c>
      <c r="H63" s="11" t="n">
        <v>0</v>
      </c>
      <c r="I63" s="11" t="n">
        <v>0</v>
      </c>
      <c r="J63" s="11" t="n">
        <v>20.26</v>
      </c>
      <c r="K63" s="11" t="n">
        <v>0</v>
      </c>
      <c r="L63" s="11" t="n">
        <v>0</v>
      </c>
      <c r="M63" s="11" t="n">
        <f aca="false">SUM(G63:L63)</f>
        <v>20.26</v>
      </c>
      <c r="N63" s="11" t="n">
        <v>0</v>
      </c>
      <c r="O63" s="11" t="n">
        <v>0</v>
      </c>
      <c r="P63" s="11" t="n">
        <v>0</v>
      </c>
      <c r="Q63" s="11" t="n">
        <v>6.034</v>
      </c>
      <c r="R63" s="11" t="n">
        <v>0</v>
      </c>
      <c r="S63" s="11" t="n">
        <v>0</v>
      </c>
      <c r="T63" s="11" t="n">
        <f aca="false">SUM(N63:S63)</f>
        <v>6.034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f aca="false">SUM(U63:Z63)</f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f aca="false">SUM(AB63:AG63)</f>
        <v>0</v>
      </c>
      <c r="AI63" s="12" t="s">
        <v>71</v>
      </c>
    </row>
    <row r="64" customFormat="false" ht="15" hidden="false" customHeight="false" outlineLevel="0" collapsed="false">
      <c r="A64" s="8" t="s">
        <v>186</v>
      </c>
      <c r="B64" s="12" t="s">
        <v>187</v>
      </c>
      <c r="C64" s="8" t="s">
        <v>69</v>
      </c>
      <c r="D64" s="12" t="s">
        <v>70</v>
      </c>
      <c r="E64" s="10" t="str">
        <f aca="true">IFERROR(IF(INDEX(INDIRECT("'"&amp;$AI64&amp;"'!$E$2:$E$320"),MATCH($A64,INDIRECT("'"&amp;$AI64&amp;"'!$A$2:$A$320"),0))="","",INDEX(INDIRECT("'"&amp;$AI64&amp;"'!$E$2:$E$320"),MATCH($A64,INDIRECT("'"&amp;$AI64&amp;"'!$A$2:$A$320"),0))),"")</f>
        <v/>
      </c>
      <c r="F64" s="9" t="str">
        <f aca="false">IF($E64="","",IFERROR(INDEX(担当者マスタ!$B$2:$B$101,MATCH($E64,担当者マスタ!$A$2:$A$101,0)),"※マスタ未登録"))</f>
        <v/>
      </c>
      <c r="G64" s="11" t="n">
        <v>2619.106</v>
      </c>
      <c r="H64" s="11" t="n">
        <v>2954.877</v>
      </c>
      <c r="I64" s="11" t="n">
        <v>1842.757</v>
      </c>
      <c r="J64" s="11" t="n">
        <v>2176.712</v>
      </c>
      <c r="K64" s="11" t="n">
        <v>1476.739</v>
      </c>
      <c r="L64" s="11" t="n">
        <v>1478.529</v>
      </c>
      <c r="M64" s="11" t="n">
        <f aca="false">SUM(G64:L64)</f>
        <v>12548.72</v>
      </c>
      <c r="N64" s="11" t="n">
        <v>516.032</v>
      </c>
      <c r="O64" s="11" t="n">
        <v>555.134</v>
      </c>
      <c r="P64" s="11" t="n">
        <v>360.457</v>
      </c>
      <c r="Q64" s="11" t="n">
        <v>360.022</v>
      </c>
      <c r="R64" s="11" t="n">
        <v>275.457</v>
      </c>
      <c r="S64" s="11" t="n">
        <v>295.829</v>
      </c>
      <c r="T64" s="11" t="n">
        <f aca="false">SUM(N64:S64)</f>
        <v>2362.931</v>
      </c>
      <c r="U64" s="11" t="n">
        <v>2784.895</v>
      </c>
      <c r="V64" s="11" t="n">
        <v>2464.182</v>
      </c>
      <c r="W64" s="11" t="n">
        <v>3910.947</v>
      </c>
      <c r="X64" s="11" t="n">
        <v>1712.022</v>
      </c>
      <c r="Y64" s="11" t="n">
        <v>1441.761</v>
      </c>
      <c r="Z64" s="11" t="n">
        <v>733.836</v>
      </c>
      <c r="AA64" s="11" t="n">
        <f aca="false">SUM(U64:Z64)</f>
        <v>13047.643</v>
      </c>
      <c r="AB64" s="11" t="n">
        <v>494.075</v>
      </c>
      <c r="AC64" s="11" t="n">
        <v>478.765</v>
      </c>
      <c r="AD64" s="11" t="n">
        <v>712.09</v>
      </c>
      <c r="AE64" s="11" t="n">
        <v>316.589</v>
      </c>
      <c r="AF64" s="11" t="n">
        <v>277.994</v>
      </c>
      <c r="AG64" s="11" t="n">
        <v>156.539</v>
      </c>
      <c r="AH64" s="11" t="n">
        <f aca="false">SUM(AB64:AG64)</f>
        <v>2436.052</v>
      </c>
      <c r="AI64" s="12" t="s">
        <v>71</v>
      </c>
    </row>
    <row r="65" customFormat="false" ht="15" hidden="false" customHeight="false" outlineLevel="0" collapsed="false">
      <c r="A65" s="8" t="s">
        <v>188</v>
      </c>
      <c r="B65" s="12" t="s">
        <v>189</v>
      </c>
      <c r="C65" s="8" t="s">
        <v>69</v>
      </c>
      <c r="D65" s="12" t="s">
        <v>70</v>
      </c>
      <c r="E65" s="10" t="str">
        <f aca="true">IFERROR(IF(INDEX(INDIRECT("'"&amp;$AI65&amp;"'!$E$2:$E$320"),MATCH($A65,INDIRECT("'"&amp;$AI65&amp;"'!$A$2:$A$320"),0))="","",INDEX(INDIRECT("'"&amp;$AI65&amp;"'!$E$2:$E$320"),MATCH($A65,INDIRECT("'"&amp;$AI65&amp;"'!$A$2:$A$320"),0))),"")</f>
        <v/>
      </c>
      <c r="F65" s="9" t="str">
        <f aca="false">IF($E65="","",IFERROR(INDEX(担当者マスタ!$B$2:$B$101,MATCH($E65,担当者マスタ!$A$2:$A$101,0)),"※マスタ未登録"))</f>
        <v/>
      </c>
      <c r="G65" s="11" t="n">
        <v>104.227</v>
      </c>
      <c r="H65" s="11" t="n">
        <v>83.518</v>
      </c>
      <c r="I65" s="11" t="n">
        <v>57.276</v>
      </c>
      <c r="J65" s="11" t="n">
        <v>159.266</v>
      </c>
      <c r="K65" s="11" t="n">
        <v>-1.326</v>
      </c>
      <c r="L65" s="11" t="n">
        <v>66.234</v>
      </c>
      <c r="M65" s="11" t="n">
        <f aca="false">SUM(G65:L65)</f>
        <v>469.195</v>
      </c>
      <c r="N65" s="11" t="n">
        <v>47.373</v>
      </c>
      <c r="O65" s="11" t="n">
        <v>34.615</v>
      </c>
      <c r="P65" s="11" t="n">
        <v>25.933</v>
      </c>
      <c r="Q65" s="11" t="n">
        <v>60.249</v>
      </c>
      <c r="R65" s="11" t="n">
        <v>-0.535</v>
      </c>
      <c r="S65" s="11" t="n">
        <v>27.64</v>
      </c>
      <c r="T65" s="11" t="n">
        <f aca="false">SUM(N65:S65)</f>
        <v>195.275</v>
      </c>
      <c r="U65" s="11" t="n">
        <v>74.179</v>
      </c>
      <c r="V65" s="11" t="n">
        <v>135.772</v>
      </c>
      <c r="W65" s="11" t="n">
        <v>83.681</v>
      </c>
      <c r="X65" s="11" t="n">
        <v>99.21</v>
      </c>
      <c r="Y65" s="11" t="n">
        <v>135.514</v>
      </c>
      <c r="Z65" s="11" t="n">
        <v>139.612</v>
      </c>
      <c r="AA65" s="11" t="n">
        <f aca="false">SUM(U65:Z65)</f>
        <v>667.968</v>
      </c>
      <c r="AB65" s="11" t="n">
        <v>34.232</v>
      </c>
      <c r="AC65" s="11" t="n">
        <v>53.103</v>
      </c>
      <c r="AD65" s="11" t="n">
        <v>37.929</v>
      </c>
      <c r="AE65" s="11" t="n">
        <v>44.861</v>
      </c>
      <c r="AF65" s="11" t="n">
        <v>58.35</v>
      </c>
      <c r="AG65" s="11" t="n">
        <v>52.185</v>
      </c>
      <c r="AH65" s="11" t="n">
        <f aca="false">SUM(AB65:AG65)</f>
        <v>280.66</v>
      </c>
      <c r="AI65" s="12" t="s">
        <v>71</v>
      </c>
    </row>
    <row r="66" customFormat="false" ht="15" hidden="false" customHeight="false" outlineLevel="0" collapsed="false">
      <c r="A66" s="8" t="s">
        <v>190</v>
      </c>
      <c r="B66" s="12" t="s">
        <v>191</v>
      </c>
      <c r="C66" s="8" t="s">
        <v>69</v>
      </c>
      <c r="D66" s="12" t="s">
        <v>70</v>
      </c>
      <c r="E66" s="10" t="str">
        <f aca="true">IFERROR(IF(INDEX(INDIRECT("'"&amp;$AI66&amp;"'!$E$2:$E$320"),MATCH($A66,INDIRECT("'"&amp;$AI66&amp;"'!$A$2:$A$320"),0))="","",INDEX(INDIRECT("'"&amp;$AI66&amp;"'!$E$2:$E$320"),MATCH($A66,INDIRECT("'"&amp;$AI66&amp;"'!$A$2:$A$320"),0))),"")</f>
        <v/>
      </c>
      <c r="F66" s="9" t="str">
        <f aca="false">IF($E66="","",IFERROR(INDEX(担当者マスタ!$B$2:$B$101,MATCH($E66,担当者マスタ!$A$2:$A$101,0)),"※マスタ未登録"))</f>
        <v/>
      </c>
      <c r="G66" s="11" t="n">
        <v>45.6</v>
      </c>
      <c r="H66" s="11" t="n">
        <v>0</v>
      </c>
      <c r="I66" s="11" t="n">
        <v>0</v>
      </c>
      <c r="J66" s="11" t="n">
        <v>0</v>
      </c>
      <c r="K66" s="11" t="n">
        <v>45.6</v>
      </c>
      <c r="L66" s="11" t="n">
        <v>0</v>
      </c>
      <c r="M66" s="11" t="n">
        <f aca="false">SUM(G66:L66)</f>
        <v>91.2</v>
      </c>
      <c r="N66" s="11" t="n">
        <v>14.2</v>
      </c>
      <c r="O66" s="11" t="n">
        <v>0</v>
      </c>
      <c r="P66" s="11" t="n">
        <v>0</v>
      </c>
      <c r="Q66" s="11" t="n">
        <v>0</v>
      </c>
      <c r="R66" s="11" t="n">
        <v>14.2</v>
      </c>
      <c r="S66" s="11" t="n">
        <v>0</v>
      </c>
      <c r="T66" s="11" t="n">
        <f aca="false">SUM(N66:S66)</f>
        <v>28.4</v>
      </c>
      <c r="U66" s="11" t="n">
        <v>0</v>
      </c>
      <c r="V66" s="11" t="n">
        <v>216.02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f aca="false">SUM(U66:Z66)</f>
        <v>216.02</v>
      </c>
      <c r="AB66" s="11" t="n">
        <v>0</v>
      </c>
      <c r="AC66" s="11" t="n">
        <v>103.594</v>
      </c>
      <c r="AD66" s="11" t="n">
        <v>0</v>
      </c>
      <c r="AE66" s="11" t="n">
        <v>0</v>
      </c>
      <c r="AF66" s="11" t="n">
        <v>0</v>
      </c>
      <c r="AG66" s="11" t="n">
        <v>0</v>
      </c>
      <c r="AH66" s="11" t="n">
        <f aca="false">SUM(AB66:AG66)</f>
        <v>103.594</v>
      </c>
      <c r="AI66" s="12" t="s">
        <v>71</v>
      </c>
    </row>
    <row r="67" customFormat="false" ht="15" hidden="false" customHeight="false" outlineLevel="0" collapsed="false">
      <c r="A67" s="8" t="s">
        <v>192</v>
      </c>
      <c r="B67" s="12" t="s">
        <v>193</v>
      </c>
      <c r="C67" s="8" t="s">
        <v>69</v>
      </c>
      <c r="D67" s="12" t="s">
        <v>70</v>
      </c>
      <c r="E67" s="10" t="str">
        <f aca="true">IFERROR(IF(INDEX(INDIRECT("'"&amp;$AI67&amp;"'!$E$2:$E$320"),MATCH($A67,INDIRECT("'"&amp;$AI67&amp;"'!$A$2:$A$320"),0))="","",INDEX(INDIRECT("'"&amp;$AI67&amp;"'!$E$2:$E$320"),MATCH($A67,INDIRECT("'"&amp;$AI67&amp;"'!$A$2:$A$320"),0))),"")</f>
        <v/>
      </c>
      <c r="F67" s="9" t="str">
        <f aca="false">IF($E67="","",IFERROR(INDEX(担当者マスタ!$B$2:$B$101,MATCH($E67,担当者マスタ!$A$2:$A$101,0)),"※マスタ未登録"))</f>
        <v/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f aca="false">SUM(G67:L67)</f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f aca="false">SUM(N67:S67)</f>
        <v>0</v>
      </c>
      <c r="U67" s="11" t="n">
        <v>75</v>
      </c>
      <c r="V67" s="11" t="n">
        <v>36</v>
      </c>
      <c r="W67" s="11" t="n">
        <v>425.8</v>
      </c>
      <c r="X67" s="11" t="n">
        <v>28.8</v>
      </c>
      <c r="Y67" s="11" t="n">
        <v>0</v>
      </c>
      <c r="Z67" s="11" t="n">
        <v>0</v>
      </c>
      <c r="AA67" s="11" t="n">
        <f aca="false">SUM(U67:Z67)</f>
        <v>565.6</v>
      </c>
      <c r="AB67" s="11" t="n">
        <v>31</v>
      </c>
      <c r="AC67" s="11" t="n">
        <v>12.35</v>
      </c>
      <c r="AD67" s="11" t="n">
        <v>113.3</v>
      </c>
      <c r="AE67" s="11" t="n">
        <v>9.369</v>
      </c>
      <c r="AF67" s="11" t="n">
        <v>0</v>
      </c>
      <c r="AG67" s="11" t="n">
        <v>0</v>
      </c>
      <c r="AH67" s="11" t="n">
        <f aca="false">SUM(AB67:AG67)</f>
        <v>166.019</v>
      </c>
      <c r="AI67" s="12" t="s">
        <v>71</v>
      </c>
    </row>
    <row r="68" customFormat="false" ht="15" hidden="false" customHeight="false" outlineLevel="0" collapsed="false">
      <c r="A68" s="8" t="s">
        <v>194</v>
      </c>
      <c r="B68" s="12" t="s">
        <v>195</v>
      </c>
      <c r="C68" s="8" t="s">
        <v>69</v>
      </c>
      <c r="D68" s="12" t="s">
        <v>70</v>
      </c>
      <c r="E68" s="10" t="str">
        <f aca="true">IFERROR(IF(INDEX(INDIRECT("'"&amp;$AI68&amp;"'!$E$2:$E$320"),MATCH($A68,INDIRECT("'"&amp;$AI68&amp;"'!$A$2:$A$320"),0))="","",INDEX(INDIRECT("'"&amp;$AI68&amp;"'!$E$2:$E$320"),MATCH($A68,INDIRECT("'"&amp;$AI68&amp;"'!$A$2:$A$320"),0))),"")</f>
        <v/>
      </c>
      <c r="F68" s="9" t="str">
        <f aca="false">IF($E68="","",IFERROR(INDEX(担当者マスタ!$B$2:$B$101,MATCH($E68,担当者マスタ!$A$2:$A$101,0)),"※マスタ未登録"))</f>
        <v/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f aca="false">SUM(G68:L68)</f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f aca="false">SUM(N68:S68)</f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76.5</v>
      </c>
      <c r="AA68" s="11" t="n">
        <f aca="false">SUM(U68:Z68)</f>
        <v>76.5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14.852</v>
      </c>
      <c r="AH68" s="11" t="n">
        <f aca="false">SUM(AB68:AG68)</f>
        <v>14.852</v>
      </c>
      <c r="AI68" s="12" t="s">
        <v>71</v>
      </c>
    </row>
    <row r="69" customFormat="false" ht="15" hidden="false" customHeight="false" outlineLevel="0" collapsed="false">
      <c r="A69" s="8" t="s">
        <v>196</v>
      </c>
      <c r="B69" s="12" t="s">
        <v>197</v>
      </c>
      <c r="C69" s="8" t="s">
        <v>69</v>
      </c>
      <c r="D69" s="12" t="s">
        <v>70</v>
      </c>
      <c r="E69" s="10" t="str">
        <f aca="true">IFERROR(IF(INDEX(INDIRECT("'"&amp;$AI69&amp;"'!$E$2:$E$320"),MATCH($A69,INDIRECT("'"&amp;$AI69&amp;"'!$A$2:$A$320"),0))="","",INDEX(INDIRECT("'"&amp;$AI69&amp;"'!$E$2:$E$320"),MATCH($A69,INDIRECT("'"&amp;$AI69&amp;"'!$A$2:$A$320"),0))),"")</f>
        <v/>
      </c>
      <c r="F69" s="9" t="str">
        <f aca="false">IF($E69="","",IFERROR(INDEX(担当者マスタ!$B$2:$B$101,MATCH($E69,担当者マスタ!$A$2:$A$101,0)),"※マスタ未登録"))</f>
        <v/>
      </c>
      <c r="G69" s="11" t="n">
        <v>17.352</v>
      </c>
      <c r="H69" s="11" t="n">
        <v>16.025</v>
      </c>
      <c r="I69" s="11" t="n">
        <v>20.392</v>
      </c>
      <c r="J69" s="11" t="n">
        <v>18.64</v>
      </c>
      <c r="K69" s="11" t="n">
        <v>12.639</v>
      </c>
      <c r="L69" s="11" t="n">
        <v>14.585</v>
      </c>
      <c r="M69" s="11" t="n">
        <f aca="false">SUM(G69:L69)</f>
        <v>99.633</v>
      </c>
      <c r="N69" s="11" t="n">
        <v>7.372</v>
      </c>
      <c r="O69" s="11" t="n">
        <v>6.525</v>
      </c>
      <c r="P69" s="11" t="n">
        <v>8.332</v>
      </c>
      <c r="Q69" s="11" t="n">
        <v>8.5</v>
      </c>
      <c r="R69" s="11" t="n">
        <v>5.205</v>
      </c>
      <c r="S69" s="11" t="n">
        <v>5.745</v>
      </c>
      <c r="T69" s="11" t="n">
        <f aca="false">SUM(N69:S69)</f>
        <v>41.679</v>
      </c>
      <c r="U69" s="11" t="n">
        <v>17.74</v>
      </c>
      <c r="V69" s="11" t="n">
        <v>20.687</v>
      </c>
      <c r="W69" s="11" t="n">
        <v>27.469</v>
      </c>
      <c r="X69" s="11" t="n">
        <v>8.46</v>
      </c>
      <c r="Y69" s="11" t="n">
        <v>8.46</v>
      </c>
      <c r="Z69" s="11" t="n">
        <v>22.14</v>
      </c>
      <c r="AA69" s="11" t="n">
        <f aca="false">SUM(U69:Z69)</f>
        <v>104.956</v>
      </c>
      <c r="AB69" s="11" t="n">
        <v>7.76</v>
      </c>
      <c r="AC69" s="11" t="n">
        <v>9.053</v>
      </c>
      <c r="AD69" s="11" t="n">
        <v>11.355</v>
      </c>
      <c r="AE69" s="11" t="n">
        <v>3.62</v>
      </c>
      <c r="AF69" s="11" t="n">
        <v>3.62</v>
      </c>
      <c r="AG69" s="11" t="n">
        <v>9.58</v>
      </c>
      <c r="AH69" s="11" t="n">
        <f aca="false">SUM(AB69:AG69)</f>
        <v>44.988</v>
      </c>
      <c r="AI69" s="12" t="s">
        <v>71</v>
      </c>
    </row>
    <row r="70" customFormat="false" ht="15" hidden="false" customHeight="false" outlineLevel="0" collapsed="false">
      <c r="A70" s="8" t="s">
        <v>198</v>
      </c>
      <c r="B70" s="12" t="s">
        <v>199</v>
      </c>
      <c r="C70" s="8" t="s">
        <v>69</v>
      </c>
      <c r="D70" s="12" t="s">
        <v>70</v>
      </c>
      <c r="E70" s="10" t="str">
        <f aca="true">IFERROR(IF(INDEX(INDIRECT("'"&amp;$AI70&amp;"'!$E$2:$E$320"),MATCH($A70,INDIRECT("'"&amp;$AI70&amp;"'!$A$2:$A$320"),0))="","",INDEX(INDIRECT("'"&amp;$AI70&amp;"'!$E$2:$E$320"),MATCH($A70,INDIRECT("'"&amp;$AI70&amp;"'!$A$2:$A$320"),0))),"")</f>
        <v/>
      </c>
      <c r="F70" s="9" t="str">
        <f aca="false">IF($E70="","",IFERROR(INDEX(担当者マスタ!$B$2:$B$101,MATCH($E70,担当者マスタ!$A$2:$A$101,0)),"※マスタ未登録"))</f>
        <v/>
      </c>
      <c r="G70" s="11" t="n">
        <v>28.2</v>
      </c>
      <c r="H70" s="11" t="n">
        <v>39.85</v>
      </c>
      <c r="I70" s="11" t="n">
        <v>42.5</v>
      </c>
      <c r="J70" s="11" t="n">
        <v>341.05</v>
      </c>
      <c r="K70" s="11" t="n">
        <v>168.8</v>
      </c>
      <c r="L70" s="11" t="n">
        <v>177.95</v>
      </c>
      <c r="M70" s="11" t="n">
        <f aca="false">SUM(G70:L70)</f>
        <v>798.35</v>
      </c>
      <c r="N70" s="11" t="n">
        <v>3.6</v>
      </c>
      <c r="O70" s="11" t="n">
        <v>4.25</v>
      </c>
      <c r="P70" s="11" t="n">
        <v>8.5</v>
      </c>
      <c r="Q70" s="11" t="n">
        <v>93.35</v>
      </c>
      <c r="R70" s="11" t="n">
        <v>42.4</v>
      </c>
      <c r="S70" s="11" t="n">
        <v>33.45</v>
      </c>
      <c r="T70" s="11" t="n">
        <f aca="false">SUM(N70:S70)</f>
        <v>185.55</v>
      </c>
      <c r="U70" s="11" t="n">
        <v>545.3</v>
      </c>
      <c r="V70" s="11" t="n">
        <v>42.5</v>
      </c>
      <c r="W70" s="11" t="n">
        <v>14.9</v>
      </c>
      <c r="X70" s="11" t="n">
        <v>33.6</v>
      </c>
      <c r="Y70" s="11" t="n">
        <v>185.6</v>
      </c>
      <c r="Z70" s="11" t="n">
        <v>140.2</v>
      </c>
      <c r="AA70" s="11" t="n">
        <f aca="false">SUM(U70:Z70)</f>
        <v>962.1</v>
      </c>
      <c r="AB70" s="11" t="n">
        <v>150.7</v>
      </c>
      <c r="AC70" s="11" t="n">
        <v>8.5</v>
      </c>
      <c r="AD70" s="11" t="n">
        <v>2.8</v>
      </c>
      <c r="AE70" s="11" t="n">
        <v>5.7</v>
      </c>
      <c r="AF70" s="11" t="n">
        <v>67.2</v>
      </c>
      <c r="AG70" s="11" t="n">
        <v>37.2</v>
      </c>
      <c r="AH70" s="11" t="n">
        <f aca="false">SUM(AB70:AG70)</f>
        <v>272.1</v>
      </c>
      <c r="AI70" s="12" t="s">
        <v>71</v>
      </c>
    </row>
    <row r="71" customFormat="false" ht="15" hidden="false" customHeight="false" outlineLevel="0" collapsed="false">
      <c r="A71" s="8" t="s">
        <v>200</v>
      </c>
      <c r="B71" s="12" t="s">
        <v>201</v>
      </c>
      <c r="C71" s="8" t="s">
        <v>69</v>
      </c>
      <c r="D71" s="12" t="s">
        <v>70</v>
      </c>
      <c r="E71" s="10" t="str">
        <f aca="true">IFERROR(IF(INDEX(INDIRECT("'"&amp;$AI71&amp;"'!$E$2:$E$320"),MATCH($A71,INDIRECT("'"&amp;$AI71&amp;"'!$A$2:$A$320"),0))="","",INDEX(INDIRECT("'"&amp;$AI71&amp;"'!$E$2:$E$320"),MATCH($A71,INDIRECT("'"&amp;$AI71&amp;"'!$A$2:$A$320"),0))),"")</f>
        <v/>
      </c>
      <c r="F71" s="9" t="str">
        <f aca="false">IF($E71="","",IFERROR(INDEX(担当者マスタ!$B$2:$B$101,MATCH($E71,担当者マスタ!$A$2:$A$101,0)),"※マスタ未登録"))</f>
        <v/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f aca="false">SUM(G71:L71)</f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f aca="false">SUM(N71:S71)</f>
        <v>0</v>
      </c>
      <c r="U71" s="11" t="n">
        <v>0</v>
      </c>
      <c r="V71" s="11" t="n">
        <v>0</v>
      </c>
      <c r="W71" s="11" t="n">
        <v>8.15</v>
      </c>
      <c r="X71" s="11" t="n">
        <v>0</v>
      </c>
      <c r="Y71" s="11" t="n">
        <v>0</v>
      </c>
      <c r="Z71" s="11" t="n">
        <v>0</v>
      </c>
      <c r="AA71" s="11" t="n">
        <f aca="false">SUM(U71:Z71)</f>
        <v>8.15</v>
      </c>
      <c r="AB71" s="11" t="n">
        <v>0</v>
      </c>
      <c r="AC71" s="11" t="n">
        <v>0</v>
      </c>
      <c r="AD71" s="11" t="n">
        <v>1.15</v>
      </c>
      <c r="AE71" s="11" t="n">
        <v>0</v>
      </c>
      <c r="AF71" s="11" t="n">
        <v>0</v>
      </c>
      <c r="AG71" s="11" t="n">
        <v>0</v>
      </c>
      <c r="AH71" s="11" t="n">
        <f aca="false">SUM(AB71:AG71)</f>
        <v>1.15</v>
      </c>
      <c r="AI71" s="12" t="s">
        <v>71</v>
      </c>
    </row>
    <row r="72" customFormat="false" ht="15" hidden="false" customHeight="false" outlineLevel="0" collapsed="false">
      <c r="A72" s="8" t="s">
        <v>202</v>
      </c>
      <c r="B72" s="12" t="s">
        <v>203</v>
      </c>
      <c r="C72" s="8" t="s">
        <v>69</v>
      </c>
      <c r="D72" s="12" t="s">
        <v>70</v>
      </c>
      <c r="E72" s="10" t="str">
        <f aca="true">IFERROR(IF(INDEX(INDIRECT("'"&amp;$AI72&amp;"'!$E$2:$E$320"),MATCH($A72,INDIRECT("'"&amp;$AI72&amp;"'!$A$2:$A$320"),0))="","",INDEX(INDIRECT("'"&amp;$AI72&amp;"'!$E$2:$E$320"),MATCH($A72,INDIRECT("'"&amp;$AI72&amp;"'!$A$2:$A$320"),0))),"")</f>
        <v/>
      </c>
      <c r="F72" s="9" t="str">
        <f aca="false">IF($E72="","",IFERROR(INDEX(担当者マスタ!$B$2:$B$101,MATCH($E72,担当者マスタ!$A$2:$A$101,0)),"※マスタ未登録"))</f>
        <v/>
      </c>
      <c r="G72" s="11" t="n">
        <v>67.83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f aca="false">SUM(G72:L72)</f>
        <v>67.83</v>
      </c>
      <c r="N72" s="11" t="n">
        <v>16.526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f aca="false">SUM(N72:S72)</f>
        <v>16.526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f aca="false">SUM(U72:Z72)</f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f aca="false">SUM(AB72:AG72)</f>
        <v>0</v>
      </c>
      <c r="AI72" s="12" t="s">
        <v>71</v>
      </c>
    </row>
    <row r="73" customFormat="false" ht="15" hidden="false" customHeight="false" outlineLevel="0" collapsed="false">
      <c r="A73" s="8" t="s">
        <v>204</v>
      </c>
      <c r="B73" s="12" t="s">
        <v>205</v>
      </c>
      <c r="C73" s="8" t="s">
        <v>69</v>
      </c>
      <c r="D73" s="12" t="s">
        <v>70</v>
      </c>
      <c r="E73" s="10" t="str">
        <f aca="true">IFERROR(IF(INDEX(INDIRECT("'"&amp;$AI73&amp;"'!$E$2:$E$320"),MATCH($A73,INDIRECT("'"&amp;$AI73&amp;"'!$A$2:$A$320"),0))="","",INDEX(INDIRECT("'"&amp;$AI73&amp;"'!$E$2:$E$320"),MATCH($A73,INDIRECT("'"&amp;$AI73&amp;"'!$A$2:$A$320"),0))),"")</f>
        <v/>
      </c>
      <c r="F73" s="9" t="str">
        <f aca="false">IF($E73="","",IFERROR(INDEX(担当者マスタ!$B$2:$B$101,MATCH($E73,担当者マスタ!$A$2:$A$101,0)),"※マスタ未登録"))</f>
        <v/>
      </c>
      <c r="G73" s="11" t="n">
        <v>152.328</v>
      </c>
      <c r="H73" s="11" t="n">
        <v>42.815</v>
      </c>
      <c r="I73" s="11" t="n">
        <v>41.74</v>
      </c>
      <c r="J73" s="11" t="n">
        <v>21.132</v>
      </c>
      <c r="K73" s="11" t="n">
        <v>67.31</v>
      </c>
      <c r="L73" s="11" t="n">
        <v>17.885</v>
      </c>
      <c r="M73" s="11" t="n">
        <f aca="false">SUM(G73:L73)</f>
        <v>343.21</v>
      </c>
      <c r="N73" s="11" t="n">
        <v>54.868</v>
      </c>
      <c r="O73" s="11" t="n">
        <v>19.232</v>
      </c>
      <c r="P73" s="11" t="n">
        <v>16.722</v>
      </c>
      <c r="Q73" s="11" t="n">
        <v>5.172</v>
      </c>
      <c r="R73" s="11" t="n">
        <v>21.67</v>
      </c>
      <c r="S73" s="11" t="n">
        <v>8.18</v>
      </c>
      <c r="T73" s="11" t="n">
        <f aca="false">SUM(N73:S73)</f>
        <v>125.844</v>
      </c>
      <c r="U73" s="11" t="n">
        <v>73.187</v>
      </c>
      <c r="V73" s="11" t="n">
        <v>24.93</v>
      </c>
      <c r="W73" s="11" t="n">
        <v>41.825</v>
      </c>
      <c r="X73" s="11" t="n">
        <v>28.715</v>
      </c>
      <c r="Y73" s="11" t="n">
        <v>29.537</v>
      </c>
      <c r="Z73" s="11" t="n">
        <v>1.514</v>
      </c>
      <c r="AA73" s="11" t="n">
        <f aca="false">SUM(U73:Z73)</f>
        <v>199.708</v>
      </c>
      <c r="AB73" s="11" t="n">
        <v>26.114</v>
      </c>
      <c r="AC73" s="11" t="n">
        <v>11.052</v>
      </c>
      <c r="AD73" s="11" t="n">
        <v>18.39</v>
      </c>
      <c r="AE73" s="11" t="n">
        <v>13.032</v>
      </c>
      <c r="AF73" s="11" t="n">
        <v>8.007</v>
      </c>
      <c r="AG73" s="11" t="n">
        <v>0.792</v>
      </c>
      <c r="AH73" s="11" t="n">
        <f aca="false">SUM(AB73:AG73)</f>
        <v>77.387</v>
      </c>
      <c r="AI73" s="12" t="s">
        <v>71</v>
      </c>
    </row>
    <row r="74" customFormat="false" ht="15" hidden="false" customHeight="false" outlineLevel="0" collapsed="false">
      <c r="A74" s="8" t="s">
        <v>206</v>
      </c>
      <c r="B74" s="12" t="s">
        <v>207</v>
      </c>
      <c r="C74" s="8" t="s">
        <v>69</v>
      </c>
      <c r="D74" s="12" t="s">
        <v>70</v>
      </c>
      <c r="E74" s="10" t="str">
        <f aca="true">IFERROR(IF(INDEX(INDIRECT("'"&amp;$AI74&amp;"'!$E$2:$E$320"),MATCH($A74,INDIRECT("'"&amp;$AI74&amp;"'!$A$2:$A$320"),0))="","",INDEX(INDIRECT("'"&amp;$AI74&amp;"'!$E$2:$E$320"),MATCH($A74,INDIRECT("'"&amp;$AI74&amp;"'!$A$2:$A$320"),0))),"")</f>
        <v/>
      </c>
      <c r="F74" s="9" t="str">
        <f aca="false">IF($E74="","",IFERROR(INDEX(担当者マスタ!$B$2:$B$101,MATCH($E74,担当者マスタ!$A$2:$A$101,0)),"※マスタ未登録"))</f>
        <v/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f aca="false">SUM(G74:L74)</f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f aca="false">SUM(N74:S74)</f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5.545</v>
      </c>
      <c r="Z74" s="11" t="n">
        <v>0</v>
      </c>
      <c r="AA74" s="11" t="n">
        <f aca="false">SUM(U74:Z74)</f>
        <v>5.545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2.47</v>
      </c>
      <c r="AG74" s="11" t="n">
        <v>0</v>
      </c>
      <c r="AH74" s="11" t="n">
        <f aca="false">SUM(AB74:AG74)</f>
        <v>2.47</v>
      </c>
      <c r="AI74" s="12" t="s">
        <v>71</v>
      </c>
    </row>
    <row r="75" customFormat="false" ht="15" hidden="false" customHeight="false" outlineLevel="0" collapsed="false">
      <c r="A75" s="8" t="s">
        <v>208</v>
      </c>
      <c r="B75" s="12" t="s">
        <v>209</v>
      </c>
      <c r="C75" s="8" t="s">
        <v>69</v>
      </c>
      <c r="D75" s="12" t="s">
        <v>70</v>
      </c>
      <c r="E75" s="10" t="str">
        <f aca="true">IFERROR(IF(INDEX(INDIRECT("'"&amp;$AI75&amp;"'!$E$2:$E$320"),MATCH($A75,INDIRECT("'"&amp;$AI75&amp;"'!$A$2:$A$320"),0))="","",INDEX(INDIRECT("'"&amp;$AI75&amp;"'!$E$2:$E$320"),MATCH($A75,INDIRECT("'"&amp;$AI75&amp;"'!$A$2:$A$320"),0))),"")</f>
        <v/>
      </c>
      <c r="F75" s="9" t="str">
        <f aca="false">IF($E75="","",IFERROR(INDEX(担当者マスタ!$B$2:$B$101,MATCH($E75,担当者マスタ!$A$2:$A$101,0)),"※マスタ未登録"))</f>
        <v/>
      </c>
      <c r="G75" s="11" t="n">
        <v>40.86</v>
      </c>
      <c r="H75" s="11" t="n">
        <v>11.7</v>
      </c>
      <c r="I75" s="11" t="n">
        <v>70.36</v>
      </c>
      <c r="J75" s="11" t="n">
        <v>30.1</v>
      </c>
      <c r="K75" s="11" t="n">
        <v>64.26</v>
      </c>
      <c r="L75" s="11" t="n">
        <v>58.63</v>
      </c>
      <c r="M75" s="11" t="n">
        <f aca="false">SUM(G75:L75)</f>
        <v>275.91</v>
      </c>
      <c r="N75" s="11" t="n">
        <v>10.66</v>
      </c>
      <c r="O75" s="11" t="n">
        <v>3.9</v>
      </c>
      <c r="P75" s="11" t="n">
        <v>20.16</v>
      </c>
      <c r="Q75" s="11" t="n">
        <v>10.1</v>
      </c>
      <c r="R75" s="11" t="n">
        <v>20.06</v>
      </c>
      <c r="S75" s="11" t="n">
        <v>23.43</v>
      </c>
      <c r="T75" s="11" t="n">
        <f aca="false">SUM(N75:S75)</f>
        <v>88.31</v>
      </c>
      <c r="U75" s="11" t="n">
        <v>62.7</v>
      </c>
      <c r="V75" s="11" t="n">
        <v>16.1</v>
      </c>
      <c r="W75" s="11" t="n">
        <v>86.7</v>
      </c>
      <c r="X75" s="11" t="n">
        <v>80.53</v>
      </c>
      <c r="Y75" s="11" t="n">
        <v>62.7</v>
      </c>
      <c r="Z75" s="11" t="n">
        <v>16.1</v>
      </c>
      <c r="AA75" s="11" t="n">
        <f aca="false">SUM(U75:Z75)</f>
        <v>324.83</v>
      </c>
      <c r="AB75" s="11" t="n">
        <v>17.7</v>
      </c>
      <c r="AC75" s="11" t="n">
        <v>4.6</v>
      </c>
      <c r="AD75" s="11" t="n">
        <v>34.7</v>
      </c>
      <c r="AE75" s="11" t="n">
        <v>31.83</v>
      </c>
      <c r="AF75" s="11" t="n">
        <v>17.7</v>
      </c>
      <c r="AG75" s="11" t="n">
        <v>4.6</v>
      </c>
      <c r="AH75" s="11" t="n">
        <f aca="false">SUM(AB75:AG75)</f>
        <v>111.13</v>
      </c>
      <c r="AI75" s="12" t="s">
        <v>71</v>
      </c>
    </row>
    <row r="76" customFormat="false" ht="15" hidden="false" customHeight="false" outlineLevel="0" collapsed="false">
      <c r="A76" s="8" t="s">
        <v>210</v>
      </c>
      <c r="B76" s="12" t="s">
        <v>211</v>
      </c>
      <c r="C76" s="8" t="s">
        <v>69</v>
      </c>
      <c r="D76" s="12" t="s">
        <v>70</v>
      </c>
      <c r="E76" s="10" t="str">
        <f aca="true">IFERROR(IF(INDEX(INDIRECT("'"&amp;$AI76&amp;"'!$E$2:$E$320"),MATCH($A76,INDIRECT("'"&amp;$AI76&amp;"'!$A$2:$A$320"),0))="","",INDEX(INDIRECT("'"&amp;$AI76&amp;"'!$E$2:$E$320"),MATCH($A76,INDIRECT("'"&amp;$AI76&amp;"'!$A$2:$A$320"),0))),"")</f>
        <v/>
      </c>
      <c r="F76" s="9" t="str">
        <f aca="false">IF($E76="","",IFERROR(INDEX(担当者マスタ!$B$2:$B$101,MATCH($E76,担当者マスタ!$A$2:$A$101,0)),"※マスタ未登録"))</f>
        <v/>
      </c>
      <c r="G76" s="11" t="n">
        <v>57.935</v>
      </c>
      <c r="H76" s="11" t="n">
        <v>0</v>
      </c>
      <c r="I76" s="11" t="n">
        <v>246.5</v>
      </c>
      <c r="J76" s="11" t="n">
        <v>0</v>
      </c>
      <c r="K76" s="11" t="n">
        <v>33.615</v>
      </c>
      <c r="L76" s="11" t="n">
        <v>0</v>
      </c>
      <c r="M76" s="11" t="n">
        <f aca="false">SUM(G76:L76)</f>
        <v>338.05</v>
      </c>
      <c r="N76" s="11" t="n">
        <v>18.405</v>
      </c>
      <c r="O76" s="11" t="n">
        <v>0</v>
      </c>
      <c r="P76" s="11" t="n">
        <v>59.5</v>
      </c>
      <c r="Q76" s="11" t="n">
        <v>0</v>
      </c>
      <c r="R76" s="11" t="n">
        <v>11.405</v>
      </c>
      <c r="S76" s="11" t="n">
        <v>0</v>
      </c>
      <c r="T76" s="11" t="n">
        <f aca="false">SUM(N76:S76)</f>
        <v>89.31</v>
      </c>
      <c r="U76" s="11" t="n">
        <v>0</v>
      </c>
      <c r="V76" s="11" t="n">
        <v>23.5</v>
      </c>
      <c r="W76" s="11" t="n">
        <v>0</v>
      </c>
      <c r="X76" s="11" t="n">
        <v>26.5</v>
      </c>
      <c r="Y76" s="11" t="n">
        <v>17.6</v>
      </c>
      <c r="Z76" s="11" t="n">
        <v>165.89</v>
      </c>
      <c r="AA76" s="11" t="n">
        <f aca="false">SUM(U76:Z76)</f>
        <v>233.49</v>
      </c>
      <c r="AB76" s="11" t="n">
        <v>0</v>
      </c>
      <c r="AC76" s="11" t="n">
        <v>7.4</v>
      </c>
      <c r="AD76" s="11" t="n">
        <v>0</v>
      </c>
      <c r="AE76" s="11" t="n">
        <v>5.725</v>
      </c>
      <c r="AF76" s="11" t="n">
        <v>5.84</v>
      </c>
      <c r="AG76" s="11" t="n">
        <v>40.3116</v>
      </c>
      <c r="AH76" s="11" t="n">
        <f aca="false">SUM(AB76:AG76)</f>
        <v>59.2766</v>
      </c>
      <c r="AI76" s="12" t="s">
        <v>71</v>
      </c>
    </row>
    <row r="77" customFormat="false" ht="15" hidden="false" customHeight="false" outlineLevel="0" collapsed="false">
      <c r="A77" s="8" t="s">
        <v>212</v>
      </c>
      <c r="B77" s="12" t="s">
        <v>213</v>
      </c>
      <c r="C77" s="8" t="s">
        <v>69</v>
      </c>
      <c r="D77" s="12" t="s">
        <v>70</v>
      </c>
      <c r="E77" s="10" t="str">
        <f aca="true">IFERROR(IF(INDEX(INDIRECT("'"&amp;$AI77&amp;"'!$E$2:$E$320"),MATCH($A77,INDIRECT("'"&amp;$AI77&amp;"'!$A$2:$A$320"),0))="","",INDEX(INDIRECT("'"&amp;$AI77&amp;"'!$E$2:$E$320"),MATCH($A77,INDIRECT("'"&amp;$AI77&amp;"'!$A$2:$A$320"),0))),"")</f>
        <v/>
      </c>
      <c r="F77" s="9" t="str">
        <f aca="false">IF($E77="","",IFERROR(INDEX(担当者マスタ!$B$2:$B$101,MATCH($E77,担当者マスタ!$A$2:$A$101,0)),"※マスタ未登録"))</f>
        <v/>
      </c>
      <c r="G77" s="11" t="n">
        <v>0</v>
      </c>
      <c r="H77" s="11" t="n">
        <v>0</v>
      </c>
      <c r="I77" s="11" t="n">
        <v>35.275</v>
      </c>
      <c r="J77" s="11" t="n">
        <v>0</v>
      </c>
      <c r="K77" s="11" t="n">
        <v>0</v>
      </c>
      <c r="L77" s="11" t="n">
        <v>0</v>
      </c>
      <c r="M77" s="11" t="n">
        <f aca="false">SUM(G77:L77)</f>
        <v>35.275</v>
      </c>
      <c r="N77" s="11" t="n">
        <v>0</v>
      </c>
      <c r="O77" s="11" t="n">
        <v>0</v>
      </c>
      <c r="P77" s="11" t="n">
        <v>30.66</v>
      </c>
      <c r="Q77" s="11" t="n">
        <v>0</v>
      </c>
      <c r="R77" s="11" t="n">
        <v>0</v>
      </c>
      <c r="S77" s="11" t="n">
        <v>0</v>
      </c>
      <c r="T77" s="11" t="n">
        <f aca="false">SUM(N77:S77)</f>
        <v>30.66</v>
      </c>
      <c r="U77" s="11" t="n">
        <v>0</v>
      </c>
      <c r="V77" s="11" t="n">
        <v>0</v>
      </c>
      <c r="W77" s="11" t="n">
        <v>18.55</v>
      </c>
      <c r="X77" s="11" t="n">
        <v>0</v>
      </c>
      <c r="Y77" s="11" t="n">
        <v>0</v>
      </c>
      <c r="Z77" s="11" t="n">
        <v>0</v>
      </c>
      <c r="AA77" s="11" t="n">
        <f aca="false">SUM(U77:Z77)</f>
        <v>18.55</v>
      </c>
      <c r="AB77" s="11" t="n">
        <v>0</v>
      </c>
      <c r="AC77" s="11" t="n">
        <v>0</v>
      </c>
      <c r="AD77" s="11" t="n">
        <v>9.32</v>
      </c>
      <c r="AE77" s="11" t="n">
        <v>0</v>
      </c>
      <c r="AF77" s="11" t="n">
        <v>0</v>
      </c>
      <c r="AG77" s="11" t="n">
        <v>0</v>
      </c>
      <c r="AH77" s="11" t="n">
        <f aca="false">SUM(AB77:AG77)</f>
        <v>9.32</v>
      </c>
      <c r="AI77" s="12" t="s">
        <v>71</v>
      </c>
    </row>
    <row r="78" customFormat="false" ht="15" hidden="false" customHeight="false" outlineLevel="0" collapsed="false">
      <c r="A78" s="8" t="s">
        <v>214</v>
      </c>
      <c r="B78" s="12" t="s">
        <v>215</v>
      </c>
      <c r="C78" s="8" t="s">
        <v>69</v>
      </c>
      <c r="D78" s="12" t="s">
        <v>70</v>
      </c>
      <c r="E78" s="10" t="str">
        <f aca="true">IFERROR(IF(INDEX(INDIRECT("'"&amp;$AI78&amp;"'!$E$2:$E$320"),MATCH($A78,INDIRECT("'"&amp;$AI78&amp;"'!$A$2:$A$320"),0))="","",INDEX(INDIRECT("'"&amp;$AI78&amp;"'!$E$2:$E$320"),MATCH($A78,INDIRECT("'"&amp;$AI78&amp;"'!$A$2:$A$320"),0))),"")</f>
        <v/>
      </c>
      <c r="F78" s="9" t="str">
        <f aca="false">IF($E78="","",IFERROR(INDEX(担当者マスタ!$B$2:$B$101,MATCH($E78,担当者マスタ!$A$2:$A$101,0)),"※マスタ未登録"))</f>
        <v/>
      </c>
      <c r="G78" s="11" t="n">
        <v>88.849</v>
      </c>
      <c r="H78" s="11" t="n">
        <v>384.291</v>
      </c>
      <c r="I78" s="11" t="n">
        <v>1094.554</v>
      </c>
      <c r="J78" s="11" t="n">
        <v>744.818</v>
      </c>
      <c r="K78" s="11" t="n">
        <v>51.653</v>
      </c>
      <c r="L78" s="11" t="n">
        <v>162.954</v>
      </c>
      <c r="M78" s="11" t="n">
        <f aca="false">SUM(G78:L78)</f>
        <v>2527.119</v>
      </c>
      <c r="N78" s="11" t="n">
        <v>32.043</v>
      </c>
      <c r="O78" s="11" t="n">
        <v>130.162</v>
      </c>
      <c r="P78" s="11" t="n">
        <v>366.316</v>
      </c>
      <c r="Q78" s="11" t="n">
        <v>173.803</v>
      </c>
      <c r="R78" s="11" t="n">
        <v>16.604</v>
      </c>
      <c r="S78" s="11" t="n">
        <v>60.27</v>
      </c>
      <c r="T78" s="11" t="n">
        <f aca="false">SUM(N78:S78)</f>
        <v>779.198</v>
      </c>
      <c r="U78" s="11" t="n">
        <v>72.45</v>
      </c>
      <c r="V78" s="11" t="n">
        <v>369.179</v>
      </c>
      <c r="W78" s="11" t="n">
        <v>753.443</v>
      </c>
      <c r="X78" s="11" t="n">
        <v>139.227</v>
      </c>
      <c r="Y78" s="11" t="n">
        <v>31.369</v>
      </c>
      <c r="Z78" s="11" t="n">
        <v>212.672</v>
      </c>
      <c r="AA78" s="11" t="n">
        <f aca="false">SUM(U78:Z78)</f>
        <v>1578.34</v>
      </c>
      <c r="AB78" s="11" t="n">
        <v>22.557</v>
      </c>
      <c r="AC78" s="11" t="n">
        <v>123.363</v>
      </c>
      <c r="AD78" s="11" t="n">
        <v>276.975</v>
      </c>
      <c r="AE78" s="11" t="n">
        <v>56.17</v>
      </c>
      <c r="AF78" s="11" t="n">
        <v>13.806</v>
      </c>
      <c r="AG78" s="11" t="n">
        <v>73.34</v>
      </c>
      <c r="AH78" s="11" t="n">
        <f aca="false">SUM(AB78:AG78)</f>
        <v>566.211</v>
      </c>
      <c r="AI78" s="12" t="s">
        <v>71</v>
      </c>
    </row>
    <row r="79" customFormat="false" ht="15" hidden="false" customHeight="false" outlineLevel="0" collapsed="false">
      <c r="A79" s="8" t="s">
        <v>216</v>
      </c>
      <c r="B79" s="12" t="s">
        <v>217</v>
      </c>
      <c r="C79" s="8" t="s">
        <v>69</v>
      </c>
      <c r="D79" s="12" t="s">
        <v>70</v>
      </c>
      <c r="E79" s="10" t="str">
        <f aca="true">IFERROR(IF(INDEX(INDIRECT("'"&amp;$AI79&amp;"'!$E$2:$E$320"),MATCH($A79,INDIRECT("'"&amp;$AI79&amp;"'!$A$2:$A$320"),0))="","",INDEX(INDIRECT("'"&amp;$AI79&amp;"'!$E$2:$E$320"),MATCH($A79,INDIRECT("'"&amp;$AI79&amp;"'!$A$2:$A$320"),0))),"")</f>
        <v/>
      </c>
      <c r="F79" s="9" t="str">
        <f aca="false">IF($E79="","",IFERROR(INDEX(担当者マスタ!$B$2:$B$101,MATCH($E79,担当者マスタ!$A$2:$A$101,0)),"※マスタ未登録"))</f>
        <v/>
      </c>
      <c r="G79" s="11" t="n">
        <v>156.353</v>
      </c>
      <c r="H79" s="11" t="n">
        <v>136.455</v>
      </c>
      <c r="I79" s="11" t="n">
        <v>96.308</v>
      </c>
      <c r="J79" s="11" t="n">
        <v>148.935</v>
      </c>
      <c r="K79" s="11" t="n">
        <v>84.125</v>
      </c>
      <c r="L79" s="11" t="n">
        <v>69.335</v>
      </c>
      <c r="M79" s="11" t="n">
        <f aca="false">SUM(G79:L79)</f>
        <v>691.511</v>
      </c>
      <c r="N79" s="11" t="n">
        <v>75.103</v>
      </c>
      <c r="O79" s="11" t="n">
        <v>66.907</v>
      </c>
      <c r="P79" s="11" t="n">
        <v>43.391</v>
      </c>
      <c r="Q79" s="11" t="n">
        <v>72.204</v>
      </c>
      <c r="R79" s="11" t="n">
        <v>40.846</v>
      </c>
      <c r="S79" s="11" t="n">
        <v>34.078</v>
      </c>
      <c r="T79" s="11" t="n">
        <f aca="false">SUM(N79:S79)</f>
        <v>332.529</v>
      </c>
      <c r="U79" s="11" t="n">
        <v>124.875</v>
      </c>
      <c r="V79" s="11" t="n">
        <v>75.235</v>
      </c>
      <c r="W79" s="11" t="n">
        <v>110.356</v>
      </c>
      <c r="X79" s="11" t="n">
        <v>0</v>
      </c>
      <c r="Y79" s="11" t="n">
        <v>123.958</v>
      </c>
      <c r="Z79" s="11" t="n">
        <v>84.623</v>
      </c>
      <c r="AA79" s="11" t="n">
        <f aca="false">SUM(U79:Z79)</f>
        <v>519.047</v>
      </c>
      <c r="AB79" s="11" t="n">
        <v>64.756</v>
      </c>
      <c r="AC79" s="11" t="n">
        <v>34.972</v>
      </c>
      <c r="AD79" s="11" t="n">
        <v>50.582</v>
      </c>
      <c r="AE79" s="11" t="n">
        <v>0</v>
      </c>
      <c r="AF79" s="11" t="n">
        <v>62.459</v>
      </c>
      <c r="AG79" s="11" t="n">
        <v>40.678</v>
      </c>
      <c r="AH79" s="11" t="n">
        <f aca="false">SUM(AB79:AG79)</f>
        <v>253.447</v>
      </c>
      <c r="AI79" s="12" t="s">
        <v>71</v>
      </c>
    </row>
    <row r="80" customFormat="false" ht="15" hidden="false" customHeight="false" outlineLevel="0" collapsed="false">
      <c r="A80" s="8" t="s">
        <v>218</v>
      </c>
      <c r="B80" s="12" t="s">
        <v>219</v>
      </c>
      <c r="C80" s="8" t="s">
        <v>69</v>
      </c>
      <c r="D80" s="12" t="s">
        <v>70</v>
      </c>
      <c r="E80" s="10" t="str">
        <f aca="true">IFERROR(IF(INDEX(INDIRECT("'"&amp;$AI80&amp;"'!$E$2:$E$320"),MATCH($A80,INDIRECT("'"&amp;$AI80&amp;"'!$A$2:$A$320"),0))="","",INDEX(INDIRECT("'"&amp;$AI80&amp;"'!$E$2:$E$320"),MATCH($A80,INDIRECT("'"&amp;$AI80&amp;"'!$A$2:$A$320"),0))),"")</f>
        <v/>
      </c>
      <c r="F80" s="9" t="str">
        <f aca="false">IF($E80="","",IFERROR(INDEX(担当者マスタ!$B$2:$B$101,MATCH($E80,担当者マスタ!$A$2:$A$101,0)),"※マスタ未登録"))</f>
        <v/>
      </c>
      <c r="G80" s="11" t="n">
        <v>463.978</v>
      </c>
      <c r="H80" s="11" t="n">
        <v>14.384</v>
      </c>
      <c r="I80" s="11" t="n">
        <v>206.658</v>
      </c>
      <c r="J80" s="11" t="n">
        <v>708.293</v>
      </c>
      <c r="K80" s="11" t="n">
        <v>249.828</v>
      </c>
      <c r="L80" s="11" t="n">
        <v>171.622</v>
      </c>
      <c r="M80" s="11" t="n">
        <f aca="false">SUM(G80:L80)</f>
        <v>1814.763</v>
      </c>
      <c r="N80" s="11" t="n">
        <v>110.157</v>
      </c>
      <c r="O80" s="11" t="n">
        <v>2.688</v>
      </c>
      <c r="P80" s="11" t="n">
        <v>49.693</v>
      </c>
      <c r="Q80" s="11" t="n">
        <v>151.806</v>
      </c>
      <c r="R80" s="11" t="n">
        <v>49.748</v>
      </c>
      <c r="S80" s="11" t="n">
        <v>45.809</v>
      </c>
      <c r="T80" s="11" t="n">
        <f aca="false">SUM(N80:S80)</f>
        <v>409.901</v>
      </c>
      <c r="U80" s="11" t="n">
        <v>98.329</v>
      </c>
      <c r="V80" s="11" t="n">
        <v>224.035</v>
      </c>
      <c r="W80" s="11" t="n">
        <v>185.662</v>
      </c>
      <c r="X80" s="11" t="n">
        <v>302.2</v>
      </c>
      <c r="Y80" s="11" t="n">
        <v>41.349</v>
      </c>
      <c r="Z80" s="11" t="n">
        <v>592.542</v>
      </c>
      <c r="AA80" s="11" t="n">
        <f aca="false">SUM(U80:Z80)</f>
        <v>1444.117</v>
      </c>
      <c r="AB80" s="11" t="n">
        <v>23.891</v>
      </c>
      <c r="AC80" s="11" t="n">
        <v>65.9376</v>
      </c>
      <c r="AD80" s="11" t="n">
        <v>39.494</v>
      </c>
      <c r="AE80" s="11" t="n">
        <v>60.8</v>
      </c>
      <c r="AF80" s="11" t="n">
        <v>8.915</v>
      </c>
      <c r="AG80" s="11" t="n">
        <v>144.056</v>
      </c>
      <c r="AH80" s="11" t="n">
        <f aca="false">SUM(AB80:AG80)</f>
        <v>343.0936</v>
      </c>
      <c r="AI80" s="12" t="s">
        <v>71</v>
      </c>
    </row>
    <row r="81" customFormat="false" ht="15" hidden="false" customHeight="false" outlineLevel="0" collapsed="false">
      <c r="A81" s="8" t="s">
        <v>220</v>
      </c>
      <c r="B81" s="12" t="s">
        <v>221</v>
      </c>
      <c r="C81" s="8" t="s">
        <v>69</v>
      </c>
      <c r="D81" s="12" t="s">
        <v>70</v>
      </c>
      <c r="E81" s="10" t="str">
        <f aca="true">IFERROR(IF(INDEX(INDIRECT("'"&amp;$AI81&amp;"'!$E$2:$E$320"),MATCH($A81,INDIRECT("'"&amp;$AI81&amp;"'!$A$2:$A$320"),0))="","",INDEX(INDIRECT("'"&amp;$AI81&amp;"'!$E$2:$E$320"),MATCH($A81,INDIRECT("'"&amp;$AI81&amp;"'!$A$2:$A$320"),0))),"")</f>
        <v/>
      </c>
      <c r="F81" s="9" t="str">
        <f aca="false">IF($E81="","",IFERROR(INDEX(担当者マスタ!$B$2:$B$101,MATCH($E81,担当者マスタ!$A$2:$A$101,0)),"※マスタ未登録"))</f>
        <v/>
      </c>
      <c r="G81" s="11" t="n">
        <v>0</v>
      </c>
      <c r="H81" s="11" t="n">
        <v>6.477</v>
      </c>
      <c r="I81" s="11" t="n">
        <v>0</v>
      </c>
      <c r="J81" s="11" t="n">
        <v>6.077</v>
      </c>
      <c r="K81" s="11" t="n">
        <v>0</v>
      </c>
      <c r="L81" s="11" t="n">
        <v>0</v>
      </c>
      <c r="M81" s="11" t="n">
        <f aca="false">SUM(G81:L81)</f>
        <v>12.554</v>
      </c>
      <c r="N81" s="11" t="n">
        <v>0</v>
      </c>
      <c r="O81" s="11" t="n">
        <v>4.694</v>
      </c>
      <c r="P81" s="11" t="n">
        <v>0</v>
      </c>
      <c r="Q81" s="11" t="n">
        <v>3.704</v>
      </c>
      <c r="R81" s="11" t="n">
        <v>0</v>
      </c>
      <c r="S81" s="11" t="n">
        <v>0</v>
      </c>
      <c r="T81" s="11" t="n">
        <f aca="false">SUM(N81:S81)</f>
        <v>8.398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f aca="false">SUM(U81:Z81)</f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f aca="false">SUM(AB81:AG81)</f>
        <v>0</v>
      </c>
      <c r="AI81" s="12" t="s">
        <v>71</v>
      </c>
    </row>
    <row r="82" customFormat="false" ht="15" hidden="false" customHeight="false" outlineLevel="0" collapsed="false">
      <c r="A82" s="8" t="s">
        <v>222</v>
      </c>
      <c r="B82" s="9" t="s">
        <v>223</v>
      </c>
      <c r="C82" s="8" t="s">
        <v>69</v>
      </c>
      <c r="D82" s="12" t="s">
        <v>70</v>
      </c>
      <c r="E82" s="10" t="str">
        <f aca="true">IFERROR(IF(INDEX(INDIRECT("'"&amp;$AI82&amp;"'!$E$2:$E$320"),MATCH($A82,INDIRECT("'"&amp;$AI82&amp;"'!$A$2:$A$320"),0))="","",INDEX(INDIRECT("'"&amp;$AI82&amp;"'!$E$2:$E$320"),MATCH($A82,INDIRECT("'"&amp;$AI82&amp;"'!$A$2:$A$320"),0))),"")</f>
        <v/>
      </c>
      <c r="F82" s="9" t="str">
        <f aca="false">IF($E82="","",IFERROR(INDEX(担当者マスタ!$B$2:$B$101,MATCH($E82,担当者マスタ!$A$2:$A$101,0)),"※マスタ未登録"))</f>
        <v/>
      </c>
      <c r="G82" s="11" t="n">
        <v>120.22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f aca="false">SUM(G82:L82)</f>
        <v>120.22</v>
      </c>
      <c r="N82" s="11" t="n">
        <v>14.62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f aca="false">SUM(N82:S82)</f>
        <v>14.62</v>
      </c>
      <c r="U82" s="11" t="n">
        <v>111.78</v>
      </c>
      <c r="V82" s="11" t="n">
        <v>60.7</v>
      </c>
      <c r="W82" s="11" t="n">
        <v>89.3</v>
      </c>
      <c r="X82" s="11" t="n">
        <v>0</v>
      </c>
      <c r="Y82" s="11" t="n">
        <v>0</v>
      </c>
      <c r="Z82" s="11" t="n">
        <v>0</v>
      </c>
      <c r="AA82" s="11" t="n">
        <f aca="false">SUM(U82:Z82)</f>
        <v>261.78</v>
      </c>
      <c r="AB82" s="11" t="n">
        <v>11.23</v>
      </c>
      <c r="AC82" s="11" t="n">
        <v>11.1</v>
      </c>
      <c r="AD82" s="11" t="n">
        <v>24.1</v>
      </c>
      <c r="AE82" s="11" t="n">
        <v>0</v>
      </c>
      <c r="AF82" s="11" t="n">
        <v>0</v>
      </c>
      <c r="AG82" s="11" t="n">
        <v>0</v>
      </c>
      <c r="AH82" s="11" t="n">
        <f aca="false">SUM(AB82:AG82)</f>
        <v>46.43</v>
      </c>
      <c r="AI82" s="12" t="s">
        <v>71</v>
      </c>
    </row>
    <row r="83" customFormat="false" ht="15" hidden="false" customHeight="false" outlineLevel="0" collapsed="false">
      <c r="A83" s="8" t="s">
        <v>224</v>
      </c>
      <c r="B83" s="12" t="s">
        <v>225</v>
      </c>
      <c r="C83" s="8" t="s">
        <v>69</v>
      </c>
      <c r="D83" s="12" t="s">
        <v>70</v>
      </c>
      <c r="E83" s="10" t="str">
        <f aca="true">IFERROR(IF(INDEX(INDIRECT("'"&amp;$AI83&amp;"'!$E$2:$E$320"),MATCH($A83,INDIRECT("'"&amp;$AI83&amp;"'!$A$2:$A$320"),0))="","",INDEX(INDIRECT("'"&amp;$AI83&amp;"'!$E$2:$E$320"),MATCH($A83,INDIRECT("'"&amp;$AI83&amp;"'!$A$2:$A$320"),0))),"")</f>
        <v/>
      </c>
      <c r="F83" s="9" t="str">
        <f aca="false">IF($E83="","",IFERROR(INDEX(担当者マスタ!$B$2:$B$101,MATCH($E83,担当者マスタ!$A$2:$A$101,0)),"※マスタ未登録"))</f>
        <v/>
      </c>
      <c r="G83" s="11" t="n">
        <v>0</v>
      </c>
      <c r="H83" s="11" t="n">
        <v>0</v>
      </c>
      <c r="I83" s="11" t="n">
        <v>26.553</v>
      </c>
      <c r="J83" s="11" t="n">
        <v>5.065</v>
      </c>
      <c r="K83" s="11" t="n">
        <v>0</v>
      </c>
      <c r="L83" s="11" t="n">
        <v>0</v>
      </c>
      <c r="M83" s="11" t="n">
        <f aca="false">SUM(G83:L83)</f>
        <v>31.618</v>
      </c>
      <c r="N83" s="11" t="n">
        <v>0</v>
      </c>
      <c r="O83" s="11" t="n">
        <v>0</v>
      </c>
      <c r="P83" s="11" t="n">
        <v>8.517</v>
      </c>
      <c r="Q83" s="11" t="n">
        <v>2.359</v>
      </c>
      <c r="R83" s="11" t="n">
        <v>0</v>
      </c>
      <c r="S83" s="11" t="n">
        <v>0</v>
      </c>
      <c r="T83" s="11" t="n">
        <f aca="false">SUM(N83:S83)</f>
        <v>10.876</v>
      </c>
      <c r="U83" s="11" t="n">
        <v>0</v>
      </c>
      <c r="V83" s="11" t="n">
        <v>0</v>
      </c>
      <c r="W83" s="11" t="n">
        <v>0</v>
      </c>
      <c r="X83" s="11" t="n">
        <v>6.204</v>
      </c>
      <c r="Y83" s="11" t="n">
        <v>0</v>
      </c>
      <c r="Z83" s="11" t="n">
        <v>0</v>
      </c>
      <c r="AA83" s="11" t="n">
        <f aca="false">SUM(U83:Z83)</f>
        <v>6.204</v>
      </c>
      <c r="AB83" s="11" t="n">
        <v>0</v>
      </c>
      <c r="AC83" s="11" t="n">
        <v>0</v>
      </c>
      <c r="AD83" s="11" t="n">
        <v>0</v>
      </c>
      <c r="AE83" s="11" t="n">
        <v>2.883</v>
      </c>
      <c r="AF83" s="11" t="n">
        <v>0</v>
      </c>
      <c r="AG83" s="11" t="n">
        <v>0</v>
      </c>
      <c r="AH83" s="11" t="n">
        <f aca="false">SUM(AB83:AG83)</f>
        <v>2.883</v>
      </c>
      <c r="AI83" s="12" t="s">
        <v>71</v>
      </c>
    </row>
    <row r="84" customFormat="false" ht="15" hidden="false" customHeight="false" outlineLevel="0" collapsed="false">
      <c r="A84" s="8" t="s">
        <v>226</v>
      </c>
      <c r="B84" s="12" t="s">
        <v>227</v>
      </c>
      <c r="C84" s="8" t="s">
        <v>69</v>
      </c>
      <c r="D84" s="12" t="s">
        <v>70</v>
      </c>
      <c r="E84" s="10" t="str">
        <f aca="true">IFERROR(IF(INDEX(INDIRECT("'"&amp;$AI84&amp;"'!$E$2:$E$320"),MATCH($A84,INDIRECT("'"&amp;$AI84&amp;"'!$A$2:$A$320"),0))="","",INDEX(INDIRECT("'"&amp;$AI84&amp;"'!$E$2:$E$320"),MATCH($A84,INDIRECT("'"&amp;$AI84&amp;"'!$A$2:$A$320"),0))),"")</f>
        <v/>
      </c>
      <c r="F84" s="9" t="str">
        <f aca="false">IF($E84="","",IFERROR(INDEX(担当者マスタ!$B$2:$B$101,MATCH($E84,担当者マスタ!$A$2:$A$101,0)),"※マスタ未登録"))</f>
        <v/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f aca="false">SUM(G84:L84)</f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f aca="false">SUM(N84:S84)</f>
        <v>0</v>
      </c>
      <c r="U84" s="11" t="n">
        <v>0</v>
      </c>
      <c r="V84" s="11" t="n">
        <v>0</v>
      </c>
      <c r="W84" s="11" t="n">
        <v>8.8</v>
      </c>
      <c r="X84" s="11" t="n">
        <v>259.6</v>
      </c>
      <c r="Y84" s="11" t="n">
        <v>0</v>
      </c>
      <c r="Z84" s="11" t="n">
        <v>0</v>
      </c>
      <c r="AA84" s="11" t="n">
        <f aca="false">SUM(U84:Z84)</f>
        <v>268.4</v>
      </c>
      <c r="AB84" s="11" t="n">
        <v>0</v>
      </c>
      <c r="AC84" s="11" t="n">
        <v>0</v>
      </c>
      <c r="AD84" s="11" t="n">
        <v>2.1</v>
      </c>
      <c r="AE84" s="11" t="n">
        <v>53.81</v>
      </c>
      <c r="AF84" s="11" t="n">
        <v>0</v>
      </c>
      <c r="AG84" s="11" t="n">
        <v>0</v>
      </c>
      <c r="AH84" s="11" t="n">
        <f aca="false">SUM(AB84:AG84)</f>
        <v>55.91</v>
      </c>
      <c r="AI84" s="12" t="s">
        <v>71</v>
      </c>
    </row>
    <row r="85" customFormat="false" ht="15" hidden="false" customHeight="false" outlineLevel="0" collapsed="false">
      <c r="A85" s="8" t="s">
        <v>228</v>
      </c>
      <c r="B85" s="9" t="s">
        <v>229</v>
      </c>
      <c r="C85" s="8" t="s">
        <v>69</v>
      </c>
      <c r="D85" s="12" t="s">
        <v>70</v>
      </c>
      <c r="E85" s="10" t="str">
        <f aca="true">IFERROR(IF(INDEX(INDIRECT("'"&amp;$AI85&amp;"'!$E$2:$E$320"),MATCH($A85,INDIRECT("'"&amp;$AI85&amp;"'!$A$2:$A$320"),0))="","",INDEX(INDIRECT("'"&amp;$AI85&amp;"'!$E$2:$E$320"),MATCH($A85,INDIRECT("'"&amp;$AI85&amp;"'!$A$2:$A$320"),0))),"")</f>
        <v/>
      </c>
      <c r="F85" s="9" t="str">
        <f aca="false">IF($E85="","",IFERROR(INDEX(担当者マスタ!$B$2:$B$101,MATCH($E85,担当者マスタ!$A$2:$A$101,0)),"※マスタ未登録"))</f>
        <v/>
      </c>
      <c r="G85" s="11" t="n">
        <v>451.98</v>
      </c>
      <c r="H85" s="11" t="n">
        <v>206.68</v>
      </c>
      <c r="I85" s="11" t="n">
        <v>-15</v>
      </c>
      <c r="J85" s="11" t="n">
        <v>205.09</v>
      </c>
      <c r="K85" s="11" t="n">
        <v>0</v>
      </c>
      <c r="L85" s="11" t="n">
        <v>0</v>
      </c>
      <c r="M85" s="11" t="n">
        <f aca="false">SUM(G85:L85)</f>
        <v>848.75</v>
      </c>
      <c r="N85" s="11" t="n">
        <v>73.98</v>
      </c>
      <c r="O85" s="11" t="n">
        <v>36.88</v>
      </c>
      <c r="P85" s="11" t="n">
        <v>-2.4</v>
      </c>
      <c r="Q85" s="11" t="n">
        <v>36.55</v>
      </c>
      <c r="R85" s="11" t="n">
        <v>0</v>
      </c>
      <c r="S85" s="11" t="n">
        <v>0</v>
      </c>
      <c r="T85" s="11" t="n">
        <f aca="false">SUM(N85:S85)</f>
        <v>145.01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f aca="false">SUM(U85:Z85)</f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f aca="false">SUM(AB85:AG85)</f>
        <v>0</v>
      </c>
      <c r="AI85" s="12" t="s">
        <v>71</v>
      </c>
    </row>
    <row r="86" customFormat="false" ht="15" hidden="false" customHeight="false" outlineLevel="0" collapsed="false">
      <c r="A86" s="8" t="s">
        <v>230</v>
      </c>
      <c r="B86" s="12" t="s">
        <v>231</v>
      </c>
      <c r="C86" s="8" t="s">
        <v>69</v>
      </c>
      <c r="D86" s="12" t="s">
        <v>70</v>
      </c>
      <c r="E86" s="10" t="str">
        <f aca="true">IFERROR(IF(INDEX(INDIRECT("'"&amp;$AI86&amp;"'!$E$2:$E$320"),MATCH($A86,INDIRECT("'"&amp;$AI86&amp;"'!$A$2:$A$320"),0))="","",INDEX(INDIRECT("'"&amp;$AI86&amp;"'!$E$2:$E$320"),MATCH($A86,INDIRECT("'"&amp;$AI86&amp;"'!$A$2:$A$320"),0))),"")</f>
        <v/>
      </c>
      <c r="F86" s="9" t="str">
        <f aca="false">IF($E86="","",IFERROR(INDEX(担当者マスタ!$B$2:$B$101,MATCH($E86,担当者マスタ!$A$2:$A$101,0)),"※マスタ未登録"))</f>
        <v/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37.6</v>
      </c>
      <c r="L86" s="11" t="n">
        <v>0</v>
      </c>
      <c r="M86" s="11" t="n">
        <f aca="false">SUM(G86:L86)</f>
        <v>37.6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9.6</v>
      </c>
      <c r="S86" s="11" t="n">
        <v>0</v>
      </c>
      <c r="T86" s="11" t="n">
        <f aca="false">SUM(N86:S86)</f>
        <v>9.6</v>
      </c>
      <c r="U86" s="11" t="n">
        <v>37.6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f aca="false">SUM(U86:Z86)</f>
        <v>37.6</v>
      </c>
      <c r="AB86" s="11" t="n">
        <v>9.6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f aca="false">SUM(AB86:AG86)</f>
        <v>9.6</v>
      </c>
      <c r="AI86" s="12" t="s">
        <v>71</v>
      </c>
    </row>
    <row r="87" customFormat="false" ht="15" hidden="false" customHeight="false" outlineLevel="0" collapsed="false">
      <c r="A87" s="8" t="s">
        <v>232</v>
      </c>
      <c r="B87" s="9" t="s">
        <v>233</v>
      </c>
      <c r="C87" s="8" t="s">
        <v>69</v>
      </c>
      <c r="D87" s="12" t="s">
        <v>70</v>
      </c>
      <c r="E87" s="10" t="str">
        <f aca="true">IFERROR(IF(INDEX(INDIRECT("'"&amp;$AI87&amp;"'!$E$2:$E$320"),MATCH($A87,INDIRECT("'"&amp;$AI87&amp;"'!$A$2:$A$320"),0))="","",INDEX(INDIRECT("'"&amp;$AI87&amp;"'!$E$2:$E$320"),MATCH($A87,INDIRECT("'"&amp;$AI87&amp;"'!$A$2:$A$320"),0))),"")</f>
        <v/>
      </c>
      <c r="F87" s="9" t="str">
        <f aca="false">IF($E87="","",IFERROR(INDEX(担当者マスタ!$B$2:$B$101,MATCH($E87,担当者マスタ!$A$2:$A$101,0)),"※マスタ未登録"))</f>
        <v/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40</v>
      </c>
      <c r="L87" s="11" t="n">
        <v>-4</v>
      </c>
      <c r="M87" s="11" t="n">
        <f aca="false">SUM(G87:L87)</f>
        <v>36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12.8</v>
      </c>
      <c r="S87" s="11" t="n">
        <v>-4</v>
      </c>
      <c r="T87" s="11" t="n">
        <f aca="false">SUM(N87:S87)</f>
        <v>8.8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301.5</v>
      </c>
      <c r="Z87" s="11" t="n">
        <v>0</v>
      </c>
      <c r="AA87" s="11" t="n">
        <f aca="false">SUM(U87:Z87)</f>
        <v>301.5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116.4</v>
      </c>
      <c r="AG87" s="11" t="n">
        <v>0</v>
      </c>
      <c r="AH87" s="11" t="n">
        <f aca="false">SUM(AB87:AG87)</f>
        <v>116.4</v>
      </c>
      <c r="AI87" s="12" t="s">
        <v>71</v>
      </c>
    </row>
    <row r="88" customFormat="false" ht="15" hidden="false" customHeight="false" outlineLevel="0" collapsed="false">
      <c r="A88" s="8" t="s">
        <v>234</v>
      </c>
      <c r="B88" s="12" t="s">
        <v>235</v>
      </c>
      <c r="C88" s="8" t="s">
        <v>69</v>
      </c>
      <c r="D88" s="12" t="s">
        <v>70</v>
      </c>
      <c r="E88" s="10" t="str">
        <f aca="true">IFERROR(IF(INDEX(INDIRECT("'"&amp;$AI88&amp;"'!$E$2:$E$320"),MATCH($A88,INDIRECT("'"&amp;$AI88&amp;"'!$A$2:$A$320"),0))="","",INDEX(INDIRECT("'"&amp;$AI88&amp;"'!$E$2:$E$320"),MATCH($A88,INDIRECT("'"&amp;$AI88&amp;"'!$A$2:$A$320"),0))),"")</f>
        <v/>
      </c>
      <c r="F88" s="9" t="str">
        <f aca="false">IF($E88="","",IFERROR(INDEX(担当者マスタ!$B$2:$B$101,MATCH($E88,担当者マスタ!$A$2:$A$101,0)),"※マスタ未登録"))</f>
        <v/>
      </c>
      <c r="G88" s="11" t="n">
        <v>0</v>
      </c>
      <c r="H88" s="11" t="n">
        <v>0</v>
      </c>
      <c r="I88" s="11" t="n">
        <v>0</v>
      </c>
      <c r="J88" s="11" t="n">
        <v>37.6</v>
      </c>
      <c r="K88" s="11" t="n">
        <v>0</v>
      </c>
      <c r="L88" s="11" t="n">
        <v>0</v>
      </c>
      <c r="M88" s="11" t="n">
        <f aca="false">SUM(G88:L88)</f>
        <v>37.6</v>
      </c>
      <c r="N88" s="11" t="n">
        <v>0</v>
      </c>
      <c r="O88" s="11" t="n">
        <v>0</v>
      </c>
      <c r="P88" s="11" t="n">
        <v>0</v>
      </c>
      <c r="Q88" s="11" t="n">
        <v>9.6</v>
      </c>
      <c r="R88" s="11" t="n">
        <v>0</v>
      </c>
      <c r="S88" s="11" t="n">
        <v>0</v>
      </c>
      <c r="T88" s="11" t="n">
        <f aca="false">SUM(N88:S88)</f>
        <v>9.6</v>
      </c>
      <c r="U88" s="11" t="n">
        <v>0</v>
      </c>
      <c r="V88" s="11" t="n">
        <v>0</v>
      </c>
      <c r="W88" s="11" t="n">
        <v>0</v>
      </c>
      <c r="X88" s="11" t="n">
        <v>0</v>
      </c>
      <c r="Y88" s="11" t="n">
        <v>0</v>
      </c>
      <c r="Z88" s="11" t="n">
        <v>0</v>
      </c>
      <c r="AA88" s="11" t="n">
        <f aca="false">SUM(U88:Z88)</f>
        <v>0</v>
      </c>
      <c r="AB88" s="11" t="n">
        <v>0</v>
      </c>
      <c r="AC88" s="11" t="n">
        <v>0</v>
      </c>
      <c r="AD88" s="11" t="n">
        <v>0</v>
      </c>
      <c r="AE88" s="11" t="n">
        <v>0</v>
      </c>
      <c r="AF88" s="11" t="n">
        <v>0</v>
      </c>
      <c r="AG88" s="11" t="n">
        <v>0</v>
      </c>
      <c r="AH88" s="11" t="n">
        <f aca="false">SUM(AB88:AG88)</f>
        <v>0</v>
      </c>
      <c r="AI88" s="12" t="s">
        <v>71</v>
      </c>
    </row>
    <row r="89" customFormat="false" ht="15" hidden="false" customHeight="false" outlineLevel="0" collapsed="false">
      <c r="A89" s="8" t="s">
        <v>236</v>
      </c>
      <c r="B89" s="12" t="s">
        <v>237</v>
      </c>
      <c r="C89" s="8" t="s">
        <v>69</v>
      </c>
      <c r="D89" s="12" t="s">
        <v>70</v>
      </c>
      <c r="E89" s="10" t="str">
        <f aca="true">IFERROR(IF(INDEX(INDIRECT("'"&amp;$AI89&amp;"'!$E$2:$E$320"),MATCH($A89,INDIRECT("'"&amp;$AI89&amp;"'!$A$2:$A$320"),0))="","",INDEX(INDIRECT("'"&amp;$AI89&amp;"'!$E$2:$E$320"),MATCH($A89,INDIRECT("'"&amp;$AI89&amp;"'!$A$2:$A$320"),0))),"")</f>
        <v/>
      </c>
      <c r="F89" s="9" t="str">
        <f aca="false">IF($E89="","",IFERROR(INDEX(担当者マスタ!$B$2:$B$101,MATCH($E89,担当者マスタ!$A$2:$A$101,0)),"※マスタ未登録"))</f>
        <v/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f aca="false">SUM(G89:L89)</f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f aca="false">SUM(N89:S89)</f>
        <v>0</v>
      </c>
      <c r="U89" s="11" t="n">
        <v>0</v>
      </c>
      <c r="V89" s="11" t="n">
        <v>0</v>
      </c>
      <c r="W89" s="11" t="n">
        <v>0</v>
      </c>
      <c r="X89" s="11" t="n">
        <v>8.2</v>
      </c>
      <c r="Y89" s="11" t="n">
        <v>-1.23</v>
      </c>
      <c r="Z89" s="11" t="n">
        <v>0</v>
      </c>
      <c r="AA89" s="11" t="n">
        <f aca="false">SUM(U89:Z89)</f>
        <v>6.97</v>
      </c>
      <c r="AB89" s="11" t="n">
        <v>0</v>
      </c>
      <c r="AC89" s="11" t="n">
        <v>0</v>
      </c>
      <c r="AD89" s="11" t="n">
        <v>0</v>
      </c>
      <c r="AE89" s="11" t="n">
        <v>2.36</v>
      </c>
      <c r="AF89" s="11" t="n">
        <v>-1.23</v>
      </c>
      <c r="AG89" s="11" t="n">
        <v>0</v>
      </c>
      <c r="AH89" s="11" t="n">
        <f aca="false">SUM(AB89:AG89)</f>
        <v>1.13</v>
      </c>
      <c r="AI89" s="12" t="s">
        <v>71</v>
      </c>
    </row>
    <row r="90" customFormat="false" ht="15" hidden="false" customHeight="false" outlineLevel="0" collapsed="false">
      <c r="A90" s="8" t="s">
        <v>238</v>
      </c>
      <c r="B90" s="12" t="s">
        <v>239</v>
      </c>
      <c r="C90" s="8" t="s">
        <v>69</v>
      </c>
      <c r="D90" s="12" t="s">
        <v>70</v>
      </c>
      <c r="E90" s="10" t="str">
        <f aca="true">IFERROR(IF(INDEX(INDIRECT("'"&amp;$AI90&amp;"'!$E$2:$E$320"),MATCH($A90,INDIRECT("'"&amp;$AI90&amp;"'!$A$2:$A$320"),0))="","",INDEX(INDIRECT("'"&amp;$AI90&amp;"'!$E$2:$E$320"),MATCH($A90,INDIRECT("'"&amp;$AI90&amp;"'!$A$2:$A$320"),0))),"")</f>
        <v/>
      </c>
      <c r="F90" s="9" t="str">
        <f aca="false">IF($E90="","",IFERROR(INDEX(担当者マスタ!$B$2:$B$101,MATCH($E90,担当者マスタ!$A$2:$A$101,0)),"※マスタ未登録"))</f>
        <v/>
      </c>
      <c r="G90" s="11" t="n">
        <v>5776.578</v>
      </c>
      <c r="H90" s="11" t="n">
        <v>6327.964</v>
      </c>
      <c r="I90" s="11" t="n">
        <v>6314.414</v>
      </c>
      <c r="J90" s="11" t="n">
        <v>4266.138</v>
      </c>
      <c r="K90" s="11" t="n">
        <v>5024.683</v>
      </c>
      <c r="L90" s="11" t="n">
        <v>6428.633</v>
      </c>
      <c r="M90" s="11" t="n">
        <f aca="false">SUM(G90:L90)</f>
        <v>34138.41</v>
      </c>
      <c r="N90" s="11" t="n">
        <v>1440.525</v>
      </c>
      <c r="O90" s="11" t="n">
        <v>1630.464</v>
      </c>
      <c r="P90" s="11" t="n">
        <v>1543.187</v>
      </c>
      <c r="Q90" s="11" t="n">
        <v>1075.99</v>
      </c>
      <c r="R90" s="11" t="n">
        <v>1294.011</v>
      </c>
      <c r="S90" s="11" t="n">
        <v>1427.213</v>
      </c>
      <c r="T90" s="11" t="n">
        <f aca="false">SUM(N90:S90)</f>
        <v>8411.39</v>
      </c>
      <c r="U90" s="11" t="n">
        <v>6871.336</v>
      </c>
      <c r="V90" s="11" t="n">
        <v>6237.87</v>
      </c>
      <c r="W90" s="11" t="n">
        <v>6749.951</v>
      </c>
      <c r="X90" s="11" t="n">
        <v>4028.505</v>
      </c>
      <c r="Y90" s="11" t="n">
        <v>4671.203</v>
      </c>
      <c r="Z90" s="11" t="n">
        <v>5212.589</v>
      </c>
      <c r="AA90" s="11" t="n">
        <f aca="false">SUM(U90:Z90)</f>
        <v>33771.454</v>
      </c>
      <c r="AB90" s="11" t="n">
        <v>1814.534</v>
      </c>
      <c r="AC90" s="11" t="n">
        <v>1625.324</v>
      </c>
      <c r="AD90" s="11" t="n">
        <v>1780.333</v>
      </c>
      <c r="AE90" s="11" t="n">
        <v>1072.106</v>
      </c>
      <c r="AF90" s="11" t="n">
        <v>1236.492</v>
      </c>
      <c r="AG90" s="11" t="n">
        <v>1391.321</v>
      </c>
      <c r="AH90" s="11" t="n">
        <f aca="false">SUM(AB90:AG90)</f>
        <v>8920.11</v>
      </c>
      <c r="AI90" s="12" t="s">
        <v>71</v>
      </c>
    </row>
    <row r="91" customFormat="false" ht="15" hidden="false" customHeight="false" outlineLevel="0" collapsed="false">
      <c r="A91" s="8" t="s">
        <v>240</v>
      </c>
      <c r="B91" s="12" t="s">
        <v>241</v>
      </c>
      <c r="C91" s="8" t="s">
        <v>69</v>
      </c>
      <c r="D91" s="12" t="s">
        <v>70</v>
      </c>
      <c r="E91" s="10" t="str">
        <f aca="true">IFERROR(IF(INDEX(INDIRECT("'"&amp;$AI91&amp;"'!$E$2:$E$320"),MATCH($A91,INDIRECT("'"&amp;$AI91&amp;"'!$A$2:$A$320"),0))="","",INDEX(INDIRECT("'"&amp;$AI91&amp;"'!$E$2:$E$320"),MATCH($A91,INDIRECT("'"&amp;$AI91&amp;"'!$A$2:$A$320"),0))),"")</f>
        <v/>
      </c>
      <c r="F91" s="9" t="str">
        <f aca="false">IF($E91="","",IFERROR(INDEX(担当者マスタ!$B$2:$B$101,MATCH($E91,担当者マスタ!$A$2:$A$101,0)),"※マスタ未登録"))</f>
        <v/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150.036</v>
      </c>
      <c r="M91" s="11" t="n">
        <f aca="false">SUM(G91:L91)</f>
        <v>150.036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48.501</v>
      </c>
      <c r="T91" s="11" t="n">
        <f aca="false">SUM(N91:S91)</f>
        <v>48.501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f aca="false">SUM(U91:Z91)</f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f aca="false">SUM(AB91:AG91)</f>
        <v>0</v>
      </c>
      <c r="AI91" s="12" t="s">
        <v>71</v>
      </c>
    </row>
    <row r="92" customFormat="false" ht="15" hidden="false" customHeight="false" outlineLevel="0" collapsed="false">
      <c r="A92" s="8" t="s">
        <v>242</v>
      </c>
      <c r="B92" s="12" t="s">
        <v>243</v>
      </c>
      <c r="C92" s="8" t="s">
        <v>69</v>
      </c>
      <c r="D92" s="12" t="s">
        <v>70</v>
      </c>
      <c r="E92" s="10" t="str">
        <f aca="true">IFERROR(IF(INDEX(INDIRECT("'"&amp;$AI92&amp;"'!$E$2:$E$320"),MATCH($A92,INDIRECT("'"&amp;$AI92&amp;"'!$A$2:$A$320"),0))="","",INDEX(INDIRECT("'"&amp;$AI92&amp;"'!$E$2:$E$320"),MATCH($A92,INDIRECT("'"&amp;$AI92&amp;"'!$A$2:$A$320"),0))),"")</f>
        <v/>
      </c>
      <c r="F92" s="9" t="str">
        <f aca="false">IF($E92="","",IFERROR(INDEX(担当者マスタ!$B$2:$B$101,MATCH($E92,担当者マスタ!$A$2:$A$101,0)),"※マスタ未登録"))</f>
        <v/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f aca="false">SUM(G92:L92)</f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f aca="false">SUM(N92:S92)</f>
        <v>0</v>
      </c>
      <c r="U92" s="11" t="n">
        <v>27</v>
      </c>
      <c r="V92" s="11" t="n">
        <v>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f aca="false">SUM(U92:Z92)</f>
        <v>27</v>
      </c>
      <c r="AB92" s="11" t="n">
        <v>5.5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n">
        <f aca="false">SUM(AB92:AG92)</f>
        <v>5.5</v>
      </c>
      <c r="AI92" s="12" t="s">
        <v>71</v>
      </c>
    </row>
    <row r="93" customFormat="false" ht="15" hidden="false" customHeight="false" outlineLevel="0" collapsed="false">
      <c r="A93" s="8" t="s">
        <v>244</v>
      </c>
      <c r="B93" s="12" t="s">
        <v>245</v>
      </c>
      <c r="C93" s="8" t="s">
        <v>69</v>
      </c>
      <c r="D93" s="12" t="s">
        <v>70</v>
      </c>
      <c r="E93" s="10" t="str">
        <f aca="true">IFERROR(IF(INDEX(INDIRECT("'"&amp;$AI93&amp;"'!$E$2:$E$320"),MATCH($A93,INDIRECT("'"&amp;$AI93&amp;"'!$A$2:$A$320"),0))="","",INDEX(INDIRECT("'"&amp;$AI93&amp;"'!$E$2:$E$320"),MATCH($A93,INDIRECT("'"&amp;$AI93&amp;"'!$A$2:$A$320"),0))),"")</f>
        <v/>
      </c>
      <c r="F93" s="9" t="str">
        <f aca="false">IF($E93="","",IFERROR(INDEX(担当者マスタ!$B$2:$B$101,MATCH($E93,担当者マスタ!$A$2:$A$101,0)),"※マスタ未登録"))</f>
        <v/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f aca="false">SUM(G93:L93)</f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f aca="false">SUM(N93:S93)</f>
        <v>0</v>
      </c>
      <c r="U93" s="11" t="n">
        <v>3406.375</v>
      </c>
      <c r="V93" s="11" t="n">
        <v>3292.784</v>
      </c>
      <c r="W93" s="11" t="n">
        <v>3990.656</v>
      </c>
      <c r="X93" s="11" t="n">
        <v>3201.592</v>
      </c>
      <c r="Y93" s="11" t="n">
        <v>4098.481</v>
      </c>
      <c r="Z93" s="11" t="n">
        <v>1684.294</v>
      </c>
      <c r="AA93" s="11" t="n">
        <f aca="false">SUM(U93:Z93)</f>
        <v>19674.182</v>
      </c>
      <c r="AB93" s="11" t="n">
        <v>494.516</v>
      </c>
      <c r="AC93" s="11" t="n">
        <v>465.504</v>
      </c>
      <c r="AD93" s="11" t="n">
        <v>570.07</v>
      </c>
      <c r="AE93" s="11" t="n">
        <v>442.162</v>
      </c>
      <c r="AF93" s="11" t="n">
        <v>418.595</v>
      </c>
      <c r="AG93" s="11" t="n">
        <v>233.688</v>
      </c>
      <c r="AH93" s="11" t="n">
        <f aca="false">SUM(AB93:AG93)</f>
        <v>2624.535</v>
      </c>
      <c r="AI93" s="12" t="s">
        <v>71</v>
      </c>
    </row>
    <row r="94" customFormat="false" ht="15" hidden="false" customHeight="false" outlineLevel="0" collapsed="false">
      <c r="A94" s="8" t="s">
        <v>246</v>
      </c>
      <c r="B94" s="12" t="s">
        <v>247</v>
      </c>
      <c r="C94" s="8" t="s">
        <v>69</v>
      </c>
      <c r="D94" s="12" t="s">
        <v>70</v>
      </c>
      <c r="E94" s="10" t="str">
        <f aca="true">IFERROR(IF(INDEX(INDIRECT("'"&amp;$AI94&amp;"'!$E$2:$E$320"),MATCH($A94,INDIRECT("'"&amp;$AI94&amp;"'!$A$2:$A$320"),0))="","",INDEX(INDIRECT("'"&amp;$AI94&amp;"'!$E$2:$E$320"),MATCH($A94,INDIRECT("'"&amp;$AI94&amp;"'!$A$2:$A$320"),0))),"")</f>
        <v/>
      </c>
      <c r="F94" s="9" t="str">
        <f aca="false">IF($E94="","",IFERROR(INDEX(担当者マスタ!$B$2:$B$101,MATCH($E94,担当者マスタ!$A$2:$A$101,0)),"※マスタ未登録"))</f>
        <v/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f aca="false">SUM(G94:L94)</f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f aca="false">SUM(N94:S94)</f>
        <v>0</v>
      </c>
      <c r="U94" s="11" t="n">
        <v>0</v>
      </c>
      <c r="V94" s="11" t="n">
        <v>26.518</v>
      </c>
      <c r="W94" s="11" t="n">
        <v>0</v>
      </c>
      <c r="X94" s="11" t="n">
        <v>26.522</v>
      </c>
      <c r="Y94" s="11" t="n">
        <v>0</v>
      </c>
      <c r="Z94" s="11" t="n">
        <v>0</v>
      </c>
      <c r="AA94" s="11" t="n">
        <f aca="false">SUM(U94:Z94)</f>
        <v>53.04</v>
      </c>
      <c r="AB94" s="11" t="n">
        <v>0</v>
      </c>
      <c r="AC94" s="11" t="n">
        <v>5.513</v>
      </c>
      <c r="AD94" s="11" t="n">
        <v>0</v>
      </c>
      <c r="AE94" s="11" t="n">
        <v>5.515</v>
      </c>
      <c r="AF94" s="11" t="n">
        <v>0</v>
      </c>
      <c r="AG94" s="11" t="n">
        <v>0</v>
      </c>
      <c r="AH94" s="11" t="n">
        <f aca="false">SUM(AB94:AG94)</f>
        <v>11.028</v>
      </c>
      <c r="AI94" s="12" t="s">
        <v>71</v>
      </c>
    </row>
    <row r="95" customFormat="false" ht="15" hidden="false" customHeight="false" outlineLevel="0" collapsed="false">
      <c r="A95" s="8" t="s">
        <v>248</v>
      </c>
      <c r="B95" s="12" t="s">
        <v>249</v>
      </c>
      <c r="C95" s="8" t="s">
        <v>69</v>
      </c>
      <c r="D95" s="12" t="s">
        <v>70</v>
      </c>
      <c r="E95" s="10" t="str">
        <f aca="true">IFERROR(IF(INDEX(INDIRECT("'"&amp;$AI95&amp;"'!$E$2:$E$320"),MATCH($A95,INDIRECT("'"&amp;$AI95&amp;"'!$A$2:$A$320"),0))="","",INDEX(INDIRECT("'"&amp;$AI95&amp;"'!$E$2:$E$320"),MATCH($A95,INDIRECT("'"&amp;$AI95&amp;"'!$A$2:$A$320"),0))),"")</f>
        <v/>
      </c>
      <c r="F95" s="9" t="str">
        <f aca="false">IF($E95="","",IFERROR(INDEX(担当者マスタ!$B$2:$B$101,MATCH($E95,担当者マスタ!$A$2:$A$101,0)),"※マスタ未登録"))</f>
        <v/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f aca="false">SUM(G95:L95)</f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f aca="false">SUM(N95:S95)</f>
        <v>0</v>
      </c>
      <c r="U95" s="11" t="n">
        <v>0</v>
      </c>
      <c r="V95" s="11" t="n">
        <v>0</v>
      </c>
      <c r="W95" s="11" t="n">
        <v>0</v>
      </c>
      <c r="X95" s="11" t="n">
        <v>42.5</v>
      </c>
      <c r="Y95" s="11" t="n">
        <v>0</v>
      </c>
      <c r="Z95" s="11" t="n">
        <v>0</v>
      </c>
      <c r="AA95" s="11" t="n">
        <f aca="false">SUM(U95:Z95)</f>
        <v>42.5</v>
      </c>
      <c r="AB95" s="11" t="n">
        <v>0</v>
      </c>
      <c r="AC95" s="11" t="n">
        <v>0</v>
      </c>
      <c r="AD95" s="11" t="n">
        <v>0</v>
      </c>
      <c r="AE95" s="11" t="n">
        <v>13.2</v>
      </c>
      <c r="AF95" s="11" t="n">
        <v>0</v>
      </c>
      <c r="AG95" s="11" t="n">
        <v>0</v>
      </c>
      <c r="AH95" s="11" t="n">
        <f aca="false">SUM(AB95:AG95)</f>
        <v>13.2</v>
      </c>
      <c r="AI95" s="12" t="s">
        <v>71</v>
      </c>
    </row>
    <row r="96" customFormat="false" ht="15" hidden="false" customHeight="false" outlineLevel="0" collapsed="false">
      <c r="A96" s="8" t="s">
        <v>250</v>
      </c>
      <c r="B96" s="12" t="s">
        <v>251</v>
      </c>
      <c r="C96" s="8" t="s">
        <v>69</v>
      </c>
      <c r="D96" s="12" t="s">
        <v>70</v>
      </c>
      <c r="E96" s="10" t="str">
        <f aca="true">IFERROR(IF(INDEX(INDIRECT("'"&amp;$AI96&amp;"'!$E$2:$E$320"),MATCH($A96,INDIRECT("'"&amp;$AI96&amp;"'!$A$2:$A$320"),0))="","",INDEX(INDIRECT("'"&amp;$AI96&amp;"'!$E$2:$E$320"),MATCH($A96,INDIRECT("'"&amp;$AI96&amp;"'!$A$2:$A$320"),0))),"")</f>
        <v/>
      </c>
      <c r="F96" s="9" t="str">
        <f aca="false">IF($E96="","",IFERROR(INDEX(担当者マスタ!$B$2:$B$101,MATCH($E96,担当者マスタ!$A$2:$A$101,0)),"※マスタ未登録"))</f>
        <v/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f aca="false">SUM(G96:L96)</f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f aca="false">SUM(N96:S96)</f>
        <v>0</v>
      </c>
      <c r="U96" s="11" t="n">
        <v>0</v>
      </c>
      <c r="V96" s="11" t="n">
        <v>1.42</v>
      </c>
      <c r="W96" s="11" t="n">
        <v>0</v>
      </c>
      <c r="X96" s="11" t="n">
        <v>2.84</v>
      </c>
      <c r="Y96" s="11" t="n">
        <v>0</v>
      </c>
      <c r="Z96" s="11" t="n">
        <v>0</v>
      </c>
      <c r="AA96" s="11" t="n">
        <f aca="false">SUM(U96:Z96)</f>
        <v>4.26</v>
      </c>
      <c r="AB96" s="11" t="n">
        <v>0</v>
      </c>
      <c r="AC96" s="11" t="n">
        <v>0.124</v>
      </c>
      <c r="AD96" s="11" t="n">
        <v>0</v>
      </c>
      <c r="AE96" s="11" t="n">
        <v>0.248</v>
      </c>
      <c r="AF96" s="11" t="n">
        <v>0</v>
      </c>
      <c r="AG96" s="11" t="n">
        <v>0</v>
      </c>
      <c r="AH96" s="11" t="n">
        <f aca="false">SUM(AB96:AG96)</f>
        <v>0.372</v>
      </c>
      <c r="AI96" s="12" t="s">
        <v>71</v>
      </c>
    </row>
    <row r="97" customFormat="false" ht="15" hidden="false" customHeight="false" outlineLevel="0" collapsed="false">
      <c r="A97" s="8" t="s">
        <v>252</v>
      </c>
      <c r="B97" s="12" t="s">
        <v>253</v>
      </c>
      <c r="C97" s="8" t="s">
        <v>69</v>
      </c>
      <c r="D97" s="12" t="s">
        <v>70</v>
      </c>
      <c r="E97" s="10" t="str">
        <f aca="true">IFERROR(IF(INDEX(INDIRECT("'"&amp;$AI97&amp;"'!$E$2:$E$320"),MATCH($A97,INDIRECT("'"&amp;$AI97&amp;"'!$A$2:$A$320"),0))="","",INDEX(INDIRECT("'"&amp;$AI97&amp;"'!$E$2:$E$320"),MATCH($A97,INDIRECT("'"&amp;$AI97&amp;"'!$A$2:$A$320"),0))),"")</f>
        <v/>
      </c>
      <c r="F97" s="9" t="str">
        <f aca="false">IF($E97="","",IFERROR(INDEX(担当者マスタ!$B$2:$B$101,MATCH($E97,担当者マスタ!$A$2:$A$101,0)),"※マスタ未登録"))</f>
        <v/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f aca="false">SUM(G97:L97)</f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f aca="false">SUM(N97:S97)</f>
        <v>0</v>
      </c>
      <c r="U97" s="11" t="n">
        <v>0</v>
      </c>
      <c r="V97" s="11" t="n">
        <v>0</v>
      </c>
      <c r="W97" s="11" t="n">
        <v>310.1</v>
      </c>
      <c r="X97" s="11" t="n">
        <v>0</v>
      </c>
      <c r="Y97" s="11" t="n">
        <v>0</v>
      </c>
      <c r="Z97" s="11" t="n">
        <v>0</v>
      </c>
      <c r="AA97" s="11" t="n">
        <f aca="false">SUM(U97:Z97)</f>
        <v>310.1</v>
      </c>
      <c r="AB97" s="11" t="n">
        <v>0</v>
      </c>
      <c r="AC97" s="11" t="n">
        <v>0</v>
      </c>
      <c r="AD97" s="11" t="n">
        <v>60.723</v>
      </c>
      <c r="AE97" s="11" t="n">
        <v>0</v>
      </c>
      <c r="AF97" s="11" t="n">
        <v>0</v>
      </c>
      <c r="AG97" s="11" t="n">
        <v>0</v>
      </c>
      <c r="AH97" s="11" t="n">
        <f aca="false">SUM(AB97:AG97)</f>
        <v>60.723</v>
      </c>
      <c r="AI97" s="12" t="s">
        <v>71</v>
      </c>
    </row>
    <row r="98" customFormat="false" ht="15" hidden="false" customHeight="false" outlineLevel="0" collapsed="false">
      <c r="A98" s="8" t="s">
        <v>254</v>
      </c>
      <c r="B98" s="12" t="s">
        <v>255</v>
      </c>
      <c r="C98" s="8" t="s">
        <v>69</v>
      </c>
      <c r="D98" s="12" t="s">
        <v>70</v>
      </c>
      <c r="E98" s="10" t="str">
        <f aca="true">IFERROR(IF(INDEX(INDIRECT("'"&amp;$AI98&amp;"'!$E$2:$E$320"),MATCH($A98,INDIRECT("'"&amp;$AI98&amp;"'!$A$2:$A$320"),0))="","",INDEX(INDIRECT("'"&amp;$AI98&amp;"'!$E$2:$E$320"),MATCH($A98,INDIRECT("'"&amp;$AI98&amp;"'!$A$2:$A$320"),0))),"")</f>
        <v/>
      </c>
      <c r="F98" s="9" t="str">
        <f aca="false">IF($E98="","",IFERROR(INDEX(担当者マスタ!$B$2:$B$101,MATCH($E98,担当者マスタ!$A$2:$A$101,0)),"※マスタ未登録"))</f>
        <v/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f aca="false">SUM(G98:L98)</f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f aca="false">SUM(N98:S98)</f>
        <v>0</v>
      </c>
      <c r="U98" s="11" t="n">
        <v>23.6</v>
      </c>
      <c r="V98" s="11" t="n">
        <v>0</v>
      </c>
      <c r="W98" s="11" t="n">
        <v>0</v>
      </c>
      <c r="X98" s="11" t="n">
        <v>0</v>
      </c>
      <c r="Y98" s="11" t="n">
        <v>11.8</v>
      </c>
      <c r="Z98" s="11" t="n">
        <v>0</v>
      </c>
      <c r="AA98" s="11" t="n">
        <f aca="false">SUM(U98:Z98)</f>
        <v>35.4</v>
      </c>
      <c r="AB98" s="11" t="n">
        <v>3.498</v>
      </c>
      <c r="AC98" s="11" t="n">
        <v>0</v>
      </c>
      <c r="AD98" s="11" t="n">
        <v>0</v>
      </c>
      <c r="AE98" s="11" t="n">
        <v>0</v>
      </c>
      <c r="AF98" s="11" t="n">
        <v>1.749</v>
      </c>
      <c r="AG98" s="11" t="n">
        <v>0</v>
      </c>
      <c r="AH98" s="11" t="n">
        <f aca="false">SUM(AB98:AG98)</f>
        <v>5.247</v>
      </c>
      <c r="AI98" s="12" t="s">
        <v>71</v>
      </c>
    </row>
    <row r="99" customFormat="false" ht="15" hidden="false" customHeight="false" outlineLevel="0" collapsed="false">
      <c r="A99" s="8" t="s">
        <v>256</v>
      </c>
      <c r="B99" s="12" t="s">
        <v>257</v>
      </c>
      <c r="C99" s="8" t="s">
        <v>69</v>
      </c>
      <c r="D99" s="12" t="s">
        <v>70</v>
      </c>
      <c r="E99" s="10" t="str">
        <f aca="true">IFERROR(IF(INDEX(INDIRECT("'"&amp;$AI99&amp;"'!$E$2:$E$320"),MATCH($A99,INDIRECT("'"&amp;$AI99&amp;"'!$A$2:$A$320"),0))="","",INDEX(INDIRECT("'"&amp;$AI99&amp;"'!$E$2:$E$320"),MATCH($A99,INDIRECT("'"&amp;$AI99&amp;"'!$A$2:$A$320"),0))),"")</f>
        <v/>
      </c>
      <c r="F99" s="9" t="str">
        <f aca="false">IF($E99="","",IFERROR(INDEX(担当者マスタ!$B$2:$B$101,MATCH($E99,担当者マスタ!$A$2:$A$101,0)),"※マスタ未登録"))</f>
        <v/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f aca="false">SUM(G99:L99)</f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f aca="false">SUM(N99:S99)</f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292.2</v>
      </c>
      <c r="Z99" s="11" t="n">
        <v>10</v>
      </c>
      <c r="AA99" s="11" t="n">
        <f aca="false">SUM(U99:Z99)</f>
        <v>302.2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59.2</v>
      </c>
      <c r="AG99" s="11" t="n">
        <v>1.6</v>
      </c>
      <c r="AH99" s="11" t="n">
        <f aca="false">SUM(AB99:AG99)</f>
        <v>60.8</v>
      </c>
      <c r="AI99" s="12" t="s">
        <v>71</v>
      </c>
    </row>
    <row r="100" customFormat="false" ht="15" hidden="false" customHeight="false" outlineLevel="0" collapsed="false">
      <c r="A100" s="8" t="s">
        <v>258</v>
      </c>
      <c r="B100" s="12" t="s">
        <v>259</v>
      </c>
      <c r="C100" s="8" t="s">
        <v>69</v>
      </c>
      <c r="D100" s="12" t="s">
        <v>70</v>
      </c>
      <c r="E100" s="10" t="str">
        <f aca="true">IFERROR(IF(INDEX(INDIRECT("'"&amp;$AI100&amp;"'!$E$2:$E$320"),MATCH($A100,INDIRECT("'"&amp;$AI100&amp;"'!$A$2:$A$320"),0))="","",INDEX(INDIRECT("'"&amp;$AI100&amp;"'!$E$2:$E$320"),MATCH($A100,INDIRECT("'"&amp;$AI100&amp;"'!$A$2:$A$320"),0))),"")</f>
        <v/>
      </c>
      <c r="F100" s="9" t="str">
        <f aca="false">IF($E100="","",IFERROR(INDEX(担当者マスタ!$B$2:$B$101,MATCH($E100,担当者マスタ!$A$2:$A$101,0)),"※マスタ未登録"))</f>
        <v/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f aca="false">SUM(G100:L100)</f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f aca="false">SUM(N100:S100)</f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1735.31</v>
      </c>
      <c r="Z100" s="11" t="n">
        <v>0</v>
      </c>
      <c r="AA100" s="11" t="n">
        <f aca="false">SUM(U100:Z100)</f>
        <v>1735.31</v>
      </c>
      <c r="AB100" s="11" t="n">
        <v>0</v>
      </c>
      <c r="AC100" s="11" t="n">
        <v>0</v>
      </c>
      <c r="AD100" s="11" t="n">
        <v>0</v>
      </c>
      <c r="AE100" s="11" t="n">
        <v>0</v>
      </c>
      <c r="AF100" s="11" t="n">
        <v>236.86</v>
      </c>
      <c r="AG100" s="11" t="n">
        <v>0</v>
      </c>
      <c r="AH100" s="11" t="n">
        <f aca="false">SUM(AB100:AG100)</f>
        <v>236.86</v>
      </c>
      <c r="AI100" s="12" t="s">
        <v>71</v>
      </c>
    </row>
    <row r="101" customFormat="false" ht="15" hidden="false" customHeight="false" outlineLevel="0" collapsed="false">
      <c r="A101" s="8" t="s">
        <v>260</v>
      </c>
      <c r="B101" s="12" t="s">
        <v>261</v>
      </c>
      <c r="C101" s="8" t="s">
        <v>262</v>
      </c>
      <c r="D101" s="12" t="s">
        <v>263</v>
      </c>
      <c r="E101" s="10" t="str">
        <f aca="true">IFERROR(IF(INDEX(INDIRECT("'"&amp;$AI101&amp;"'!$E$2:$E$320"),MATCH($A101,INDIRECT("'"&amp;$AI101&amp;"'!$A$2:$A$320"),0))="","",INDEX(INDIRECT("'"&amp;$AI101&amp;"'!$E$2:$E$320"),MATCH($A101,INDIRECT("'"&amp;$AI101&amp;"'!$A$2:$A$320"),0))),"")</f>
        <v/>
      </c>
      <c r="F101" s="9" t="str">
        <f aca="false">IF($E101="","",IFERROR(INDEX(担当者マスタ!$B$2:$B$101,MATCH($E101,担当者マスタ!$A$2:$A$101,0)),"※マスタ未登録"))</f>
        <v/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f aca="false">SUM(G101:L101)</f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f aca="false">SUM(N101:S101)</f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131.85</v>
      </c>
      <c r="AA101" s="11" t="n">
        <f aca="false">SUM(U101:Z101)</f>
        <v>131.85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37.8</v>
      </c>
      <c r="AH101" s="11" t="n">
        <f aca="false">SUM(AB101:AG101)</f>
        <v>37.8</v>
      </c>
      <c r="AI101" s="12" t="s">
        <v>71</v>
      </c>
    </row>
    <row r="102" customFormat="false" ht="15" hidden="false" customHeight="false" outlineLevel="0" collapsed="false">
      <c r="A102" s="8" t="s">
        <v>264</v>
      </c>
      <c r="B102" s="12" t="s">
        <v>265</v>
      </c>
      <c r="C102" s="8" t="s">
        <v>262</v>
      </c>
      <c r="D102" s="12" t="s">
        <v>263</v>
      </c>
      <c r="E102" s="10" t="str">
        <f aca="true">IFERROR(IF(INDEX(INDIRECT("'"&amp;$AI102&amp;"'!$E$2:$E$320"),MATCH($A102,INDIRECT("'"&amp;$AI102&amp;"'!$A$2:$A$320"),0))="","",INDEX(INDIRECT("'"&amp;$AI102&amp;"'!$E$2:$E$320"),MATCH($A102,INDIRECT("'"&amp;$AI102&amp;"'!$A$2:$A$320"),0))),"")</f>
        <v/>
      </c>
      <c r="F102" s="9" t="str">
        <f aca="false">IF($E102="","",IFERROR(INDEX(担当者マスタ!$B$2:$B$101,MATCH($E102,担当者マスタ!$A$2:$A$101,0)),"※マスタ未登録"))</f>
        <v/>
      </c>
      <c r="G102" s="11" t="n">
        <v>19.372</v>
      </c>
      <c r="H102" s="11" t="n">
        <v>3.6</v>
      </c>
      <c r="I102" s="11" t="n">
        <v>0</v>
      </c>
      <c r="J102" s="11" t="n">
        <v>0</v>
      </c>
      <c r="K102" s="11" t="n">
        <v>0</v>
      </c>
      <c r="L102" s="11" t="n">
        <v>1.98</v>
      </c>
      <c r="M102" s="11" t="n">
        <f aca="false">SUM(G102:L102)</f>
        <v>24.952</v>
      </c>
      <c r="N102" s="11" t="n">
        <v>7.039</v>
      </c>
      <c r="O102" s="11" t="n">
        <v>1.4</v>
      </c>
      <c r="P102" s="11" t="n">
        <v>0</v>
      </c>
      <c r="Q102" s="11" t="n">
        <v>0</v>
      </c>
      <c r="R102" s="11" t="n">
        <v>0</v>
      </c>
      <c r="S102" s="11" t="n">
        <v>0.737</v>
      </c>
      <c r="T102" s="11" t="n">
        <f aca="false">SUM(N102:S102)</f>
        <v>9.176</v>
      </c>
      <c r="U102" s="11" t="n">
        <v>0</v>
      </c>
      <c r="V102" s="11" t="n">
        <v>5.91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f aca="false">SUM(U102:Z102)</f>
        <v>5.91</v>
      </c>
      <c r="AB102" s="11" t="n">
        <v>0</v>
      </c>
      <c r="AC102" s="11" t="n">
        <v>1.564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f aca="false">SUM(AB102:AG102)</f>
        <v>1.564</v>
      </c>
      <c r="AI102" s="12" t="s">
        <v>71</v>
      </c>
    </row>
    <row r="103" customFormat="false" ht="15" hidden="false" customHeight="false" outlineLevel="0" collapsed="false">
      <c r="A103" s="8" t="s">
        <v>266</v>
      </c>
      <c r="B103" s="12" t="s">
        <v>267</v>
      </c>
      <c r="C103" s="8" t="s">
        <v>262</v>
      </c>
      <c r="D103" s="12" t="s">
        <v>263</v>
      </c>
      <c r="E103" s="10" t="str">
        <f aca="true">IFERROR(IF(INDEX(INDIRECT("'"&amp;$AI103&amp;"'!$E$2:$E$320"),MATCH($A103,INDIRECT("'"&amp;$AI103&amp;"'!$A$2:$A$320"),0))="","",INDEX(INDIRECT("'"&amp;$AI103&amp;"'!$E$2:$E$320"),MATCH($A103,INDIRECT("'"&amp;$AI103&amp;"'!$A$2:$A$320"),0))),"")</f>
        <v/>
      </c>
      <c r="F103" s="9" t="str">
        <f aca="false">IF($E103="","",IFERROR(INDEX(担当者マスタ!$B$2:$B$101,MATCH($E103,担当者マスタ!$A$2:$A$101,0)),"※マスタ未登録"))</f>
        <v/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f aca="false">SUM(G103:L103)</f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f aca="false">SUM(N103:S103)</f>
        <v>0</v>
      </c>
      <c r="U103" s="11" t="n">
        <v>0</v>
      </c>
      <c r="V103" s="11" t="n">
        <v>0</v>
      </c>
      <c r="W103" s="11" t="n">
        <v>250</v>
      </c>
      <c r="X103" s="11" t="n">
        <v>0</v>
      </c>
      <c r="Y103" s="11" t="n">
        <v>0</v>
      </c>
      <c r="Z103" s="11" t="n">
        <v>0</v>
      </c>
      <c r="AA103" s="11" t="n">
        <f aca="false">SUM(U103:Z103)</f>
        <v>250</v>
      </c>
      <c r="AB103" s="11" t="n">
        <v>0</v>
      </c>
      <c r="AC103" s="11" t="n">
        <v>0</v>
      </c>
      <c r="AD103" s="11" t="n">
        <v>63</v>
      </c>
      <c r="AE103" s="11" t="n">
        <v>0</v>
      </c>
      <c r="AF103" s="11" t="n">
        <v>0</v>
      </c>
      <c r="AG103" s="11" t="n">
        <v>0</v>
      </c>
      <c r="AH103" s="11" t="n">
        <f aca="false">SUM(AB103:AG103)</f>
        <v>63</v>
      </c>
      <c r="AI103" s="12" t="s">
        <v>71</v>
      </c>
    </row>
    <row r="104" customFormat="false" ht="15" hidden="false" customHeight="false" outlineLevel="0" collapsed="false">
      <c r="A104" s="8" t="s">
        <v>268</v>
      </c>
      <c r="B104" s="12" t="s">
        <v>269</v>
      </c>
      <c r="C104" s="8" t="s">
        <v>262</v>
      </c>
      <c r="D104" s="12" t="s">
        <v>263</v>
      </c>
      <c r="E104" s="10" t="str">
        <f aca="true">IFERROR(IF(INDEX(INDIRECT("'"&amp;$AI104&amp;"'!$E$2:$E$320"),MATCH($A104,INDIRECT("'"&amp;$AI104&amp;"'!$A$2:$A$320"),0))="","",INDEX(INDIRECT("'"&amp;$AI104&amp;"'!$E$2:$E$320"),MATCH($A104,INDIRECT("'"&amp;$AI104&amp;"'!$A$2:$A$320"),0))),"")</f>
        <v/>
      </c>
      <c r="F104" s="9" t="str">
        <f aca="false">IF($E104="","",IFERROR(INDEX(担当者マスタ!$B$2:$B$101,MATCH($E104,担当者マスタ!$A$2:$A$101,0)),"※マスタ未登録"))</f>
        <v/>
      </c>
      <c r="G104" s="11" t="n">
        <v>0</v>
      </c>
      <c r="H104" s="11" t="n">
        <v>68.22</v>
      </c>
      <c r="I104" s="11" t="n">
        <v>0</v>
      </c>
      <c r="J104" s="11" t="n">
        <v>38.4</v>
      </c>
      <c r="K104" s="11" t="n">
        <v>0</v>
      </c>
      <c r="L104" s="11" t="n">
        <v>0</v>
      </c>
      <c r="M104" s="11" t="n">
        <f aca="false">SUM(G104:L104)</f>
        <v>106.62</v>
      </c>
      <c r="N104" s="11" t="n">
        <v>0</v>
      </c>
      <c r="O104" s="11" t="n">
        <v>18.34</v>
      </c>
      <c r="P104" s="11" t="n">
        <v>0</v>
      </c>
      <c r="Q104" s="11" t="n">
        <v>14.24</v>
      </c>
      <c r="R104" s="11" t="n">
        <v>0</v>
      </c>
      <c r="S104" s="11" t="n">
        <v>0</v>
      </c>
      <c r="T104" s="11" t="n">
        <f aca="false">SUM(N104:S104)</f>
        <v>32.58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14.352</v>
      </c>
      <c r="Z104" s="11" t="n">
        <v>0</v>
      </c>
      <c r="AA104" s="11" t="n">
        <f aca="false">SUM(U104:Z104)</f>
        <v>14.352</v>
      </c>
      <c r="AB104" s="11" t="n">
        <v>0</v>
      </c>
      <c r="AC104" s="11" t="n">
        <v>0</v>
      </c>
      <c r="AD104" s="11" t="n">
        <v>0</v>
      </c>
      <c r="AE104" s="11" t="n">
        <v>0</v>
      </c>
      <c r="AF104" s="11" t="n">
        <v>6.864</v>
      </c>
      <c r="AG104" s="11" t="n">
        <v>0</v>
      </c>
      <c r="AH104" s="11" t="n">
        <f aca="false">SUM(AB104:AG104)</f>
        <v>6.864</v>
      </c>
      <c r="AI104" s="12" t="s">
        <v>71</v>
      </c>
    </row>
    <row r="105" customFormat="false" ht="15" hidden="false" customHeight="false" outlineLevel="0" collapsed="false">
      <c r="A105" s="8" t="s">
        <v>270</v>
      </c>
      <c r="B105" s="12" t="s">
        <v>271</v>
      </c>
      <c r="C105" s="8" t="s">
        <v>262</v>
      </c>
      <c r="D105" s="12" t="s">
        <v>263</v>
      </c>
      <c r="E105" s="10" t="str">
        <f aca="true">IFERROR(IF(INDEX(INDIRECT("'"&amp;$AI105&amp;"'!$E$2:$E$320"),MATCH($A105,INDIRECT("'"&amp;$AI105&amp;"'!$A$2:$A$320"),0))="","",INDEX(INDIRECT("'"&amp;$AI105&amp;"'!$E$2:$E$320"),MATCH($A105,INDIRECT("'"&amp;$AI105&amp;"'!$A$2:$A$320"),0))),"")</f>
        <v/>
      </c>
      <c r="F105" s="9" t="str">
        <f aca="false">IF($E105="","",IFERROR(INDEX(担当者マスタ!$B$2:$B$101,MATCH($E105,担当者マスタ!$A$2:$A$101,0)),"※マスタ未登録"))</f>
        <v/>
      </c>
      <c r="G105" s="11" t="n">
        <v>0</v>
      </c>
      <c r="H105" s="11" t="n">
        <v>0</v>
      </c>
      <c r="I105" s="11" t="n">
        <v>0</v>
      </c>
      <c r="J105" s="11" t="n">
        <v>25.6</v>
      </c>
      <c r="K105" s="11" t="n">
        <v>0</v>
      </c>
      <c r="L105" s="11" t="n">
        <v>0</v>
      </c>
      <c r="M105" s="11" t="n">
        <f aca="false">SUM(G105:L105)</f>
        <v>25.6</v>
      </c>
      <c r="N105" s="11" t="n">
        <v>0</v>
      </c>
      <c r="O105" s="11" t="n">
        <v>0</v>
      </c>
      <c r="P105" s="11" t="n">
        <v>0</v>
      </c>
      <c r="Q105" s="11" t="n">
        <v>6.4</v>
      </c>
      <c r="R105" s="11" t="n">
        <v>0</v>
      </c>
      <c r="S105" s="11" t="n">
        <v>0</v>
      </c>
      <c r="T105" s="11" t="n">
        <f aca="false">SUM(N105:S105)</f>
        <v>6.4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f aca="false">SUM(U105:Z105)</f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f aca="false">SUM(AB105:AG105)</f>
        <v>0</v>
      </c>
      <c r="AI105" s="12" t="s">
        <v>71</v>
      </c>
    </row>
    <row r="106" customFormat="false" ht="15" hidden="false" customHeight="false" outlineLevel="0" collapsed="false">
      <c r="A106" s="8" t="s">
        <v>272</v>
      </c>
      <c r="B106" s="12" t="s">
        <v>273</v>
      </c>
      <c r="C106" s="8" t="s">
        <v>262</v>
      </c>
      <c r="D106" s="12" t="s">
        <v>263</v>
      </c>
      <c r="E106" s="10" t="str">
        <f aca="true">IFERROR(IF(INDEX(INDIRECT("'"&amp;$AI106&amp;"'!$E$2:$E$320"),MATCH($A106,INDIRECT("'"&amp;$AI106&amp;"'!$A$2:$A$320"),0))="","",INDEX(INDIRECT("'"&amp;$AI106&amp;"'!$E$2:$E$320"),MATCH($A106,INDIRECT("'"&amp;$AI106&amp;"'!$A$2:$A$320"),0))),"")</f>
        <v/>
      </c>
      <c r="F106" s="9" t="str">
        <f aca="false">IF($E106="","",IFERROR(INDEX(担当者マスタ!$B$2:$B$101,MATCH($E106,担当者マスタ!$A$2:$A$101,0)),"※マスタ未登録"))</f>
        <v/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f aca="false">SUM(G106:L106)</f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f aca="false">SUM(N106:S106)</f>
        <v>0</v>
      </c>
      <c r="U106" s="11" t="n">
        <v>41.4</v>
      </c>
      <c r="V106" s="11" t="n">
        <v>27.48</v>
      </c>
      <c r="W106" s="11" t="n">
        <v>6.01</v>
      </c>
      <c r="X106" s="11" t="n">
        <v>192.357</v>
      </c>
      <c r="Y106" s="11" t="n">
        <v>0</v>
      </c>
      <c r="Z106" s="11" t="n">
        <v>16.8</v>
      </c>
      <c r="AA106" s="11" t="n">
        <f aca="false">SUM(U106:Z106)</f>
        <v>284.047</v>
      </c>
      <c r="AB106" s="11" t="n">
        <v>9.948</v>
      </c>
      <c r="AC106" s="11" t="n">
        <v>5.394</v>
      </c>
      <c r="AD106" s="11" t="n">
        <v>1.52</v>
      </c>
      <c r="AE106" s="11" t="n">
        <v>44.187</v>
      </c>
      <c r="AF106" s="11" t="n">
        <v>0</v>
      </c>
      <c r="AG106" s="11" t="n">
        <v>4.308</v>
      </c>
      <c r="AH106" s="11" t="n">
        <f aca="false">SUM(AB106:AG106)</f>
        <v>65.357</v>
      </c>
      <c r="AI106" s="12" t="s">
        <v>71</v>
      </c>
    </row>
    <row r="107" customFormat="false" ht="15" hidden="false" customHeight="false" outlineLevel="0" collapsed="false">
      <c r="A107" s="8" t="s">
        <v>274</v>
      </c>
      <c r="B107" s="12" t="s">
        <v>275</v>
      </c>
      <c r="C107" s="8" t="s">
        <v>262</v>
      </c>
      <c r="D107" s="12" t="s">
        <v>263</v>
      </c>
      <c r="E107" s="10" t="str">
        <f aca="true">IFERROR(IF(INDEX(INDIRECT("'"&amp;$AI107&amp;"'!$E$2:$E$320"),MATCH($A107,INDIRECT("'"&amp;$AI107&amp;"'!$A$2:$A$320"),0))="","",INDEX(INDIRECT("'"&amp;$AI107&amp;"'!$E$2:$E$320"),MATCH($A107,INDIRECT("'"&amp;$AI107&amp;"'!$A$2:$A$320"),0))),"")</f>
        <v/>
      </c>
      <c r="F107" s="9" t="str">
        <f aca="false">IF($E107="","",IFERROR(INDEX(担当者マスタ!$B$2:$B$101,MATCH($E107,担当者マスタ!$A$2:$A$101,0)),"※マスタ未登録"))</f>
        <v/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f aca="false">SUM(G107:L107)</f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f aca="false">SUM(N107:S107)</f>
        <v>0</v>
      </c>
      <c r="U107" s="11" t="n">
        <v>0</v>
      </c>
      <c r="V107" s="11" t="n">
        <v>18.85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f aca="false">SUM(U107:Z107)</f>
        <v>18.85</v>
      </c>
      <c r="AB107" s="11" t="n">
        <v>0</v>
      </c>
      <c r="AC107" s="11" t="n">
        <v>3.8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f aca="false">SUM(AB107:AG107)</f>
        <v>3.8</v>
      </c>
      <c r="AI107" s="12" t="s">
        <v>71</v>
      </c>
    </row>
    <row r="108" customFormat="false" ht="15" hidden="false" customHeight="false" outlineLevel="0" collapsed="false">
      <c r="A108" s="8" t="s">
        <v>276</v>
      </c>
      <c r="B108" s="12" t="s">
        <v>277</v>
      </c>
      <c r="C108" s="8" t="s">
        <v>262</v>
      </c>
      <c r="D108" s="12" t="s">
        <v>263</v>
      </c>
      <c r="E108" s="10" t="str">
        <f aca="true">IFERROR(IF(INDEX(INDIRECT("'"&amp;$AI108&amp;"'!$E$2:$E$320"),MATCH($A108,INDIRECT("'"&amp;$AI108&amp;"'!$A$2:$A$320"),0))="","",INDEX(INDIRECT("'"&amp;$AI108&amp;"'!$E$2:$E$320"),MATCH($A108,INDIRECT("'"&amp;$AI108&amp;"'!$A$2:$A$320"),0))),"")</f>
        <v/>
      </c>
      <c r="F108" s="9" t="str">
        <f aca="false">IF($E108="","",IFERROR(INDEX(担当者マスタ!$B$2:$B$101,MATCH($E108,担当者マスタ!$A$2:$A$101,0)),"※マスタ未登録"))</f>
        <v/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f aca="false">SUM(G108:L108)</f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f aca="false">SUM(N108:S108)</f>
        <v>0</v>
      </c>
      <c r="U108" s="11" t="n">
        <v>680.367</v>
      </c>
      <c r="V108" s="11" t="n">
        <v>111.7</v>
      </c>
      <c r="W108" s="11" t="n">
        <v>7</v>
      </c>
      <c r="X108" s="11" t="n">
        <v>0</v>
      </c>
      <c r="Y108" s="11" t="n">
        <v>28.312</v>
      </c>
      <c r="Z108" s="11" t="n">
        <v>3.05</v>
      </c>
      <c r="AA108" s="11" t="n">
        <f aca="false">SUM(U108:Z108)</f>
        <v>830.429</v>
      </c>
      <c r="AB108" s="11" t="n">
        <v>163.205</v>
      </c>
      <c r="AC108" s="11" t="n">
        <v>30.33</v>
      </c>
      <c r="AD108" s="11" t="n">
        <v>2.3</v>
      </c>
      <c r="AE108" s="11" t="n">
        <v>0</v>
      </c>
      <c r="AF108" s="11" t="n">
        <v>5.328</v>
      </c>
      <c r="AG108" s="11" t="n">
        <v>0.45</v>
      </c>
      <c r="AH108" s="11" t="n">
        <f aca="false">SUM(AB108:AG108)</f>
        <v>201.613</v>
      </c>
      <c r="AI108" s="12" t="s">
        <v>71</v>
      </c>
    </row>
    <row r="109" customFormat="false" ht="15" hidden="false" customHeight="false" outlineLevel="0" collapsed="false">
      <c r="A109" s="8" t="s">
        <v>278</v>
      </c>
      <c r="B109" s="12" t="s">
        <v>279</v>
      </c>
      <c r="C109" s="8" t="s">
        <v>262</v>
      </c>
      <c r="D109" s="12" t="s">
        <v>263</v>
      </c>
      <c r="E109" s="10" t="str">
        <f aca="true">IFERROR(IF(INDEX(INDIRECT("'"&amp;$AI109&amp;"'!$E$2:$E$320"),MATCH($A109,INDIRECT("'"&amp;$AI109&amp;"'!$A$2:$A$320"),0))="","",INDEX(INDIRECT("'"&amp;$AI109&amp;"'!$E$2:$E$320"),MATCH($A109,INDIRECT("'"&amp;$AI109&amp;"'!$A$2:$A$320"),0))),"")</f>
        <v/>
      </c>
      <c r="F109" s="9" t="str">
        <f aca="false">IF($E109="","",IFERROR(INDEX(担当者マスタ!$B$2:$B$101,MATCH($E109,担当者マスタ!$A$2:$A$101,0)),"※マスタ未登録"))</f>
        <v/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f aca="false">SUM(G109:L109)</f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f aca="false">SUM(N109:S109)</f>
        <v>0</v>
      </c>
      <c r="U109" s="11" t="n">
        <v>0</v>
      </c>
      <c r="V109" s="11" t="n">
        <v>17.28</v>
      </c>
      <c r="W109" s="11" t="n">
        <v>65.27</v>
      </c>
      <c r="X109" s="11" t="n">
        <v>1.94</v>
      </c>
      <c r="Y109" s="11" t="n">
        <v>7.7</v>
      </c>
      <c r="Z109" s="11" t="n">
        <v>10.78</v>
      </c>
      <c r="AA109" s="11" t="n">
        <f aca="false">SUM(U109:Z109)</f>
        <v>102.97</v>
      </c>
      <c r="AB109" s="11" t="n">
        <v>0</v>
      </c>
      <c r="AC109" s="11" t="n">
        <v>4.03</v>
      </c>
      <c r="AD109" s="11" t="n">
        <v>17.92</v>
      </c>
      <c r="AE109" s="11" t="n">
        <v>0.428</v>
      </c>
      <c r="AF109" s="11" t="n">
        <v>2.334</v>
      </c>
      <c r="AG109" s="11" t="n">
        <v>2.35</v>
      </c>
      <c r="AH109" s="11" t="n">
        <f aca="false">SUM(AB109:AG109)</f>
        <v>27.062</v>
      </c>
      <c r="AI109" s="12" t="s">
        <v>71</v>
      </c>
    </row>
    <row r="110" customFormat="false" ht="15" hidden="false" customHeight="false" outlineLevel="0" collapsed="false">
      <c r="A110" s="8" t="s">
        <v>280</v>
      </c>
      <c r="B110" s="12" t="s">
        <v>281</v>
      </c>
      <c r="C110" s="8" t="s">
        <v>262</v>
      </c>
      <c r="D110" s="12" t="s">
        <v>263</v>
      </c>
      <c r="E110" s="10" t="str">
        <f aca="true">IFERROR(IF(INDEX(INDIRECT("'"&amp;$AI110&amp;"'!$E$2:$E$320"),MATCH($A110,INDIRECT("'"&amp;$AI110&amp;"'!$A$2:$A$320"),0))="","",INDEX(INDIRECT("'"&amp;$AI110&amp;"'!$E$2:$E$320"),MATCH($A110,INDIRECT("'"&amp;$AI110&amp;"'!$A$2:$A$320"),0))),"")</f>
        <v/>
      </c>
      <c r="F110" s="9" t="str">
        <f aca="false">IF($E110="","",IFERROR(INDEX(担当者マスタ!$B$2:$B$101,MATCH($E110,担当者マスタ!$A$2:$A$101,0)),"※マスタ未登録"))</f>
        <v/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f aca="false">SUM(G110:L110)</f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f aca="false">SUM(N110:S110)</f>
        <v>0</v>
      </c>
      <c r="U110" s="11" t="n">
        <v>8.022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f aca="false">SUM(U110:Z110)</f>
        <v>8.022</v>
      </c>
      <c r="AB110" s="11" t="n">
        <v>1.578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f aca="false">SUM(AB110:AG110)</f>
        <v>1.578</v>
      </c>
      <c r="AI110" s="12" t="s">
        <v>71</v>
      </c>
    </row>
    <row r="111" customFormat="false" ht="15" hidden="false" customHeight="false" outlineLevel="0" collapsed="false">
      <c r="A111" s="8" t="s">
        <v>282</v>
      </c>
      <c r="B111" s="12" t="s">
        <v>283</v>
      </c>
      <c r="C111" s="8" t="s">
        <v>262</v>
      </c>
      <c r="D111" s="12" t="s">
        <v>263</v>
      </c>
      <c r="E111" s="10" t="str">
        <f aca="true">IFERROR(IF(INDEX(INDIRECT("'"&amp;$AI111&amp;"'!$E$2:$E$320"),MATCH($A111,INDIRECT("'"&amp;$AI111&amp;"'!$A$2:$A$320"),0))="","",INDEX(INDIRECT("'"&amp;$AI111&amp;"'!$E$2:$E$320"),MATCH($A111,INDIRECT("'"&amp;$AI111&amp;"'!$A$2:$A$320"),0))),"")</f>
        <v/>
      </c>
      <c r="F111" s="9" t="str">
        <f aca="false">IF($E111="","",IFERROR(INDEX(担当者マスタ!$B$2:$B$101,MATCH($E111,担当者マスタ!$A$2:$A$101,0)),"※マスタ未登録"))</f>
        <v/>
      </c>
      <c r="G111" s="11" t="n">
        <v>686.719</v>
      </c>
      <c r="H111" s="11" t="n">
        <v>902.871</v>
      </c>
      <c r="I111" s="11" t="n">
        <v>1069.355</v>
      </c>
      <c r="J111" s="11" t="n">
        <v>1018.71</v>
      </c>
      <c r="K111" s="11" t="n">
        <v>1325.287</v>
      </c>
      <c r="L111" s="11" t="n">
        <v>-63.3</v>
      </c>
      <c r="M111" s="11" t="n">
        <f aca="false">SUM(G111:L111)</f>
        <v>4939.642</v>
      </c>
      <c r="N111" s="11" t="n">
        <v>266.441</v>
      </c>
      <c r="O111" s="11" t="n">
        <v>395.355</v>
      </c>
      <c r="P111" s="11" t="n">
        <v>420.457</v>
      </c>
      <c r="Q111" s="11" t="n">
        <v>385.416</v>
      </c>
      <c r="R111" s="11" t="n">
        <v>561.058</v>
      </c>
      <c r="S111" s="11" t="n">
        <v>4.566</v>
      </c>
      <c r="T111" s="11" t="n">
        <f aca="false">SUM(N111:S111)</f>
        <v>2033.293</v>
      </c>
      <c r="U111" s="11" t="n">
        <v>1553.081</v>
      </c>
      <c r="V111" s="11" t="n">
        <v>825.104</v>
      </c>
      <c r="W111" s="11" t="n">
        <v>1300.432</v>
      </c>
      <c r="X111" s="11" t="n">
        <v>233.679</v>
      </c>
      <c r="Y111" s="11" t="n">
        <v>267.733</v>
      </c>
      <c r="Z111" s="11" t="n">
        <v>123.338</v>
      </c>
      <c r="AA111" s="11" t="n">
        <f aca="false">SUM(U111:Z111)</f>
        <v>4303.367</v>
      </c>
      <c r="AB111" s="11" t="n">
        <v>531.448</v>
      </c>
      <c r="AC111" s="11" t="n">
        <v>330.627</v>
      </c>
      <c r="AD111" s="11" t="n">
        <v>514.17</v>
      </c>
      <c r="AE111" s="11" t="n">
        <v>90.192</v>
      </c>
      <c r="AF111" s="11" t="n">
        <v>141.921</v>
      </c>
      <c r="AG111" s="11" t="n">
        <v>38.042</v>
      </c>
      <c r="AH111" s="11" t="n">
        <f aca="false">SUM(AB111:AG111)</f>
        <v>1646.4</v>
      </c>
      <c r="AI111" s="12" t="s">
        <v>71</v>
      </c>
    </row>
    <row r="112" customFormat="false" ht="15" hidden="false" customHeight="false" outlineLevel="0" collapsed="false">
      <c r="A112" s="8" t="s">
        <v>284</v>
      </c>
      <c r="B112" s="12" t="s">
        <v>285</v>
      </c>
      <c r="C112" s="8" t="s">
        <v>262</v>
      </c>
      <c r="D112" s="12" t="s">
        <v>263</v>
      </c>
      <c r="E112" s="10" t="str">
        <f aca="true">IFERROR(IF(INDEX(INDIRECT("'"&amp;$AI112&amp;"'!$E$2:$E$320"),MATCH($A112,INDIRECT("'"&amp;$AI112&amp;"'!$A$2:$A$320"),0))="","",INDEX(INDIRECT("'"&amp;$AI112&amp;"'!$E$2:$E$320"),MATCH($A112,INDIRECT("'"&amp;$AI112&amp;"'!$A$2:$A$320"),0))),"")</f>
        <v/>
      </c>
      <c r="F112" s="9" t="str">
        <f aca="false">IF($E112="","",IFERROR(INDEX(担当者マスタ!$B$2:$B$101,MATCH($E112,担当者マスタ!$A$2:$A$101,0)),"※マスタ未登録"))</f>
        <v/>
      </c>
      <c r="G112" s="11" t="n">
        <v>89.984</v>
      </c>
      <c r="H112" s="11" t="n">
        <v>14.19</v>
      </c>
      <c r="I112" s="11" t="n">
        <v>26.163</v>
      </c>
      <c r="J112" s="11" t="n">
        <v>61.994</v>
      </c>
      <c r="K112" s="11" t="n">
        <v>0</v>
      </c>
      <c r="L112" s="11" t="n">
        <v>5.31</v>
      </c>
      <c r="M112" s="11" t="n">
        <f aca="false">SUM(G112:L112)</f>
        <v>197.641</v>
      </c>
      <c r="N112" s="11" t="n">
        <v>48.294</v>
      </c>
      <c r="O112" s="11" t="n">
        <v>8.17</v>
      </c>
      <c r="P112" s="11" t="n">
        <v>11.844</v>
      </c>
      <c r="Q112" s="11" t="n">
        <v>30.827</v>
      </c>
      <c r="R112" s="11" t="n">
        <v>0</v>
      </c>
      <c r="S112" s="11" t="n">
        <v>2.785</v>
      </c>
      <c r="T112" s="11" t="n">
        <f aca="false">SUM(N112:S112)</f>
        <v>101.92</v>
      </c>
      <c r="U112" s="11" t="n">
        <v>8.77</v>
      </c>
      <c r="V112" s="11" t="n">
        <v>70.354</v>
      </c>
      <c r="W112" s="11" t="n">
        <v>40.31</v>
      </c>
      <c r="X112" s="11" t="n">
        <v>8.465</v>
      </c>
      <c r="Y112" s="11" t="n">
        <v>0</v>
      </c>
      <c r="Z112" s="11" t="n">
        <v>63.474</v>
      </c>
      <c r="AA112" s="11" t="n">
        <f aca="false">SUM(U112:Z112)</f>
        <v>191.373</v>
      </c>
      <c r="AB112" s="11" t="n">
        <v>4.415</v>
      </c>
      <c r="AC112" s="11" t="n">
        <v>34.586</v>
      </c>
      <c r="AD112" s="11" t="n">
        <v>18.592</v>
      </c>
      <c r="AE112" s="11" t="n">
        <v>4.27</v>
      </c>
      <c r="AF112" s="11" t="n">
        <v>0</v>
      </c>
      <c r="AG112" s="11" t="n">
        <v>31.161</v>
      </c>
      <c r="AH112" s="11" t="n">
        <f aca="false">SUM(AB112:AG112)</f>
        <v>93.024</v>
      </c>
      <c r="AI112" s="12" t="s">
        <v>71</v>
      </c>
    </row>
    <row r="113" customFormat="false" ht="15" hidden="false" customHeight="false" outlineLevel="0" collapsed="false">
      <c r="A113" s="8" t="s">
        <v>286</v>
      </c>
      <c r="B113" s="12" t="s">
        <v>287</v>
      </c>
      <c r="C113" s="8" t="s">
        <v>262</v>
      </c>
      <c r="D113" s="12" t="s">
        <v>263</v>
      </c>
      <c r="E113" s="10" t="str">
        <f aca="true">IFERROR(IF(INDEX(INDIRECT("'"&amp;$AI113&amp;"'!$E$2:$E$320"),MATCH($A113,INDIRECT("'"&amp;$AI113&amp;"'!$A$2:$A$320"),0))="","",INDEX(INDIRECT("'"&amp;$AI113&amp;"'!$E$2:$E$320"),MATCH($A113,INDIRECT("'"&amp;$AI113&amp;"'!$A$2:$A$320"),0))),"")</f>
        <v/>
      </c>
      <c r="F113" s="9" t="str">
        <f aca="false">IF($E113="","",IFERROR(INDEX(担当者マスタ!$B$2:$B$101,MATCH($E113,担当者マスタ!$A$2:$A$101,0)),"※マスタ未登録"))</f>
        <v/>
      </c>
      <c r="G113" s="11" t="n">
        <v>0</v>
      </c>
      <c r="H113" s="11" t="n">
        <v>127.5</v>
      </c>
      <c r="I113" s="11" t="n">
        <v>250.6</v>
      </c>
      <c r="J113" s="11" t="n">
        <v>0</v>
      </c>
      <c r="K113" s="11" t="n">
        <v>0</v>
      </c>
      <c r="L113" s="11" t="n">
        <v>0</v>
      </c>
      <c r="M113" s="11" t="n">
        <f aca="false">SUM(G113:L113)</f>
        <v>378.1</v>
      </c>
      <c r="N113" s="11" t="n">
        <v>0</v>
      </c>
      <c r="O113" s="11" t="n">
        <v>25.2</v>
      </c>
      <c r="P113" s="11" t="n">
        <v>95.84</v>
      </c>
      <c r="Q113" s="11" t="n">
        <v>0</v>
      </c>
      <c r="R113" s="11" t="n">
        <v>0</v>
      </c>
      <c r="S113" s="11" t="n">
        <v>0</v>
      </c>
      <c r="T113" s="11" t="n">
        <f aca="false">SUM(N113:S113)</f>
        <v>121.04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f aca="false">SUM(U113:Z113)</f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f aca="false">SUM(AB113:AG113)</f>
        <v>0</v>
      </c>
      <c r="AI113" s="12" t="s">
        <v>71</v>
      </c>
    </row>
    <row r="114" customFormat="false" ht="15" hidden="false" customHeight="false" outlineLevel="0" collapsed="false">
      <c r="A114" s="8" t="s">
        <v>288</v>
      </c>
      <c r="B114" s="12" t="s">
        <v>289</v>
      </c>
      <c r="C114" s="8" t="s">
        <v>262</v>
      </c>
      <c r="D114" s="12" t="s">
        <v>263</v>
      </c>
      <c r="E114" s="10" t="str">
        <f aca="true">IFERROR(IF(INDEX(INDIRECT("'"&amp;$AI114&amp;"'!$E$2:$E$320"),MATCH($A114,INDIRECT("'"&amp;$AI114&amp;"'!$A$2:$A$320"),0))="","",INDEX(INDIRECT("'"&amp;$AI114&amp;"'!$E$2:$E$320"),MATCH($A114,INDIRECT("'"&amp;$AI114&amp;"'!$A$2:$A$320"),0))),"")</f>
        <v/>
      </c>
      <c r="F114" s="9" t="str">
        <f aca="false">IF($E114="","",IFERROR(INDEX(担当者マスタ!$B$2:$B$101,MATCH($E114,担当者マスタ!$A$2:$A$101,0)),"※マスタ未登録"))</f>
        <v/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f aca="false">SUM(G114:L114)</f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f aca="false">SUM(N114:S114)</f>
        <v>0</v>
      </c>
      <c r="U114" s="11" t="n">
        <v>0</v>
      </c>
      <c r="V114" s="11" t="n">
        <v>25.008</v>
      </c>
      <c r="W114" s="11" t="n">
        <v>33.2</v>
      </c>
      <c r="X114" s="11" t="n">
        <v>0</v>
      </c>
      <c r="Y114" s="11" t="n">
        <v>0</v>
      </c>
      <c r="Z114" s="11" t="n">
        <v>0</v>
      </c>
      <c r="AA114" s="11" t="n">
        <f aca="false">SUM(U114:Z114)</f>
        <v>58.208</v>
      </c>
      <c r="AB114" s="11" t="n">
        <v>0</v>
      </c>
      <c r="AC114" s="11" t="n">
        <v>4.548</v>
      </c>
      <c r="AD114" s="11" t="n">
        <v>6.7</v>
      </c>
      <c r="AE114" s="11" t="n">
        <v>0</v>
      </c>
      <c r="AF114" s="11" t="n">
        <v>0</v>
      </c>
      <c r="AG114" s="11" t="n">
        <v>0</v>
      </c>
      <c r="AH114" s="11" t="n">
        <f aca="false">SUM(AB114:AG114)</f>
        <v>11.248</v>
      </c>
      <c r="AI114" s="12" t="s">
        <v>71</v>
      </c>
    </row>
    <row r="115" customFormat="false" ht="15" hidden="false" customHeight="false" outlineLevel="0" collapsed="false">
      <c r="A115" s="8" t="s">
        <v>290</v>
      </c>
      <c r="B115" s="12" t="s">
        <v>291</v>
      </c>
      <c r="C115" s="8" t="s">
        <v>262</v>
      </c>
      <c r="D115" s="12" t="s">
        <v>263</v>
      </c>
      <c r="E115" s="10" t="str">
        <f aca="true">IFERROR(IF(INDEX(INDIRECT("'"&amp;$AI115&amp;"'!$E$2:$E$320"),MATCH($A115,INDIRECT("'"&amp;$AI115&amp;"'!$A$2:$A$320"),0))="","",INDEX(INDIRECT("'"&amp;$AI115&amp;"'!$E$2:$E$320"),MATCH($A115,INDIRECT("'"&amp;$AI115&amp;"'!$A$2:$A$320"),0))),"")</f>
        <v/>
      </c>
      <c r="F115" s="9" t="str">
        <f aca="false">IF($E115="","",IFERROR(INDEX(担当者マスタ!$B$2:$B$101,MATCH($E115,担当者マスタ!$A$2:$A$101,0)),"※マスタ未登録"))</f>
        <v/>
      </c>
      <c r="G115" s="11" t="n">
        <v>0</v>
      </c>
      <c r="H115" s="11" t="n">
        <v>27.6</v>
      </c>
      <c r="I115" s="11" t="n">
        <v>8.96</v>
      </c>
      <c r="J115" s="11" t="n">
        <v>8.96</v>
      </c>
      <c r="K115" s="11" t="n">
        <v>10.302</v>
      </c>
      <c r="L115" s="11" t="n">
        <v>0</v>
      </c>
      <c r="M115" s="11" t="n">
        <f aca="false">SUM(G115:L115)</f>
        <v>55.822</v>
      </c>
      <c r="N115" s="11" t="n">
        <v>0</v>
      </c>
      <c r="O115" s="11" t="n">
        <v>5.46</v>
      </c>
      <c r="P115" s="11" t="n">
        <v>2.83</v>
      </c>
      <c r="Q115" s="11" t="n">
        <v>2.83</v>
      </c>
      <c r="R115" s="11" t="n">
        <v>3.12</v>
      </c>
      <c r="S115" s="11" t="n">
        <v>0</v>
      </c>
      <c r="T115" s="11" t="n">
        <f aca="false">SUM(N115:S115)</f>
        <v>14.24</v>
      </c>
      <c r="U115" s="11" t="n">
        <v>0</v>
      </c>
      <c r="V115" s="11" t="n">
        <v>0</v>
      </c>
      <c r="W115" s="11" t="n">
        <v>0</v>
      </c>
      <c r="X115" s="11" t="n">
        <v>15.3</v>
      </c>
      <c r="Y115" s="11" t="n">
        <v>0</v>
      </c>
      <c r="Z115" s="11" t="n">
        <v>0</v>
      </c>
      <c r="AA115" s="11" t="n">
        <f aca="false">SUM(U115:Z115)</f>
        <v>15.3</v>
      </c>
      <c r="AB115" s="11" t="n">
        <v>0</v>
      </c>
      <c r="AC115" s="11" t="n">
        <v>0</v>
      </c>
      <c r="AD115" s="11" t="n">
        <v>0</v>
      </c>
      <c r="AE115" s="11" t="n">
        <v>4</v>
      </c>
      <c r="AF115" s="11" t="n">
        <v>0</v>
      </c>
      <c r="AG115" s="11" t="n">
        <v>0</v>
      </c>
      <c r="AH115" s="11" t="n">
        <f aca="false">SUM(AB115:AG115)</f>
        <v>4</v>
      </c>
      <c r="AI115" s="12" t="s">
        <v>71</v>
      </c>
    </row>
    <row r="116" customFormat="false" ht="15" hidden="false" customHeight="false" outlineLevel="0" collapsed="false">
      <c r="A116" s="8" t="s">
        <v>292</v>
      </c>
      <c r="B116" s="12" t="s">
        <v>293</v>
      </c>
      <c r="C116" s="8" t="s">
        <v>262</v>
      </c>
      <c r="D116" s="12" t="s">
        <v>263</v>
      </c>
      <c r="E116" s="10" t="str">
        <f aca="true">IFERROR(IF(INDEX(INDIRECT("'"&amp;$AI116&amp;"'!$E$2:$E$320"),MATCH($A116,INDIRECT("'"&amp;$AI116&amp;"'!$A$2:$A$320"),0))="","",INDEX(INDIRECT("'"&amp;$AI116&amp;"'!$E$2:$E$320"),MATCH($A116,INDIRECT("'"&amp;$AI116&amp;"'!$A$2:$A$320"),0))),"")</f>
        <v/>
      </c>
      <c r="F116" s="9" t="str">
        <f aca="false">IF($E116="","",IFERROR(INDEX(担当者マスタ!$B$2:$B$101,MATCH($E116,担当者マスタ!$A$2:$A$101,0)),"※マスタ未登録"))</f>
        <v/>
      </c>
      <c r="G116" s="11" t="n">
        <v>51.936</v>
      </c>
      <c r="H116" s="11" t="n">
        <v>51.936</v>
      </c>
      <c r="I116" s="11" t="n">
        <v>39.59</v>
      </c>
      <c r="J116" s="11" t="n">
        <v>63.9</v>
      </c>
      <c r="K116" s="11" t="n">
        <v>82.673</v>
      </c>
      <c r="L116" s="11" t="n">
        <v>166.216</v>
      </c>
      <c r="M116" s="11" t="n">
        <f aca="false">SUM(G116:L116)</f>
        <v>456.251</v>
      </c>
      <c r="N116" s="11" t="n">
        <v>25.344</v>
      </c>
      <c r="O116" s="11" t="n">
        <v>25.344</v>
      </c>
      <c r="P116" s="11" t="n">
        <v>18.456</v>
      </c>
      <c r="Q116" s="11" t="n">
        <v>29.538</v>
      </c>
      <c r="R116" s="11" t="n">
        <v>38.031</v>
      </c>
      <c r="S116" s="11" t="n">
        <v>44.889</v>
      </c>
      <c r="T116" s="11" t="n">
        <f aca="false">SUM(N116:S116)</f>
        <v>181.602</v>
      </c>
      <c r="U116" s="11" t="n">
        <v>290</v>
      </c>
      <c r="V116" s="11" t="n">
        <v>348.09</v>
      </c>
      <c r="W116" s="11" t="n">
        <v>144.091</v>
      </c>
      <c r="X116" s="11" t="n">
        <v>161.856</v>
      </c>
      <c r="Y116" s="11" t="n">
        <v>0</v>
      </c>
      <c r="Z116" s="11" t="n">
        <v>322.898</v>
      </c>
      <c r="AA116" s="11" t="n">
        <f aca="false">SUM(U116:Z116)</f>
        <v>1266.935</v>
      </c>
      <c r="AB116" s="11" t="n">
        <v>75.956</v>
      </c>
      <c r="AC116" s="11" t="n">
        <v>63.82</v>
      </c>
      <c r="AD116" s="11" t="n">
        <v>33.815</v>
      </c>
      <c r="AE116" s="11" t="n">
        <v>39.204</v>
      </c>
      <c r="AF116" s="11" t="n">
        <v>0</v>
      </c>
      <c r="AG116" s="11" t="n">
        <v>96.69</v>
      </c>
      <c r="AH116" s="11" t="n">
        <f aca="false">SUM(AB116:AG116)</f>
        <v>309.485</v>
      </c>
      <c r="AI116" s="12" t="s">
        <v>71</v>
      </c>
    </row>
    <row r="117" customFormat="false" ht="15" hidden="false" customHeight="false" outlineLevel="0" collapsed="false">
      <c r="A117" s="8" t="s">
        <v>294</v>
      </c>
      <c r="B117" s="12" t="s">
        <v>295</v>
      </c>
      <c r="C117" s="8" t="s">
        <v>262</v>
      </c>
      <c r="D117" s="12" t="s">
        <v>263</v>
      </c>
      <c r="E117" s="10" t="str">
        <f aca="true">IFERROR(IF(INDEX(INDIRECT("'"&amp;$AI117&amp;"'!$E$2:$E$320"),MATCH($A117,INDIRECT("'"&amp;$AI117&amp;"'!$A$2:$A$320"),0))="","",INDEX(INDIRECT("'"&amp;$AI117&amp;"'!$E$2:$E$320"),MATCH($A117,INDIRECT("'"&amp;$AI117&amp;"'!$A$2:$A$320"),0))),"")</f>
        <v/>
      </c>
      <c r="F117" s="9" t="str">
        <f aca="false">IF($E117="","",IFERROR(INDEX(担当者マスタ!$B$2:$B$101,MATCH($E117,担当者マスタ!$A$2:$A$101,0)),"※マスタ未登録"))</f>
        <v/>
      </c>
      <c r="G117" s="11" t="n">
        <v>0</v>
      </c>
      <c r="H117" s="11" t="n">
        <v>0</v>
      </c>
      <c r="I117" s="11" t="n">
        <v>137.7</v>
      </c>
      <c r="J117" s="11" t="n">
        <v>61.82</v>
      </c>
      <c r="K117" s="11" t="n">
        <v>0</v>
      </c>
      <c r="L117" s="11" t="n">
        <v>0</v>
      </c>
      <c r="M117" s="11" t="n">
        <f aca="false">SUM(G117:L117)</f>
        <v>199.52</v>
      </c>
      <c r="N117" s="11" t="n">
        <v>0</v>
      </c>
      <c r="O117" s="11" t="n">
        <v>0</v>
      </c>
      <c r="P117" s="11" t="n">
        <v>61.32</v>
      </c>
      <c r="Q117" s="11" t="n">
        <v>27.88</v>
      </c>
      <c r="R117" s="11" t="n">
        <v>0</v>
      </c>
      <c r="S117" s="11" t="n">
        <v>0</v>
      </c>
      <c r="T117" s="11" t="n">
        <f aca="false">SUM(N117:S117)</f>
        <v>89.2</v>
      </c>
      <c r="U117" s="11" t="n">
        <v>0</v>
      </c>
      <c r="V117" s="11" t="n">
        <v>61.82</v>
      </c>
      <c r="W117" s="11" t="n">
        <v>123.64</v>
      </c>
      <c r="X117" s="11" t="n">
        <v>0</v>
      </c>
      <c r="Y117" s="11" t="n">
        <v>85.82</v>
      </c>
      <c r="Z117" s="11" t="n">
        <v>0</v>
      </c>
      <c r="AA117" s="11" t="n">
        <f aca="false">SUM(U117:Z117)</f>
        <v>271.28</v>
      </c>
      <c r="AB117" s="11" t="n">
        <v>0</v>
      </c>
      <c r="AC117" s="11" t="n">
        <v>27.88</v>
      </c>
      <c r="AD117" s="11" t="n">
        <v>55.76</v>
      </c>
      <c r="AE117" s="11" t="n">
        <v>0</v>
      </c>
      <c r="AF117" s="11" t="n">
        <v>37.88</v>
      </c>
      <c r="AG117" s="11" t="n">
        <v>0</v>
      </c>
      <c r="AH117" s="11" t="n">
        <f aca="false">SUM(AB117:AG117)</f>
        <v>121.52</v>
      </c>
      <c r="AI117" s="12" t="s">
        <v>71</v>
      </c>
    </row>
    <row r="118" customFormat="false" ht="15" hidden="false" customHeight="false" outlineLevel="0" collapsed="false">
      <c r="A118" s="8" t="s">
        <v>296</v>
      </c>
      <c r="B118" s="12" t="s">
        <v>297</v>
      </c>
      <c r="C118" s="8" t="s">
        <v>262</v>
      </c>
      <c r="D118" s="12" t="s">
        <v>263</v>
      </c>
      <c r="E118" s="10" t="str">
        <f aca="true">IFERROR(IF(INDEX(INDIRECT("'"&amp;$AI118&amp;"'!$E$2:$E$320"),MATCH($A118,INDIRECT("'"&amp;$AI118&amp;"'!$A$2:$A$320"),0))="","",INDEX(INDIRECT("'"&amp;$AI118&amp;"'!$E$2:$E$320"),MATCH($A118,INDIRECT("'"&amp;$AI118&amp;"'!$A$2:$A$320"),0))),"")</f>
        <v/>
      </c>
      <c r="F118" s="9" t="str">
        <f aca="false">IF($E118="","",IFERROR(INDEX(担当者マスタ!$B$2:$B$101,MATCH($E118,担当者マスタ!$A$2:$A$101,0)),"※マスタ未登録"))</f>
        <v/>
      </c>
      <c r="G118" s="11" t="n">
        <v>2.129</v>
      </c>
      <c r="H118" s="11" t="n">
        <v>10.727</v>
      </c>
      <c r="I118" s="11" t="n">
        <v>33.77</v>
      </c>
      <c r="J118" s="11" t="n">
        <v>31.927</v>
      </c>
      <c r="K118" s="11" t="n">
        <v>1.307</v>
      </c>
      <c r="L118" s="11" t="n">
        <v>29.338</v>
      </c>
      <c r="M118" s="11" t="n">
        <f aca="false">SUM(G118:L118)</f>
        <v>109.198</v>
      </c>
      <c r="N118" s="11" t="n">
        <v>0.569</v>
      </c>
      <c r="O118" s="11" t="n">
        <v>4.634</v>
      </c>
      <c r="P118" s="11" t="n">
        <v>13.859</v>
      </c>
      <c r="Q118" s="11" t="n">
        <v>12.162</v>
      </c>
      <c r="R118" s="11" t="n">
        <v>0.611</v>
      </c>
      <c r="S118" s="11" t="n">
        <v>11.905</v>
      </c>
      <c r="T118" s="11" t="n">
        <f aca="false">SUM(N118:S118)</f>
        <v>43.74</v>
      </c>
      <c r="U118" s="11" t="n">
        <v>11.666</v>
      </c>
      <c r="V118" s="11" t="n">
        <v>4.348</v>
      </c>
      <c r="W118" s="11" t="n">
        <v>45.875</v>
      </c>
      <c r="X118" s="11" t="n">
        <v>14.359</v>
      </c>
      <c r="Y118" s="11" t="n">
        <v>15.576</v>
      </c>
      <c r="Z118" s="11" t="n">
        <v>6.987</v>
      </c>
      <c r="AA118" s="11" t="n">
        <f aca="false">SUM(U118:Z118)</f>
        <v>98.811</v>
      </c>
      <c r="AB118" s="11" t="n">
        <v>5.855</v>
      </c>
      <c r="AC118" s="11" t="n">
        <v>1.527</v>
      </c>
      <c r="AD118" s="11" t="n">
        <v>15.563</v>
      </c>
      <c r="AE118" s="11" t="n">
        <v>5.156</v>
      </c>
      <c r="AF118" s="11" t="n">
        <v>6.379</v>
      </c>
      <c r="AG118" s="11" t="n">
        <v>2.918</v>
      </c>
      <c r="AH118" s="11" t="n">
        <f aca="false">SUM(AB118:AG118)</f>
        <v>37.398</v>
      </c>
      <c r="AI118" s="12" t="s">
        <v>71</v>
      </c>
    </row>
    <row r="119" customFormat="false" ht="15" hidden="false" customHeight="false" outlineLevel="0" collapsed="false">
      <c r="A119" s="8" t="s">
        <v>298</v>
      </c>
      <c r="B119" s="12" t="s">
        <v>299</v>
      </c>
      <c r="C119" s="8" t="s">
        <v>262</v>
      </c>
      <c r="D119" s="12" t="s">
        <v>263</v>
      </c>
      <c r="E119" s="10" t="str">
        <f aca="true">IFERROR(IF(INDEX(INDIRECT("'"&amp;$AI119&amp;"'!$E$2:$E$320"),MATCH($A119,INDIRECT("'"&amp;$AI119&amp;"'!$A$2:$A$320"),0))="","",INDEX(INDIRECT("'"&amp;$AI119&amp;"'!$E$2:$E$320"),MATCH($A119,INDIRECT("'"&amp;$AI119&amp;"'!$A$2:$A$320"),0))),"")</f>
        <v/>
      </c>
      <c r="F119" s="9" t="str">
        <f aca="false">IF($E119="","",IFERROR(INDEX(担当者マスタ!$B$2:$B$101,MATCH($E119,担当者マスタ!$A$2:$A$101,0)),"※マスタ未登録"))</f>
        <v/>
      </c>
      <c r="G119" s="11" t="n">
        <v>0</v>
      </c>
      <c r="H119" s="11" t="n">
        <v>82.5</v>
      </c>
      <c r="I119" s="11" t="n">
        <v>0</v>
      </c>
      <c r="J119" s="11" t="n">
        <v>0</v>
      </c>
      <c r="K119" s="11" t="n">
        <v>138.3</v>
      </c>
      <c r="L119" s="11" t="n">
        <v>0</v>
      </c>
      <c r="M119" s="11" t="n">
        <f aca="false">SUM(G119:L119)</f>
        <v>220.8</v>
      </c>
      <c r="N119" s="11" t="n">
        <v>0</v>
      </c>
      <c r="O119" s="11" t="n">
        <v>15</v>
      </c>
      <c r="P119" s="11" t="n">
        <v>0</v>
      </c>
      <c r="Q119" s="11" t="n">
        <v>0</v>
      </c>
      <c r="R119" s="11" t="n">
        <v>24.3</v>
      </c>
      <c r="S119" s="11" t="n">
        <v>0</v>
      </c>
      <c r="T119" s="11" t="n">
        <f aca="false">SUM(N119:S119)</f>
        <v>39.3</v>
      </c>
      <c r="U119" s="11" t="n">
        <v>0</v>
      </c>
      <c r="V119" s="11" t="n">
        <v>35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f aca="false">SUM(U119:Z119)</f>
        <v>35</v>
      </c>
      <c r="AB119" s="11" t="n">
        <v>0</v>
      </c>
      <c r="AC119" s="11" t="n">
        <v>9.1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f aca="false">SUM(AB119:AG119)</f>
        <v>9.1</v>
      </c>
      <c r="AI119" s="12" t="s">
        <v>71</v>
      </c>
    </row>
    <row r="120" customFormat="false" ht="15" hidden="false" customHeight="false" outlineLevel="0" collapsed="false">
      <c r="A120" s="8" t="s">
        <v>300</v>
      </c>
      <c r="B120" s="9" t="s">
        <v>301</v>
      </c>
      <c r="C120" s="8" t="s">
        <v>262</v>
      </c>
      <c r="D120" s="12" t="s">
        <v>263</v>
      </c>
      <c r="E120" s="10" t="str">
        <f aca="true">IFERROR(IF(INDEX(INDIRECT("'"&amp;$AI120&amp;"'!$E$2:$E$320"),MATCH($A120,INDIRECT("'"&amp;$AI120&amp;"'!$A$2:$A$320"),0))="","",INDEX(INDIRECT("'"&amp;$AI120&amp;"'!$E$2:$E$320"),MATCH($A120,INDIRECT("'"&amp;$AI120&amp;"'!$A$2:$A$320"),0))),"")</f>
        <v/>
      </c>
      <c r="F120" s="9" t="str">
        <f aca="false">IF($E120="","",IFERROR(INDEX(担当者マスタ!$B$2:$B$101,MATCH($E120,担当者マスタ!$A$2:$A$101,0)),"※マスタ未登録"))</f>
        <v/>
      </c>
      <c r="G120" s="11" t="n">
        <v>1286.233</v>
      </c>
      <c r="H120" s="11" t="n">
        <v>1172.967</v>
      </c>
      <c r="I120" s="11" t="n">
        <v>1625.549</v>
      </c>
      <c r="J120" s="11" t="n">
        <v>915.607</v>
      </c>
      <c r="K120" s="11" t="n">
        <v>903.667</v>
      </c>
      <c r="L120" s="11" t="n">
        <v>1059.244</v>
      </c>
      <c r="M120" s="11" t="n">
        <f aca="false">SUM(G120:L120)</f>
        <v>6963.267</v>
      </c>
      <c r="N120" s="11" t="n">
        <v>613.769</v>
      </c>
      <c r="O120" s="11" t="n">
        <v>536.701</v>
      </c>
      <c r="P120" s="11" t="n">
        <v>762.106</v>
      </c>
      <c r="Q120" s="11" t="n">
        <v>423.219</v>
      </c>
      <c r="R120" s="11" t="n">
        <v>418.542</v>
      </c>
      <c r="S120" s="11" t="n">
        <v>500.46</v>
      </c>
      <c r="T120" s="11" t="n">
        <f aca="false">SUM(N120:S120)</f>
        <v>3254.797</v>
      </c>
      <c r="U120" s="11" t="n">
        <v>841.008</v>
      </c>
      <c r="V120" s="11" t="n">
        <v>616.261</v>
      </c>
      <c r="W120" s="11" t="n">
        <v>1340.37</v>
      </c>
      <c r="X120" s="11" t="n">
        <v>629.336</v>
      </c>
      <c r="Y120" s="11" t="n">
        <v>812.392</v>
      </c>
      <c r="Z120" s="11" t="n">
        <v>970.903</v>
      </c>
      <c r="AA120" s="11" t="n">
        <f aca="false">SUM(U120:Z120)</f>
        <v>5210.27</v>
      </c>
      <c r="AB120" s="11" t="n">
        <v>398.145</v>
      </c>
      <c r="AC120" s="11" t="n">
        <v>285.608</v>
      </c>
      <c r="AD120" s="11" t="n">
        <v>627.918</v>
      </c>
      <c r="AE120" s="11" t="n">
        <v>292.865</v>
      </c>
      <c r="AF120" s="11" t="n">
        <v>390.635</v>
      </c>
      <c r="AG120" s="11" t="n">
        <v>452.69</v>
      </c>
      <c r="AH120" s="11" t="n">
        <f aca="false">SUM(AB120:AG120)</f>
        <v>2447.861</v>
      </c>
      <c r="AI120" s="12" t="s">
        <v>71</v>
      </c>
    </row>
    <row r="121" customFormat="false" ht="15" hidden="false" customHeight="false" outlineLevel="0" collapsed="false">
      <c r="A121" s="8" t="s">
        <v>302</v>
      </c>
      <c r="B121" s="12" t="s">
        <v>303</v>
      </c>
      <c r="C121" s="8" t="s">
        <v>262</v>
      </c>
      <c r="D121" s="12" t="s">
        <v>263</v>
      </c>
      <c r="E121" s="10" t="str">
        <f aca="true">IFERROR(IF(INDEX(INDIRECT("'"&amp;$AI121&amp;"'!$E$2:$E$320"),MATCH($A121,INDIRECT("'"&amp;$AI121&amp;"'!$A$2:$A$320"),0))="","",INDEX(INDIRECT("'"&amp;$AI121&amp;"'!$E$2:$E$320"),MATCH($A121,INDIRECT("'"&amp;$AI121&amp;"'!$A$2:$A$320"),0))),"")</f>
        <v/>
      </c>
      <c r="F121" s="9" t="str">
        <f aca="false">IF($E121="","",IFERROR(INDEX(担当者マスタ!$B$2:$B$101,MATCH($E121,担当者マスタ!$A$2:$A$101,0)),"※マスタ未登録"))</f>
        <v/>
      </c>
      <c r="G121" s="11" t="n">
        <v>0</v>
      </c>
      <c r="H121" s="11" t="n">
        <v>0</v>
      </c>
      <c r="I121" s="11" t="n">
        <v>0</v>
      </c>
      <c r="J121" s="11" t="n">
        <v>42</v>
      </c>
      <c r="K121" s="11" t="n">
        <v>0</v>
      </c>
      <c r="L121" s="11" t="n">
        <v>0</v>
      </c>
      <c r="M121" s="11" t="n">
        <f aca="false">SUM(G121:L121)</f>
        <v>42</v>
      </c>
      <c r="N121" s="11" t="n">
        <v>0</v>
      </c>
      <c r="O121" s="11" t="n">
        <v>0</v>
      </c>
      <c r="P121" s="11" t="n">
        <v>0</v>
      </c>
      <c r="Q121" s="11" t="n">
        <v>10.032</v>
      </c>
      <c r="R121" s="11" t="n">
        <v>0</v>
      </c>
      <c r="S121" s="11" t="n">
        <v>0</v>
      </c>
      <c r="T121" s="11" t="n">
        <f aca="false">SUM(N121:S121)</f>
        <v>10.032</v>
      </c>
      <c r="U121" s="11" t="n">
        <v>0</v>
      </c>
      <c r="V121" s="11" t="n">
        <v>14</v>
      </c>
      <c r="W121" s="11" t="n">
        <v>0</v>
      </c>
      <c r="X121" s="11" t="n">
        <v>0</v>
      </c>
      <c r="Y121" s="11" t="n">
        <v>56</v>
      </c>
      <c r="Z121" s="11" t="n">
        <v>9.1</v>
      </c>
      <c r="AA121" s="11" t="n">
        <f aca="false">SUM(U121:Z121)</f>
        <v>79.1</v>
      </c>
      <c r="AB121" s="11" t="n">
        <v>0</v>
      </c>
      <c r="AC121" s="11" t="n">
        <v>3.344</v>
      </c>
      <c r="AD121" s="11" t="n">
        <v>0</v>
      </c>
      <c r="AE121" s="11" t="n">
        <v>0</v>
      </c>
      <c r="AF121" s="11" t="n">
        <v>13.376</v>
      </c>
      <c r="AG121" s="11" t="n">
        <v>2.04</v>
      </c>
      <c r="AH121" s="11" t="n">
        <f aca="false">SUM(AB121:AG121)</f>
        <v>18.76</v>
      </c>
      <c r="AI121" s="12" t="s">
        <v>71</v>
      </c>
    </row>
    <row r="122" customFormat="false" ht="15" hidden="false" customHeight="false" outlineLevel="0" collapsed="false">
      <c r="A122" s="8" t="s">
        <v>304</v>
      </c>
      <c r="B122" s="9" t="s">
        <v>305</v>
      </c>
      <c r="C122" s="8" t="s">
        <v>262</v>
      </c>
      <c r="D122" s="12" t="s">
        <v>263</v>
      </c>
      <c r="E122" s="10" t="str">
        <f aca="true">IFERROR(IF(INDEX(INDIRECT("'"&amp;$AI122&amp;"'!$E$2:$E$320"),MATCH($A122,INDIRECT("'"&amp;$AI122&amp;"'!$A$2:$A$320"),0))="","",INDEX(INDIRECT("'"&amp;$AI122&amp;"'!$E$2:$E$320"),MATCH($A122,INDIRECT("'"&amp;$AI122&amp;"'!$A$2:$A$320"),0))),"")</f>
        <v/>
      </c>
      <c r="F122" s="9" t="str">
        <f aca="false">IF($E122="","",IFERROR(INDEX(担当者マスタ!$B$2:$B$101,MATCH($E122,担当者マスタ!$A$2:$A$101,0)),"※マスタ未登録"))</f>
        <v/>
      </c>
      <c r="G122" s="11" t="n">
        <v>5.48</v>
      </c>
      <c r="H122" s="11" t="n">
        <v>5.48</v>
      </c>
      <c r="I122" s="11" t="n">
        <v>5.48</v>
      </c>
      <c r="J122" s="11" t="n">
        <v>0</v>
      </c>
      <c r="K122" s="11" t="n">
        <v>5.48</v>
      </c>
      <c r="L122" s="11" t="n">
        <v>5.48</v>
      </c>
      <c r="M122" s="11" t="n">
        <f aca="false">SUM(G122:L122)</f>
        <v>27.4</v>
      </c>
      <c r="N122" s="11" t="n">
        <v>1.96</v>
      </c>
      <c r="O122" s="11" t="n">
        <v>1.96</v>
      </c>
      <c r="P122" s="11" t="n">
        <v>1.96</v>
      </c>
      <c r="Q122" s="11" t="n">
        <v>0</v>
      </c>
      <c r="R122" s="11" t="n">
        <v>1.96</v>
      </c>
      <c r="S122" s="11" t="n">
        <v>1.96</v>
      </c>
      <c r="T122" s="11" t="n">
        <f aca="false">SUM(N122:S122)</f>
        <v>9.8</v>
      </c>
      <c r="U122" s="11" t="n">
        <v>5.92</v>
      </c>
      <c r="V122" s="11" t="n">
        <v>0</v>
      </c>
      <c r="W122" s="11" t="n">
        <v>5.92</v>
      </c>
      <c r="X122" s="11" t="n">
        <v>5.92</v>
      </c>
      <c r="Y122" s="11" t="n">
        <v>5.92</v>
      </c>
      <c r="Z122" s="11" t="n">
        <v>5.92</v>
      </c>
      <c r="AA122" s="11" t="n">
        <f aca="false">SUM(U122:Z122)</f>
        <v>29.6</v>
      </c>
      <c r="AB122" s="11" t="n">
        <v>2.32</v>
      </c>
      <c r="AC122" s="11" t="n">
        <v>0</v>
      </c>
      <c r="AD122" s="11" t="n">
        <v>2.32</v>
      </c>
      <c r="AE122" s="11" t="n">
        <v>2.32</v>
      </c>
      <c r="AF122" s="11" t="n">
        <v>2.32</v>
      </c>
      <c r="AG122" s="11" t="n">
        <v>2.32</v>
      </c>
      <c r="AH122" s="11" t="n">
        <f aca="false">SUM(AB122:AG122)</f>
        <v>11.6</v>
      </c>
      <c r="AI122" s="12" t="s">
        <v>71</v>
      </c>
    </row>
    <row r="123" customFormat="false" ht="15" hidden="false" customHeight="false" outlineLevel="0" collapsed="false">
      <c r="A123" s="8" t="s">
        <v>306</v>
      </c>
      <c r="B123" s="9" t="s">
        <v>307</v>
      </c>
      <c r="C123" s="8" t="s">
        <v>262</v>
      </c>
      <c r="D123" s="12" t="s">
        <v>263</v>
      </c>
      <c r="E123" s="10" t="str">
        <f aca="true">IFERROR(IF(INDEX(INDIRECT("'"&amp;$AI123&amp;"'!$E$2:$E$320"),MATCH($A123,INDIRECT("'"&amp;$AI123&amp;"'!$A$2:$A$320"),0))="","",INDEX(INDIRECT("'"&amp;$AI123&amp;"'!$E$2:$E$320"),MATCH($A123,INDIRECT("'"&amp;$AI123&amp;"'!$A$2:$A$320"),0))),"")</f>
        <v/>
      </c>
      <c r="F123" s="9" t="str">
        <f aca="false">IF($E123="","",IFERROR(INDEX(担当者マスタ!$B$2:$B$101,MATCH($E123,担当者マスタ!$A$2:$A$101,0)),"※マスタ未登録"))</f>
        <v/>
      </c>
      <c r="G123" s="11" t="n">
        <v>0</v>
      </c>
      <c r="H123" s="11" t="n">
        <v>49.1</v>
      </c>
      <c r="I123" s="11" t="n">
        <v>657.66</v>
      </c>
      <c r="J123" s="11" t="n">
        <v>184.5</v>
      </c>
      <c r="K123" s="11" t="n">
        <v>0</v>
      </c>
      <c r="L123" s="11" t="n">
        <v>0</v>
      </c>
      <c r="M123" s="11" t="n">
        <f aca="false">SUM(G123:L123)</f>
        <v>891.26</v>
      </c>
      <c r="N123" s="11" t="n">
        <v>0</v>
      </c>
      <c r="O123" s="11" t="n">
        <v>6.8</v>
      </c>
      <c r="P123" s="11" t="n">
        <v>192.17</v>
      </c>
      <c r="Q123" s="11" t="n">
        <v>29.175</v>
      </c>
      <c r="R123" s="11" t="n">
        <v>0</v>
      </c>
      <c r="S123" s="11" t="n">
        <v>0</v>
      </c>
      <c r="T123" s="11" t="n">
        <f aca="false">SUM(N123:S123)</f>
        <v>228.145</v>
      </c>
      <c r="U123" s="11" t="n">
        <v>501.49</v>
      </c>
      <c r="V123" s="11" t="n">
        <v>20</v>
      </c>
      <c r="W123" s="11" t="n">
        <v>0</v>
      </c>
      <c r="X123" s="11" t="n">
        <v>1</v>
      </c>
      <c r="Y123" s="11" t="n">
        <v>554.295</v>
      </c>
      <c r="Z123" s="11" t="n">
        <v>36.06</v>
      </c>
      <c r="AA123" s="11" t="n">
        <f aca="false">SUM(U123:Z123)</f>
        <v>1112.845</v>
      </c>
      <c r="AB123" s="11" t="n">
        <v>85.241</v>
      </c>
      <c r="AC123" s="11" t="n">
        <v>4.825</v>
      </c>
      <c r="AD123" s="11" t="n">
        <v>0</v>
      </c>
      <c r="AE123" s="11" t="n">
        <v>0.21</v>
      </c>
      <c r="AF123" s="11" t="n">
        <v>108.99</v>
      </c>
      <c r="AG123" s="11" t="n">
        <v>8.28</v>
      </c>
      <c r="AH123" s="11" t="n">
        <f aca="false">SUM(AB123:AG123)</f>
        <v>207.546</v>
      </c>
      <c r="AI123" s="12" t="s">
        <v>71</v>
      </c>
    </row>
    <row r="124" customFormat="false" ht="15" hidden="false" customHeight="false" outlineLevel="0" collapsed="false">
      <c r="A124" s="8" t="s">
        <v>308</v>
      </c>
      <c r="B124" s="9" t="s">
        <v>309</v>
      </c>
      <c r="C124" s="8" t="s">
        <v>262</v>
      </c>
      <c r="D124" s="12" t="s">
        <v>263</v>
      </c>
      <c r="E124" s="10" t="str">
        <f aca="true">IFERROR(IF(INDEX(INDIRECT("'"&amp;$AI124&amp;"'!$E$2:$E$320"),MATCH($A124,INDIRECT("'"&amp;$AI124&amp;"'!$A$2:$A$320"),0))="","",INDEX(INDIRECT("'"&amp;$AI124&amp;"'!$E$2:$E$320"),MATCH($A124,INDIRECT("'"&amp;$AI124&amp;"'!$A$2:$A$320"),0))),"")</f>
        <v/>
      </c>
      <c r="F124" s="9" t="str">
        <f aca="false">IF($E124="","",IFERROR(INDEX(担当者マスタ!$B$2:$B$101,MATCH($E124,担当者マスタ!$A$2:$A$101,0)),"※マスタ未登録"))</f>
        <v/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17.3</v>
      </c>
      <c r="L124" s="11" t="n">
        <v>0</v>
      </c>
      <c r="M124" s="11" t="n">
        <f aca="false">SUM(G124:L124)</f>
        <v>17.3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4.1</v>
      </c>
      <c r="S124" s="11" t="n">
        <v>0</v>
      </c>
      <c r="T124" s="11" t="n">
        <f aca="false">SUM(N124:S124)</f>
        <v>4.1</v>
      </c>
      <c r="U124" s="11" t="n">
        <v>23.8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f aca="false">SUM(U124:Z124)</f>
        <v>23.8</v>
      </c>
      <c r="AB124" s="11" t="n">
        <v>6.4</v>
      </c>
      <c r="AC124" s="11" t="n">
        <v>0</v>
      </c>
      <c r="AD124" s="11" t="n">
        <v>0</v>
      </c>
      <c r="AE124" s="11" t="n">
        <v>0</v>
      </c>
      <c r="AF124" s="11" t="n">
        <v>0</v>
      </c>
      <c r="AG124" s="11" t="n">
        <v>0</v>
      </c>
      <c r="AH124" s="11" t="n">
        <f aca="false">SUM(AB124:AG124)</f>
        <v>6.4</v>
      </c>
      <c r="AI124" s="12" t="s">
        <v>71</v>
      </c>
    </row>
    <row r="125" customFormat="false" ht="15" hidden="false" customHeight="false" outlineLevel="0" collapsed="false">
      <c r="A125" s="8" t="s">
        <v>310</v>
      </c>
      <c r="B125" s="12" t="s">
        <v>311</v>
      </c>
      <c r="C125" s="8" t="s">
        <v>262</v>
      </c>
      <c r="D125" s="12" t="s">
        <v>263</v>
      </c>
      <c r="E125" s="10" t="str">
        <f aca="true">IFERROR(IF(INDEX(INDIRECT("'"&amp;$AI125&amp;"'!$E$2:$E$320"),MATCH($A125,INDIRECT("'"&amp;$AI125&amp;"'!$A$2:$A$320"),0))="","",INDEX(INDIRECT("'"&amp;$AI125&amp;"'!$E$2:$E$320"),MATCH($A125,INDIRECT("'"&amp;$AI125&amp;"'!$A$2:$A$320"),0))),"")</f>
        <v/>
      </c>
      <c r="F125" s="9" t="str">
        <f aca="false">IF($E125="","",IFERROR(INDEX(担当者マスタ!$B$2:$B$101,MATCH($E125,担当者マスタ!$A$2:$A$101,0)),"※マスタ未登録"))</f>
        <v/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f aca="false">SUM(G125:L125)</f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f aca="false">SUM(N125:S125)</f>
        <v>0</v>
      </c>
      <c r="U125" s="11" t="n">
        <v>0</v>
      </c>
      <c r="V125" s="11" t="n">
        <v>0.7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f aca="false">SUM(U125:Z125)</f>
        <v>0.7</v>
      </c>
      <c r="AB125" s="11" t="n">
        <v>0</v>
      </c>
      <c r="AC125" s="11" t="n">
        <v>0.221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f aca="false">SUM(AB125:AG125)</f>
        <v>0.221</v>
      </c>
      <c r="AI125" s="12" t="s">
        <v>71</v>
      </c>
    </row>
    <row r="126" customFormat="false" ht="15" hidden="false" customHeight="false" outlineLevel="0" collapsed="false">
      <c r="A126" s="8" t="s">
        <v>312</v>
      </c>
      <c r="B126" s="9" t="s">
        <v>313</v>
      </c>
      <c r="C126" s="8" t="s">
        <v>262</v>
      </c>
      <c r="D126" s="12" t="s">
        <v>263</v>
      </c>
      <c r="E126" s="10" t="str">
        <f aca="true">IFERROR(IF(INDEX(INDIRECT("'"&amp;$AI126&amp;"'!$E$2:$E$320"),MATCH($A126,INDIRECT("'"&amp;$AI126&amp;"'!$A$2:$A$320"),0))="","",INDEX(INDIRECT("'"&amp;$AI126&amp;"'!$E$2:$E$320"),MATCH($A126,INDIRECT("'"&amp;$AI126&amp;"'!$A$2:$A$320"),0))),"")</f>
        <v/>
      </c>
      <c r="F126" s="9" t="str">
        <f aca="false">IF($E126="","",IFERROR(INDEX(担当者マスタ!$B$2:$B$101,MATCH($E126,担当者マスタ!$A$2:$A$101,0)),"※マスタ未登録"))</f>
        <v/>
      </c>
      <c r="G126" s="11" t="n">
        <v>0</v>
      </c>
      <c r="H126" s="11" t="n">
        <v>383.37</v>
      </c>
      <c r="I126" s="11" t="n">
        <v>113.82</v>
      </c>
      <c r="J126" s="11" t="n">
        <v>50.28</v>
      </c>
      <c r="K126" s="11" t="n">
        <v>183.52</v>
      </c>
      <c r="L126" s="11" t="n">
        <v>43.57</v>
      </c>
      <c r="M126" s="11" t="n">
        <f aca="false">SUM(G126:L126)</f>
        <v>774.56</v>
      </c>
      <c r="N126" s="11" t="n">
        <v>0</v>
      </c>
      <c r="O126" s="11" t="n">
        <v>106.222</v>
      </c>
      <c r="P126" s="11" t="n">
        <v>37.84</v>
      </c>
      <c r="Q126" s="11" t="n">
        <v>13.56</v>
      </c>
      <c r="R126" s="11" t="n">
        <v>47.297</v>
      </c>
      <c r="S126" s="11" t="n">
        <v>12.398</v>
      </c>
      <c r="T126" s="11" t="n">
        <f aca="false">SUM(N126:S126)</f>
        <v>217.317</v>
      </c>
      <c r="U126" s="11" t="n">
        <v>2097.1</v>
      </c>
      <c r="V126" s="11" t="n">
        <v>181.04</v>
      </c>
      <c r="W126" s="11" t="n">
        <v>130.38</v>
      </c>
      <c r="X126" s="11" t="n">
        <v>194.65</v>
      </c>
      <c r="Y126" s="11" t="n">
        <v>103.76</v>
      </c>
      <c r="Z126" s="11" t="n">
        <v>10.835</v>
      </c>
      <c r="AA126" s="11" t="n">
        <f aca="false">SUM(U126:Z126)</f>
        <v>2717.765</v>
      </c>
      <c r="AB126" s="11" t="n">
        <v>391.92</v>
      </c>
      <c r="AC126" s="11" t="n">
        <v>52.94</v>
      </c>
      <c r="AD126" s="11" t="n">
        <v>41.43</v>
      </c>
      <c r="AE126" s="11" t="n">
        <v>42.94</v>
      </c>
      <c r="AF126" s="11" t="n">
        <v>41.7</v>
      </c>
      <c r="AG126" s="11" t="n">
        <v>10.275</v>
      </c>
      <c r="AH126" s="11" t="n">
        <f aca="false">SUM(AB126:AG126)</f>
        <v>581.205</v>
      </c>
      <c r="AI126" s="12" t="s">
        <v>71</v>
      </c>
    </row>
    <row r="127" customFormat="false" ht="15" hidden="false" customHeight="false" outlineLevel="0" collapsed="false">
      <c r="A127" s="8" t="s">
        <v>314</v>
      </c>
      <c r="B127" s="12" t="s">
        <v>315</v>
      </c>
      <c r="C127" s="8" t="s">
        <v>262</v>
      </c>
      <c r="D127" s="12" t="s">
        <v>263</v>
      </c>
      <c r="E127" s="10" t="str">
        <f aca="true">IFERROR(IF(INDEX(INDIRECT("'"&amp;$AI127&amp;"'!$E$2:$E$320"),MATCH($A127,INDIRECT("'"&amp;$AI127&amp;"'!$A$2:$A$320"),0))="","",INDEX(INDIRECT("'"&amp;$AI127&amp;"'!$E$2:$E$320"),MATCH($A127,INDIRECT("'"&amp;$AI127&amp;"'!$A$2:$A$320"),0))),"")</f>
        <v/>
      </c>
      <c r="F127" s="9" t="str">
        <f aca="false">IF($E127="","",IFERROR(INDEX(担当者マスタ!$B$2:$B$101,MATCH($E127,担当者マスタ!$A$2:$A$101,0)),"※マスタ未登録"))</f>
        <v/>
      </c>
      <c r="G127" s="11" t="n">
        <v>5.071</v>
      </c>
      <c r="H127" s="11" t="n">
        <v>0</v>
      </c>
      <c r="I127" s="11" t="n">
        <v>21.052</v>
      </c>
      <c r="J127" s="11" t="n">
        <v>4.851</v>
      </c>
      <c r="K127" s="11" t="n">
        <v>0</v>
      </c>
      <c r="L127" s="11" t="n">
        <v>5.687</v>
      </c>
      <c r="M127" s="11" t="n">
        <f aca="false">SUM(G127:L127)</f>
        <v>36.661</v>
      </c>
      <c r="N127" s="11" t="n">
        <v>1.343</v>
      </c>
      <c r="O127" s="11" t="n">
        <v>0</v>
      </c>
      <c r="P127" s="11" t="n">
        <v>5.818</v>
      </c>
      <c r="Q127" s="11" t="n">
        <v>1.412</v>
      </c>
      <c r="R127" s="11" t="n">
        <v>0</v>
      </c>
      <c r="S127" s="11" t="n">
        <v>1.537</v>
      </c>
      <c r="T127" s="11" t="n">
        <f aca="false">SUM(N127:S127)</f>
        <v>10.11</v>
      </c>
      <c r="U127" s="11" t="n">
        <v>0</v>
      </c>
      <c r="V127" s="11" t="n">
        <v>2.27</v>
      </c>
      <c r="W127" s="11" t="n">
        <v>2.27</v>
      </c>
      <c r="X127" s="11" t="n">
        <v>0</v>
      </c>
      <c r="Y127" s="11" t="n">
        <v>0</v>
      </c>
      <c r="Z127" s="11" t="n">
        <v>0</v>
      </c>
      <c r="AA127" s="11" t="n">
        <f aca="false">SUM(U127:Z127)</f>
        <v>4.54</v>
      </c>
      <c r="AB127" s="11" t="n">
        <v>0</v>
      </c>
      <c r="AC127" s="11" t="n">
        <v>0.665</v>
      </c>
      <c r="AD127" s="11" t="n">
        <v>0.665</v>
      </c>
      <c r="AE127" s="11" t="n">
        <v>0</v>
      </c>
      <c r="AF127" s="11" t="n">
        <v>0</v>
      </c>
      <c r="AG127" s="11" t="n">
        <v>0</v>
      </c>
      <c r="AH127" s="11" t="n">
        <f aca="false">SUM(AB127:AG127)</f>
        <v>1.33</v>
      </c>
      <c r="AI127" s="12" t="s">
        <v>71</v>
      </c>
    </row>
    <row r="128" customFormat="false" ht="15" hidden="false" customHeight="false" outlineLevel="0" collapsed="false">
      <c r="A128" s="8" t="s">
        <v>316</v>
      </c>
      <c r="B128" s="12" t="s">
        <v>317</v>
      </c>
      <c r="C128" s="8" t="s">
        <v>262</v>
      </c>
      <c r="D128" s="12" t="s">
        <v>263</v>
      </c>
      <c r="E128" s="10" t="str">
        <f aca="true">IFERROR(IF(INDEX(INDIRECT("'"&amp;$AI128&amp;"'!$E$2:$E$320"),MATCH($A128,INDIRECT("'"&amp;$AI128&amp;"'!$A$2:$A$320"),0))="","",INDEX(INDIRECT("'"&amp;$AI128&amp;"'!$E$2:$E$320"),MATCH($A128,INDIRECT("'"&amp;$AI128&amp;"'!$A$2:$A$320"),0))),"")</f>
        <v/>
      </c>
      <c r="F128" s="9" t="str">
        <f aca="false">IF($E128="","",IFERROR(INDEX(担当者マスタ!$B$2:$B$101,MATCH($E128,担当者マスタ!$A$2:$A$101,0)),"※マスタ未登録"))</f>
        <v/>
      </c>
      <c r="G128" s="11" t="n">
        <v>16.223</v>
      </c>
      <c r="H128" s="11" t="n">
        <v>7.872</v>
      </c>
      <c r="I128" s="11" t="n">
        <v>37.999</v>
      </c>
      <c r="J128" s="11" t="n">
        <v>0</v>
      </c>
      <c r="K128" s="11" t="n">
        <v>0</v>
      </c>
      <c r="L128" s="11" t="n">
        <v>15.937</v>
      </c>
      <c r="M128" s="11" t="n">
        <f aca="false">SUM(G128:L128)</f>
        <v>78.031</v>
      </c>
      <c r="N128" s="11" t="n">
        <v>4.815</v>
      </c>
      <c r="O128" s="11" t="n">
        <v>2.268</v>
      </c>
      <c r="P128" s="11" t="n">
        <v>12.993</v>
      </c>
      <c r="Q128" s="11" t="n">
        <v>0</v>
      </c>
      <c r="R128" s="11" t="n">
        <v>0</v>
      </c>
      <c r="S128" s="11" t="n">
        <v>4.791</v>
      </c>
      <c r="T128" s="11" t="n">
        <f aca="false">SUM(N128:S128)</f>
        <v>24.867</v>
      </c>
      <c r="U128" s="11" t="n">
        <v>0</v>
      </c>
      <c r="V128" s="11" t="n">
        <v>39.446</v>
      </c>
      <c r="W128" s="11" t="n">
        <v>0</v>
      </c>
      <c r="X128" s="11" t="n">
        <v>29.289</v>
      </c>
      <c r="Y128" s="11" t="n">
        <v>0</v>
      </c>
      <c r="Z128" s="11" t="n">
        <v>14.88</v>
      </c>
      <c r="AA128" s="11" t="n">
        <f aca="false">SUM(U128:Z128)</f>
        <v>83.615</v>
      </c>
      <c r="AB128" s="11" t="n">
        <v>0</v>
      </c>
      <c r="AC128" s="11" t="n">
        <v>13.256</v>
      </c>
      <c r="AD128" s="11" t="n">
        <v>0</v>
      </c>
      <c r="AE128" s="11" t="n">
        <v>10.382</v>
      </c>
      <c r="AF128" s="11" t="n">
        <v>0</v>
      </c>
      <c r="AG128" s="11" t="n">
        <v>4.62</v>
      </c>
      <c r="AH128" s="11" t="n">
        <f aca="false">SUM(AB128:AG128)</f>
        <v>28.258</v>
      </c>
      <c r="AI128" s="12" t="s">
        <v>71</v>
      </c>
    </row>
    <row r="129" customFormat="false" ht="15" hidden="false" customHeight="false" outlineLevel="0" collapsed="false">
      <c r="A129" s="8" t="s">
        <v>318</v>
      </c>
      <c r="B129" s="12" t="s">
        <v>319</v>
      </c>
      <c r="C129" s="8" t="s">
        <v>262</v>
      </c>
      <c r="D129" s="12" t="s">
        <v>263</v>
      </c>
      <c r="E129" s="10" t="str">
        <f aca="true">IFERROR(IF(INDEX(INDIRECT("'"&amp;$AI129&amp;"'!$E$2:$E$320"),MATCH($A129,INDIRECT("'"&amp;$AI129&amp;"'!$A$2:$A$320"),0))="","",INDEX(INDIRECT("'"&amp;$AI129&amp;"'!$E$2:$E$320"),MATCH($A129,INDIRECT("'"&amp;$AI129&amp;"'!$A$2:$A$320"),0))),"")</f>
        <v/>
      </c>
      <c r="F129" s="9" t="str">
        <f aca="false">IF($E129="","",IFERROR(INDEX(担当者マスタ!$B$2:$B$101,MATCH($E129,担当者マスタ!$A$2:$A$101,0)),"※マスタ未登録"))</f>
        <v/>
      </c>
      <c r="G129" s="11" t="n">
        <v>38.322</v>
      </c>
      <c r="H129" s="11" t="n">
        <v>38.322</v>
      </c>
      <c r="I129" s="11" t="n">
        <v>38.322</v>
      </c>
      <c r="J129" s="11" t="n">
        <v>38.322</v>
      </c>
      <c r="K129" s="11" t="n">
        <v>0</v>
      </c>
      <c r="L129" s="11" t="n">
        <v>38.322</v>
      </c>
      <c r="M129" s="11" t="n">
        <f aca="false">SUM(G129:L129)</f>
        <v>191.61</v>
      </c>
      <c r="N129" s="11" t="n">
        <v>10.242</v>
      </c>
      <c r="O129" s="11" t="n">
        <v>10.242</v>
      </c>
      <c r="P129" s="11" t="n">
        <v>10.242</v>
      </c>
      <c r="Q129" s="11" t="n">
        <v>10.242</v>
      </c>
      <c r="R129" s="11" t="n">
        <v>0</v>
      </c>
      <c r="S129" s="11" t="n">
        <v>10.242</v>
      </c>
      <c r="T129" s="11" t="n">
        <f aca="false">SUM(N129:S129)</f>
        <v>51.21</v>
      </c>
      <c r="U129" s="11" t="n">
        <v>38.322</v>
      </c>
      <c r="V129" s="11" t="n">
        <v>25.548</v>
      </c>
      <c r="W129" s="11" t="n">
        <v>51.096</v>
      </c>
      <c r="X129" s="11" t="n">
        <v>0</v>
      </c>
      <c r="Y129" s="11" t="n">
        <v>25.548</v>
      </c>
      <c r="Z129" s="11" t="n">
        <v>25.548</v>
      </c>
      <c r="AA129" s="11" t="n">
        <f aca="false">SUM(U129:Z129)</f>
        <v>166.062</v>
      </c>
      <c r="AB129" s="11" t="n">
        <v>10.242</v>
      </c>
      <c r="AC129" s="11" t="n">
        <v>6.828</v>
      </c>
      <c r="AD129" s="11" t="n">
        <v>13.656</v>
      </c>
      <c r="AE129" s="11" t="n">
        <v>0</v>
      </c>
      <c r="AF129" s="11" t="n">
        <v>6.828</v>
      </c>
      <c r="AG129" s="11" t="n">
        <v>6.828</v>
      </c>
      <c r="AH129" s="11" t="n">
        <f aca="false">SUM(AB129:AG129)</f>
        <v>44.382</v>
      </c>
      <c r="AI129" s="12" t="s">
        <v>71</v>
      </c>
    </row>
    <row r="130" customFormat="false" ht="15" hidden="false" customHeight="false" outlineLevel="0" collapsed="false">
      <c r="A130" s="8" t="s">
        <v>320</v>
      </c>
      <c r="B130" s="12" t="s">
        <v>321</v>
      </c>
      <c r="C130" s="8" t="s">
        <v>262</v>
      </c>
      <c r="D130" s="12" t="s">
        <v>263</v>
      </c>
      <c r="E130" s="10" t="str">
        <f aca="true">IFERROR(IF(INDEX(INDIRECT("'"&amp;$AI130&amp;"'!$E$2:$E$320"),MATCH($A130,INDIRECT("'"&amp;$AI130&amp;"'!$A$2:$A$320"),0))="","",INDEX(INDIRECT("'"&amp;$AI130&amp;"'!$E$2:$E$320"),MATCH($A130,INDIRECT("'"&amp;$AI130&amp;"'!$A$2:$A$320"),0))),"")</f>
        <v/>
      </c>
      <c r="F130" s="9" t="str">
        <f aca="false">IF($E130="","",IFERROR(INDEX(担当者マスタ!$B$2:$B$101,MATCH($E130,担当者マスタ!$A$2:$A$101,0)),"※マスタ未登録"))</f>
        <v/>
      </c>
      <c r="G130" s="11" t="n">
        <v>0</v>
      </c>
      <c r="H130" s="11" t="n">
        <v>65.792</v>
      </c>
      <c r="I130" s="11" t="n">
        <v>0</v>
      </c>
      <c r="J130" s="11" t="n">
        <v>0</v>
      </c>
      <c r="K130" s="11" t="n">
        <v>0</v>
      </c>
      <c r="L130" s="11" t="n">
        <v>30.862</v>
      </c>
      <c r="M130" s="11" t="n">
        <f aca="false">SUM(G130:L130)</f>
        <v>96.654</v>
      </c>
      <c r="N130" s="11" t="n">
        <v>0</v>
      </c>
      <c r="O130" s="11" t="n">
        <v>20.869</v>
      </c>
      <c r="P130" s="11" t="n">
        <v>0</v>
      </c>
      <c r="Q130" s="11" t="n">
        <v>0</v>
      </c>
      <c r="R130" s="11" t="n">
        <v>0</v>
      </c>
      <c r="S130" s="11" t="n">
        <v>11.839</v>
      </c>
      <c r="T130" s="11" t="n">
        <f aca="false">SUM(N130:S130)</f>
        <v>32.708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56.55</v>
      </c>
      <c r="Z130" s="11" t="n">
        <v>0</v>
      </c>
      <c r="AA130" s="11" t="n">
        <f aca="false">SUM(U130:Z130)</f>
        <v>56.55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19.05</v>
      </c>
      <c r="AG130" s="11" t="n">
        <v>0</v>
      </c>
      <c r="AH130" s="11" t="n">
        <f aca="false">SUM(AB130:AG130)</f>
        <v>19.05</v>
      </c>
      <c r="AI130" s="12" t="s">
        <v>71</v>
      </c>
    </row>
    <row r="131" customFormat="false" ht="15" hidden="false" customHeight="false" outlineLevel="0" collapsed="false">
      <c r="A131" s="8" t="s">
        <v>322</v>
      </c>
      <c r="B131" s="12" t="s">
        <v>323</v>
      </c>
      <c r="C131" s="8" t="s">
        <v>262</v>
      </c>
      <c r="D131" s="12" t="s">
        <v>263</v>
      </c>
      <c r="E131" s="10" t="str">
        <f aca="true">IFERROR(IF(INDEX(INDIRECT("'"&amp;$AI131&amp;"'!$E$2:$E$320"),MATCH($A131,INDIRECT("'"&amp;$AI131&amp;"'!$A$2:$A$320"),0))="","",INDEX(INDIRECT("'"&amp;$AI131&amp;"'!$E$2:$E$320"),MATCH($A131,INDIRECT("'"&amp;$AI131&amp;"'!$A$2:$A$320"),0))),"")</f>
        <v/>
      </c>
      <c r="F131" s="9" t="str">
        <f aca="false">IF($E131="","",IFERROR(INDEX(担当者マスタ!$B$2:$B$101,MATCH($E131,担当者マスタ!$A$2:$A$101,0)),"※マスタ未登録"))</f>
        <v/>
      </c>
      <c r="G131" s="11" t="n">
        <v>0</v>
      </c>
      <c r="H131" s="11" t="n">
        <v>61.68</v>
      </c>
      <c r="I131" s="11" t="n">
        <v>48.2</v>
      </c>
      <c r="J131" s="11" t="n">
        <v>0</v>
      </c>
      <c r="K131" s="11" t="n">
        <v>5.48</v>
      </c>
      <c r="L131" s="11" t="n">
        <v>71.864</v>
      </c>
      <c r="M131" s="11" t="n">
        <f aca="false">SUM(G131:L131)</f>
        <v>187.224</v>
      </c>
      <c r="N131" s="11" t="n">
        <v>0</v>
      </c>
      <c r="O131" s="11" t="n">
        <v>20.745</v>
      </c>
      <c r="P131" s="11" t="n">
        <v>10.86</v>
      </c>
      <c r="Q131" s="11" t="n">
        <v>0</v>
      </c>
      <c r="R131" s="11" t="n">
        <v>2.606</v>
      </c>
      <c r="S131" s="11" t="n">
        <v>28.944</v>
      </c>
      <c r="T131" s="11" t="n">
        <f aca="false">SUM(N131:S131)</f>
        <v>63.155</v>
      </c>
      <c r="U131" s="11" t="n">
        <v>111.94</v>
      </c>
      <c r="V131" s="11" t="n">
        <v>44.214</v>
      </c>
      <c r="W131" s="11" t="n">
        <v>135.41</v>
      </c>
      <c r="X131" s="11" t="n">
        <v>0</v>
      </c>
      <c r="Y131" s="11" t="n">
        <v>16.8</v>
      </c>
      <c r="Z131" s="11" t="n">
        <v>32.28</v>
      </c>
      <c r="AA131" s="11" t="n">
        <f aca="false">SUM(U131:Z131)</f>
        <v>340.644</v>
      </c>
      <c r="AB131" s="11" t="n">
        <v>31</v>
      </c>
      <c r="AC131" s="11" t="n">
        <v>11.003</v>
      </c>
      <c r="AD131" s="11" t="n">
        <v>39.65</v>
      </c>
      <c r="AE131" s="11" t="n">
        <v>0</v>
      </c>
      <c r="AF131" s="11" t="n">
        <v>3.9</v>
      </c>
      <c r="AG131" s="11" t="n">
        <v>12.72</v>
      </c>
      <c r="AH131" s="11" t="n">
        <f aca="false">SUM(AB131:AG131)</f>
        <v>98.273</v>
      </c>
      <c r="AI131" s="12" t="s">
        <v>71</v>
      </c>
    </row>
    <row r="132" customFormat="false" ht="15" hidden="false" customHeight="false" outlineLevel="0" collapsed="false">
      <c r="A132" s="8" t="s">
        <v>324</v>
      </c>
      <c r="B132" s="12" t="s">
        <v>325</v>
      </c>
      <c r="C132" s="8" t="s">
        <v>262</v>
      </c>
      <c r="D132" s="12" t="s">
        <v>263</v>
      </c>
      <c r="E132" s="10" t="str">
        <f aca="true">IFERROR(IF(INDEX(INDIRECT("'"&amp;$AI132&amp;"'!$E$2:$E$320"),MATCH($A132,INDIRECT("'"&amp;$AI132&amp;"'!$A$2:$A$320"),0))="","",INDEX(INDIRECT("'"&amp;$AI132&amp;"'!$E$2:$E$320"),MATCH($A132,INDIRECT("'"&amp;$AI132&amp;"'!$A$2:$A$320"),0))),"")</f>
        <v/>
      </c>
      <c r="F132" s="9" t="str">
        <f aca="false">IF($E132="","",IFERROR(INDEX(担当者マスタ!$B$2:$B$101,MATCH($E132,担当者マスタ!$A$2:$A$101,0)),"※マスタ未登録"))</f>
        <v/>
      </c>
      <c r="G132" s="11" t="n">
        <v>0</v>
      </c>
      <c r="H132" s="11" t="n">
        <v>49.161</v>
      </c>
      <c r="I132" s="11" t="n">
        <v>14.5</v>
      </c>
      <c r="J132" s="11" t="n">
        <v>0</v>
      </c>
      <c r="K132" s="11" t="n">
        <v>46.726</v>
      </c>
      <c r="L132" s="11" t="n">
        <v>571.309</v>
      </c>
      <c r="M132" s="11" t="n">
        <f aca="false">SUM(G132:L132)</f>
        <v>681.696</v>
      </c>
      <c r="N132" s="11" t="n">
        <v>0</v>
      </c>
      <c r="O132" s="11" t="n">
        <v>16.149</v>
      </c>
      <c r="P132" s="11" t="n">
        <v>3.5</v>
      </c>
      <c r="Q132" s="11" t="n">
        <v>0</v>
      </c>
      <c r="R132" s="11" t="n">
        <v>21.24</v>
      </c>
      <c r="S132" s="11" t="n">
        <v>69.6616</v>
      </c>
      <c r="T132" s="11" t="n">
        <f aca="false">SUM(N132:S132)</f>
        <v>110.5506</v>
      </c>
      <c r="U132" s="11" t="n">
        <v>116.824</v>
      </c>
      <c r="V132" s="11" t="n">
        <v>43.52</v>
      </c>
      <c r="W132" s="11" t="n">
        <v>41.822</v>
      </c>
      <c r="X132" s="11" t="n">
        <v>0.141</v>
      </c>
      <c r="Y132" s="11" t="n">
        <v>90.288</v>
      </c>
      <c r="Z132" s="11" t="n">
        <v>3.795</v>
      </c>
      <c r="AA132" s="11" t="n">
        <f aca="false">SUM(U132:Z132)</f>
        <v>296.39</v>
      </c>
      <c r="AB132" s="11" t="n">
        <v>8.984</v>
      </c>
      <c r="AC132" s="11" t="n">
        <v>19.54</v>
      </c>
      <c r="AD132" s="11" t="n">
        <v>18.805</v>
      </c>
      <c r="AE132" s="11" t="n">
        <v>0.036</v>
      </c>
      <c r="AF132" s="11" t="n">
        <v>28.551</v>
      </c>
      <c r="AG132" s="11" t="n">
        <v>1.595</v>
      </c>
      <c r="AH132" s="11" t="n">
        <f aca="false">SUM(AB132:AG132)</f>
        <v>77.511</v>
      </c>
      <c r="AI132" s="12" t="s">
        <v>71</v>
      </c>
    </row>
    <row r="133" customFormat="false" ht="15" hidden="false" customHeight="false" outlineLevel="0" collapsed="false">
      <c r="A133" s="8" t="s">
        <v>326</v>
      </c>
      <c r="B133" s="9" t="s">
        <v>327</v>
      </c>
      <c r="C133" s="8" t="s">
        <v>262</v>
      </c>
      <c r="D133" s="12" t="s">
        <v>263</v>
      </c>
      <c r="E133" s="10" t="str">
        <f aca="true">IFERROR(IF(INDEX(INDIRECT("'"&amp;$AI133&amp;"'!$E$2:$E$320"),MATCH($A133,INDIRECT("'"&amp;$AI133&amp;"'!$A$2:$A$320"),0))="","",INDEX(INDIRECT("'"&amp;$AI133&amp;"'!$E$2:$E$320"),MATCH($A133,INDIRECT("'"&amp;$AI133&amp;"'!$A$2:$A$320"),0))),"")</f>
        <v/>
      </c>
      <c r="F133" s="9" t="str">
        <f aca="false">IF($E133="","",IFERROR(INDEX(担当者マスタ!$B$2:$B$101,MATCH($E133,担当者マスタ!$A$2:$A$101,0)),"※マスタ未登録"))</f>
        <v/>
      </c>
      <c r="G133" s="11" t="n">
        <v>179.18</v>
      </c>
      <c r="H133" s="11" t="n">
        <v>0</v>
      </c>
      <c r="I133" s="11" t="n">
        <v>0</v>
      </c>
      <c r="J133" s="11" t="n">
        <v>0</v>
      </c>
      <c r="K133" s="11" t="n">
        <v>29.92</v>
      </c>
      <c r="L133" s="11" t="n">
        <v>0</v>
      </c>
      <c r="M133" s="11" t="n">
        <f aca="false">SUM(G133:L133)</f>
        <v>209.1</v>
      </c>
      <c r="N133" s="11" t="n">
        <v>17.7</v>
      </c>
      <c r="O133" s="11" t="n">
        <v>0</v>
      </c>
      <c r="P133" s="11" t="n">
        <v>0</v>
      </c>
      <c r="Q133" s="11" t="n">
        <v>0</v>
      </c>
      <c r="R133" s="11" t="n">
        <v>12.593</v>
      </c>
      <c r="S133" s="11" t="n">
        <v>0</v>
      </c>
      <c r="T133" s="11" t="n">
        <f aca="false">SUM(N133:S133)</f>
        <v>30.293</v>
      </c>
      <c r="U133" s="11" t="n">
        <v>0</v>
      </c>
      <c r="V133" s="11" t="n">
        <v>60.26</v>
      </c>
      <c r="W133" s="11" t="n">
        <v>0</v>
      </c>
      <c r="X133" s="11" t="n">
        <v>0</v>
      </c>
      <c r="Y133" s="11" t="n">
        <v>0</v>
      </c>
      <c r="Z133" s="11" t="n">
        <v>11.96</v>
      </c>
      <c r="AA133" s="11" t="n">
        <f aca="false">SUM(U133:Z133)</f>
        <v>72.22</v>
      </c>
      <c r="AB133" s="11" t="n">
        <v>0</v>
      </c>
      <c r="AC133" s="11" t="n">
        <v>6.3</v>
      </c>
      <c r="AD133" s="11" t="n">
        <v>0</v>
      </c>
      <c r="AE133" s="11" t="n">
        <v>0</v>
      </c>
      <c r="AF133" s="11" t="n">
        <v>0</v>
      </c>
      <c r="AG133" s="11" t="n">
        <v>3.8</v>
      </c>
      <c r="AH133" s="11" t="n">
        <f aca="false">SUM(AB133:AG133)</f>
        <v>10.1</v>
      </c>
      <c r="AI133" s="12" t="s">
        <v>71</v>
      </c>
    </row>
    <row r="134" customFormat="false" ht="15" hidden="false" customHeight="false" outlineLevel="0" collapsed="false">
      <c r="A134" s="8" t="s">
        <v>328</v>
      </c>
      <c r="B134" s="9" t="s">
        <v>329</v>
      </c>
      <c r="C134" s="8" t="s">
        <v>262</v>
      </c>
      <c r="D134" s="12" t="s">
        <v>263</v>
      </c>
      <c r="E134" s="10" t="str">
        <f aca="true">IFERROR(IF(INDEX(INDIRECT("'"&amp;$AI134&amp;"'!$E$2:$E$320"),MATCH($A134,INDIRECT("'"&amp;$AI134&amp;"'!$A$2:$A$320"),0))="","",INDEX(INDIRECT("'"&amp;$AI134&amp;"'!$E$2:$E$320"),MATCH($A134,INDIRECT("'"&amp;$AI134&amp;"'!$A$2:$A$320"),0))),"")</f>
        <v/>
      </c>
      <c r="F134" s="9" t="str">
        <f aca="false">IF($E134="","",IFERROR(INDEX(担当者マスタ!$B$2:$B$101,MATCH($E134,担当者マスタ!$A$2:$A$101,0)),"※マスタ未登録"))</f>
        <v/>
      </c>
      <c r="G134" s="11" t="n">
        <v>180.094</v>
      </c>
      <c r="H134" s="11" t="n">
        <v>325.536</v>
      </c>
      <c r="I134" s="11" t="n">
        <v>185.171</v>
      </c>
      <c r="J134" s="11" t="n">
        <v>17.62</v>
      </c>
      <c r="K134" s="11" t="n">
        <v>135.007</v>
      </c>
      <c r="L134" s="11" t="n">
        <v>39.997</v>
      </c>
      <c r="M134" s="11" t="n">
        <f aca="false">SUM(G134:L134)</f>
        <v>883.425</v>
      </c>
      <c r="N134" s="11" t="n">
        <v>34.068</v>
      </c>
      <c r="O134" s="11" t="n">
        <v>62.705</v>
      </c>
      <c r="P134" s="11" t="n">
        <v>45.495</v>
      </c>
      <c r="Q134" s="11" t="n">
        <v>3.08</v>
      </c>
      <c r="R134" s="11" t="n">
        <v>26.46</v>
      </c>
      <c r="S134" s="11" t="n">
        <v>7.917</v>
      </c>
      <c r="T134" s="11" t="n">
        <f aca="false">SUM(N134:S134)</f>
        <v>179.725</v>
      </c>
      <c r="U134" s="11" t="n">
        <v>111.942</v>
      </c>
      <c r="V134" s="11" t="n">
        <v>197.441</v>
      </c>
      <c r="W134" s="11" t="n">
        <v>154.312</v>
      </c>
      <c r="X134" s="11" t="n">
        <v>37.387</v>
      </c>
      <c r="Y134" s="11" t="n">
        <v>31.015</v>
      </c>
      <c r="Z134" s="11" t="n">
        <v>138.065</v>
      </c>
      <c r="AA134" s="11" t="n">
        <f aca="false">SUM(U134:Z134)</f>
        <v>670.162</v>
      </c>
      <c r="AB134" s="11" t="n">
        <v>21.707</v>
      </c>
      <c r="AC134" s="11" t="n">
        <v>40.739</v>
      </c>
      <c r="AD134" s="11" t="n">
        <v>30.941</v>
      </c>
      <c r="AE134" s="11" t="n">
        <v>7.361</v>
      </c>
      <c r="AF134" s="11" t="n">
        <v>6.018</v>
      </c>
      <c r="AG134" s="11" t="n">
        <v>27.184</v>
      </c>
      <c r="AH134" s="11" t="n">
        <f aca="false">SUM(AB134:AG134)</f>
        <v>133.95</v>
      </c>
      <c r="AI134" s="12" t="s">
        <v>71</v>
      </c>
    </row>
    <row r="135" customFormat="false" ht="15" hidden="false" customHeight="false" outlineLevel="0" collapsed="false">
      <c r="A135" s="8" t="s">
        <v>330</v>
      </c>
      <c r="B135" s="12" t="s">
        <v>331</v>
      </c>
      <c r="C135" s="8" t="s">
        <v>262</v>
      </c>
      <c r="D135" s="12" t="s">
        <v>263</v>
      </c>
      <c r="E135" s="10" t="str">
        <f aca="true">IFERROR(IF(INDEX(INDIRECT("'"&amp;$AI135&amp;"'!$E$2:$E$320"),MATCH($A135,INDIRECT("'"&amp;$AI135&amp;"'!$A$2:$A$320"),0))="","",INDEX(INDIRECT("'"&amp;$AI135&amp;"'!$E$2:$E$320"),MATCH($A135,INDIRECT("'"&amp;$AI135&amp;"'!$A$2:$A$320"),0))),"")</f>
        <v/>
      </c>
      <c r="F135" s="9" t="str">
        <f aca="false">IF($E135="","",IFERROR(INDEX(担当者マスタ!$B$2:$B$101,MATCH($E135,担当者マスタ!$A$2:$A$101,0)),"※マスタ未登録"))</f>
        <v/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f aca="false">SUM(G135:L135)</f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1" t="n">
        <f aca="false">SUM(N135:S135)</f>
        <v>0</v>
      </c>
      <c r="U135" s="11" t="n">
        <v>0</v>
      </c>
      <c r="V135" s="11" t="n">
        <v>30.36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f aca="false">SUM(U135:Z135)</f>
        <v>30.36</v>
      </c>
      <c r="AB135" s="11" t="n">
        <v>0</v>
      </c>
      <c r="AC135" s="11" t="n">
        <v>12.76</v>
      </c>
      <c r="AD135" s="11" t="n">
        <v>0</v>
      </c>
      <c r="AE135" s="11" t="n">
        <v>0</v>
      </c>
      <c r="AF135" s="11" t="n">
        <v>0</v>
      </c>
      <c r="AG135" s="11" t="n">
        <v>0</v>
      </c>
      <c r="AH135" s="11" t="n">
        <f aca="false">SUM(AB135:AG135)</f>
        <v>12.76</v>
      </c>
      <c r="AI135" s="12" t="s">
        <v>71</v>
      </c>
    </row>
    <row r="136" customFormat="false" ht="15" hidden="false" customHeight="false" outlineLevel="0" collapsed="false">
      <c r="A136" s="8" t="s">
        <v>332</v>
      </c>
      <c r="B136" s="12" t="s">
        <v>333</v>
      </c>
      <c r="C136" s="8" t="s">
        <v>262</v>
      </c>
      <c r="D136" s="12" t="s">
        <v>263</v>
      </c>
      <c r="E136" s="10" t="str">
        <f aca="true">IFERROR(IF(INDEX(INDIRECT("'"&amp;$AI136&amp;"'!$E$2:$E$320"),MATCH($A136,INDIRECT("'"&amp;$AI136&amp;"'!$A$2:$A$320"),0))="","",INDEX(INDIRECT("'"&amp;$AI136&amp;"'!$E$2:$E$320"),MATCH($A136,INDIRECT("'"&amp;$AI136&amp;"'!$A$2:$A$320"),0))),"")</f>
        <v/>
      </c>
      <c r="F136" s="9" t="str">
        <f aca="false">IF($E136="","",IFERROR(INDEX(担当者マスタ!$B$2:$B$101,MATCH($E136,担当者マスタ!$A$2:$A$101,0)),"※マスタ未登録"))</f>
        <v/>
      </c>
      <c r="G136" s="11" t="n">
        <v>79.696</v>
      </c>
      <c r="H136" s="11" t="n">
        <v>89.725</v>
      </c>
      <c r="I136" s="11" t="n">
        <v>119.25</v>
      </c>
      <c r="J136" s="11" t="n">
        <v>25.368</v>
      </c>
      <c r="K136" s="11" t="n">
        <v>26.261</v>
      </c>
      <c r="L136" s="11" t="n">
        <v>63.898</v>
      </c>
      <c r="M136" s="11" t="n">
        <f aca="false">SUM(G136:L136)</f>
        <v>404.198</v>
      </c>
      <c r="N136" s="11" t="n">
        <v>43.768</v>
      </c>
      <c r="O136" s="11" t="n">
        <v>58.279</v>
      </c>
      <c r="P136" s="11" t="n">
        <v>66.194</v>
      </c>
      <c r="Q136" s="11" t="n">
        <v>12.648</v>
      </c>
      <c r="R136" s="11" t="n">
        <v>18.199</v>
      </c>
      <c r="S136" s="11" t="n">
        <v>39.401</v>
      </c>
      <c r="T136" s="11" t="n">
        <f aca="false">SUM(N136:S136)</f>
        <v>238.489</v>
      </c>
      <c r="U136" s="11" t="n">
        <v>42.993</v>
      </c>
      <c r="V136" s="11" t="n">
        <v>43.854</v>
      </c>
      <c r="W136" s="11" t="n">
        <v>123.554</v>
      </c>
      <c r="X136" s="11" t="n">
        <v>29.02</v>
      </c>
      <c r="Y136" s="11" t="n">
        <v>49.788</v>
      </c>
      <c r="Z136" s="11" t="n">
        <v>57.953</v>
      </c>
      <c r="AA136" s="11" t="n">
        <f aca="false">SUM(U136:Z136)</f>
        <v>347.162</v>
      </c>
      <c r="AB136" s="11" t="n">
        <v>27.08</v>
      </c>
      <c r="AC136" s="11" t="n">
        <v>26.707</v>
      </c>
      <c r="AD136" s="11" t="n">
        <v>70.532</v>
      </c>
      <c r="AE136" s="11" t="n">
        <v>15.12</v>
      </c>
      <c r="AF136" s="11" t="n">
        <v>31.07</v>
      </c>
      <c r="AG136" s="11" t="n">
        <v>35.399</v>
      </c>
      <c r="AH136" s="11" t="n">
        <f aca="false">SUM(AB136:AG136)</f>
        <v>205.908</v>
      </c>
      <c r="AI136" s="12" t="s">
        <v>71</v>
      </c>
    </row>
    <row r="137" customFormat="false" ht="15" hidden="false" customHeight="false" outlineLevel="0" collapsed="false">
      <c r="A137" s="8" t="s">
        <v>334</v>
      </c>
      <c r="B137" s="12" t="s">
        <v>335</v>
      </c>
      <c r="C137" s="8" t="s">
        <v>262</v>
      </c>
      <c r="D137" s="12" t="s">
        <v>263</v>
      </c>
      <c r="E137" s="10" t="str">
        <f aca="true">IFERROR(IF(INDEX(INDIRECT("'"&amp;$AI137&amp;"'!$E$2:$E$320"),MATCH($A137,INDIRECT("'"&amp;$AI137&amp;"'!$A$2:$A$320"),0))="","",INDEX(INDIRECT("'"&amp;$AI137&amp;"'!$E$2:$E$320"),MATCH($A137,INDIRECT("'"&amp;$AI137&amp;"'!$A$2:$A$320"),0))),"")</f>
        <v/>
      </c>
      <c r="F137" s="9" t="str">
        <f aca="false">IF($E137="","",IFERROR(INDEX(担当者マスタ!$B$2:$B$101,MATCH($E137,担当者マスタ!$A$2:$A$101,0)),"※マスタ未登録"))</f>
        <v/>
      </c>
      <c r="G137" s="11" t="n">
        <v>0</v>
      </c>
      <c r="H137" s="11" t="n">
        <v>18.412</v>
      </c>
      <c r="I137" s="11" t="n">
        <v>31.948</v>
      </c>
      <c r="J137" s="11" t="n">
        <v>0</v>
      </c>
      <c r="K137" s="11" t="n">
        <v>16.342</v>
      </c>
      <c r="L137" s="11" t="n">
        <v>6.897</v>
      </c>
      <c r="M137" s="11" t="n">
        <f aca="false">SUM(G137:L137)</f>
        <v>73.599</v>
      </c>
      <c r="N137" s="11" t="n">
        <v>0</v>
      </c>
      <c r="O137" s="11" t="n">
        <v>13.732</v>
      </c>
      <c r="P137" s="11" t="n">
        <v>10.918</v>
      </c>
      <c r="Q137" s="11" t="n">
        <v>0</v>
      </c>
      <c r="R137" s="11" t="n">
        <v>8.668</v>
      </c>
      <c r="S137" s="11" t="n">
        <v>2.909</v>
      </c>
      <c r="T137" s="11" t="n">
        <f aca="false">SUM(N137:S137)</f>
        <v>36.227</v>
      </c>
      <c r="U137" s="11" t="n">
        <v>7.325</v>
      </c>
      <c r="V137" s="11" t="n">
        <v>0</v>
      </c>
      <c r="W137" s="11" t="n">
        <v>28.251</v>
      </c>
      <c r="X137" s="11" t="n">
        <v>-0.233</v>
      </c>
      <c r="Y137" s="11" t="n">
        <v>0</v>
      </c>
      <c r="Z137" s="11" t="n">
        <v>0</v>
      </c>
      <c r="AA137" s="11" t="n">
        <f aca="false">SUM(U137:Z137)</f>
        <v>35.343</v>
      </c>
      <c r="AB137" s="11" t="n">
        <v>5.055</v>
      </c>
      <c r="AC137" s="11" t="n">
        <v>0</v>
      </c>
      <c r="AD137" s="11" t="n">
        <v>13.097</v>
      </c>
      <c r="AE137" s="11" t="n">
        <v>-0.233</v>
      </c>
      <c r="AF137" s="11" t="n">
        <v>0</v>
      </c>
      <c r="AG137" s="11" t="n">
        <v>0</v>
      </c>
      <c r="AH137" s="11" t="n">
        <f aca="false">SUM(AB137:AG137)</f>
        <v>17.919</v>
      </c>
      <c r="AI137" s="12" t="s">
        <v>71</v>
      </c>
    </row>
    <row r="138" customFormat="false" ht="15" hidden="false" customHeight="false" outlineLevel="0" collapsed="false">
      <c r="A138" s="8" t="s">
        <v>336</v>
      </c>
      <c r="B138" s="12" t="s">
        <v>337</v>
      </c>
      <c r="C138" s="8" t="s">
        <v>262</v>
      </c>
      <c r="D138" s="12" t="s">
        <v>263</v>
      </c>
      <c r="E138" s="10" t="str">
        <f aca="true">IFERROR(IF(INDEX(INDIRECT("'"&amp;$AI138&amp;"'!$E$2:$E$320"),MATCH($A138,INDIRECT("'"&amp;$AI138&amp;"'!$A$2:$A$320"),0))="","",INDEX(INDIRECT("'"&amp;$AI138&amp;"'!$E$2:$E$320"),MATCH($A138,INDIRECT("'"&amp;$AI138&amp;"'!$A$2:$A$320"),0))),"")</f>
        <v/>
      </c>
      <c r="F138" s="9" t="str">
        <f aca="false">IF($E138="","",IFERROR(INDEX(担当者マスタ!$B$2:$B$101,MATCH($E138,担当者マスタ!$A$2:$A$101,0)),"※マスタ未登録"))</f>
        <v/>
      </c>
      <c r="G138" s="11" t="n">
        <v>126.774</v>
      </c>
      <c r="H138" s="11" t="n">
        <v>204.542</v>
      </c>
      <c r="I138" s="11" t="n">
        <v>132.585</v>
      </c>
      <c r="J138" s="11" t="n">
        <v>44.352</v>
      </c>
      <c r="K138" s="11" t="n">
        <v>89.88</v>
      </c>
      <c r="L138" s="11" t="n">
        <v>59.374</v>
      </c>
      <c r="M138" s="11" t="n">
        <f aca="false">SUM(G138:L138)</f>
        <v>657.507</v>
      </c>
      <c r="N138" s="11" t="n">
        <v>44.438</v>
      </c>
      <c r="O138" s="11" t="n">
        <v>77.97</v>
      </c>
      <c r="P138" s="11" t="n">
        <v>53.517</v>
      </c>
      <c r="Q138" s="11" t="n">
        <v>13.102</v>
      </c>
      <c r="R138" s="11" t="n">
        <v>29.97</v>
      </c>
      <c r="S138" s="11" t="n">
        <v>17.924</v>
      </c>
      <c r="T138" s="11" t="n">
        <f aca="false">SUM(N138:S138)</f>
        <v>236.921</v>
      </c>
      <c r="U138" s="11" t="n">
        <v>150.686</v>
      </c>
      <c r="V138" s="11" t="n">
        <v>217.224</v>
      </c>
      <c r="W138" s="11" t="n">
        <v>159.185</v>
      </c>
      <c r="X138" s="11" t="n">
        <v>46.827</v>
      </c>
      <c r="Y138" s="11" t="n">
        <v>109.95</v>
      </c>
      <c r="Z138" s="11" t="n">
        <v>99.09</v>
      </c>
      <c r="AA138" s="11" t="n">
        <f aca="false">SUM(U138:Z138)</f>
        <v>782.962</v>
      </c>
      <c r="AB138" s="11" t="n">
        <v>49.066</v>
      </c>
      <c r="AC138" s="11" t="n">
        <v>69.563</v>
      </c>
      <c r="AD138" s="11" t="n">
        <v>56.925</v>
      </c>
      <c r="AE138" s="11" t="n">
        <v>14.927</v>
      </c>
      <c r="AF138" s="11" t="n">
        <v>31.605</v>
      </c>
      <c r="AG138" s="11" t="n">
        <v>27.81</v>
      </c>
      <c r="AH138" s="11" t="n">
        <f aca="false">SUM(AB138:AG138)</f>
        <v>249.896</v>
      </c>
      <c r="AI138" s="12" t="s">
        <v>71</v>
      </c>
    </row>
    <row r="139" customFormat="false" ht="15" hidden="false" customHeight="false" outlineLevel="0" collapsed="false">
      <c r="A139" s="8" t="s">
        <v>338</v>
      </c>
      <c r="B139" s="12" t="s">
        <v>339</v>
      </c>
      <c r="C139" s="8" t="s">
        <v>262</v>
      </c>
      <c r="D139" s="12" t="s">
        <v>263</v>
      </c>
      <c r="E139" s="10" t="str">
        <f aca="true">IFERROR(IF(INDEX(INDIRECT("'"&amp;$AI139&amp;"'!$E$2:$E$320"),MATCH($A139,INDIRECT("'"&amp;$AI139&amp;"'!$A$2:$A$320"),0))="","",INDEX(INDIRECT("'"&amp;$AI139&amp;"'!$E$2:$E$320"),MATCH($A139,INDIRECT("'"&amp;$AI139&amp;"'!$A$2:$A$320"),0))),"")</f>
        <v/>
      </c>
      <c r="F139" s="9" t="str">
        <f aca="false">IF($E139="","",IFERROR(INDEX(担当者マスタ!$B$2:$B$101,MATCH($E139,担当者マスタ!$A$2:$A$101,0)),"※マスタ未登録"))</f>
        <v/>
      </c>
      <c r="G139" s="11" t="n">
        <v>82.511</v>
      </c>
      <c r="H139" s="11" t="n">
        <v>249.272</v>
      </c>
      <c r="I139" s="11" t="n">
        <v>94.529</v>
      </c>
      <c r="J139" s="11" t="n">
        <v>54.625</v>
      </c>
      <c r="K139" s="11" t="n">
        <v>118.748</v>
      </c>
      <c r="L139" s="11" t="n">
        <v>54.625</v>
      </c>
      <c r="M139" s="11" t="n">
        <f aca="false">SUM(G139:L139)</f>
        <v>654.31</v>
      </c>
      <c r="N139" s="11" t="n">
        <v>31.861</v>
      </c>
      <c r="O139" s="11" t="n">
        <v>98.552</v>
      </c>
      <c r="P139" s="11" t="n">
        <v>38.729</v>
      </c>
      <c r="Q139" s="11" t="n">
        <v>20.625</v>
      </c>
      <c r="R139" s="11" t="n">
        <v>47.428</v>
      </c>
      <c r="S139" s="11" t="n">
        <v>20.625</v>
      </c>
      <c r="T139" s="11" t="n">
        <f aca="false">SUM(N139:S139)</f>
        <v>257.82</v>
      </c>
      <c r="U139" s="11" t="n">
        <v>195.224</v>
      </c>
      <c r="V139" s="11" t="n">
        <v>201.951</v>
      </c>
      <c r="W139" s="11" t="n">
        <v>118.45</v>
      </c>
      <c r="X139" s="11" t="n">
        <v>0</v>
      </c>
      <c r="Y139" s="11" t="n">
        <v>130.249</v>
      </c>
      <c r="Z139" s="11" t="n">
        <v>195.224</v>
      </c>
      <c r="AA139" s="11" t="n">
        <f aca="false">SUM(U139:Z139)</f>
        <v>841.098</v>
      </c>
      <c r="AB139" s="11" t="n">
        <v>76.304</v>
      </c>
      <c r="AC139" s="11" t="n">
        <v>80.181</v>
      </c>
      <c r="AD139" s="11" t="n">
        <v>50.25</v>
      </c>
      <c r="AE139" s="11" t="n">
        <v>0</v>
      </c>
      <c r="AF139" s="11" t="n">
        <v>49.929</v>
      </c>
      <c r="AG139" s="11" t="n">
        <v>76.304</v>
      </c>
      <c r="AH139" s="11" t="n">
        <f aca="false">SUM(AB139:AG139)</f>
        <v>332.968</v>
      </c>
      <c r="AI139" s="12" t="s">
        <v>71</v>
      </c>
    </row>
    <row r="140" customFormat="false" ht="15" hidden="false" customHeight="false" outlineLevel="0" collapsed="false">
      <c r="A140" s="8" t="s">
        <v>340</v>
      </c>
      <c r="B140" s="9" t="s">
        <v>341</v>
      </c>
      <c r="C140" s="8" t="s">
        <v>262</v>
      </c>
      <c r="D140" s="12" t="s">
        <v>263</v>
      </c>
      <c r="E140" s="10" t="str">
        <f aca="true">IFERROR(IF(INDEX(INDIRECT("'"&amp;$AI140&amp;"'!$E$2:$E$320"),MATCH($A140,INDIRECT("'"&amp;$AI140&amp;"'!$A$2:$A$320"),0))="","",INDEX(INDIRECT("'"&amp;$AI140&amp;"'!$E$2:$E$320"),MATCH($A140,INDIRECT("'"&amp;$AI140&amp;"'!$A$2:$A$320"),0))),"")</f>
        <v/>
      </c>
      <c r="F140" s="9" t="str">
        <f aca="false">IF($E140="","",IFERROR(INDEX(担当者マスタ!$B$2:$B$101,MATCH($E140,担当者マスタ!$A$2:$A$101,0)),"※マスタ未登録"))</f>
        <v/>
      </c>
      <c r="G140" s="11" t="n">
        <v>0</v>
      </c>
      <c r="H140" s="11" t="n">
        <v>3</v>
      </c>
      <c r="I140" s="11" t="n">
        <v>3</v>
      </c>
      <c r="J140" s="11" t="n">
        <v>0</v>
      </c>
      <c r="K140" s="11" t="n">
        <v>0</v>
      </c>
      <c r="L140" s="11" t="n">
        <v>3</v>
      </c>
      <c r="M140" s="11" t="n">
        <f aca="false">SUM(G140:L140)</f>
        <v>9</v>
      </c>
      <c r="N140" s="11" t="n">
        <v>0</v>
      </c>
      <c r="O140" s="11" t="n">
        <v>1.68</v>
      </c>
      <c r="P140" s="11" t="n">
        <v>1.68</v>
      </c>
      <c r="Q140" s="11" t="n">
        <v>0</v>
      </c>
      <c r="R140" s="11" t="n">
        <v>0</v>
      </c>
      <c r="S140" s="11" t="n">
        <v>1.68</v>
      </c>
      <c r="T140" s="11" t="n">
        <f aca="false">SUM(N140:S140)</f>
        <v>5.04</v>
      </c>
      <c r="U140" s="11" t="n">
        <v>0</v>
      </c>
      <c r="V140" s="11" t="n">
        <v>28.5</v>
      </c>
      <c r="W140" s="11" t="n">
        <v>6</v>
      </c>
      <c r="X140" s="11" t="n">
        <v>0</v>
      </c>
      <c r="Y140" s="11" t="n">
        <v>0</v>
      </c>
      <c r="Z140" s="11" t="n">
        <v>0</v>
      </c>
      <c r="AA140" s="11" t="n">
        <f aca="false">SUM(U140:Z140)</f>
        <v>34.5</v>
      </c>
      <c r="AB140" s="11" t="n">
        <v>0</v>
      </c>
      <c r="AC140" s="11" t="n">
        <v>5.7</v>
      </c>
      <c r="AD140" s="11" t="n">
        <v>3.36</v>
      </c>
      <c r="AE140" s="11" t="n">
        <v>0</v>
      </c>
      <c r="AF140" s="11" t="n">
        <v>0</v>
      </c>
      <c r="AG140" s="11" t="n">
        <v>0</v>
      </c>
      <c r="AH140" s="11" t="n">
        <f aca="false">SUM(AB140:AG140)</f>
        <v>9.06</v>
      </c>
      <c r="AI140" s="12" t="s">
        <v>71</v>
      </c>
    </row>
    <row r="141" customFormat="false" ht="15" hidden="false" customHeight="false" outlineLevel="0" collapsed="false">
      <c r="A141" s="8" t="s">
        <v>342</v>
      </c>
      <c r="B141" s="12" t="s">
        <v>343</v>
      </c>
      <c r="C141" s="8" t="s">
        <v>262</v>
      </c>
      <c r="D141" s="12" t="s">
        <v>263</v>
      </c>
      <c r="E141" s="10" t="str">
        <f aca="true">IFERROR(IF(INDEX(INDIRECT("'"&amp;$AI141&amp;"'!$E$2:$E$320"),MATCH($A141,INDIRECT("'"&amp;$AI141&amp;"'!$A$2:$A$320"),0))="","",INDEX(INDIRECT("'"&amp;$AI141&amp;"'!$E$2:$E$320"),MATCH($A141,INDIRECT("'"&amp;$AI141&amp;"'!$A$2:$A$320"),0))),"")</f>
        <v/>
      </c>
      <c r="F141" s="9" t="str">
        <f aca="false">IF($E141="","",IFERROR(INDEX(担当者マスタ!$B$2:$B$101,MATCH($E141,担当者マスタ!$A$2:$A$101,0)),"※マスタ未登録"))</f>
        <v/>
      </c>
      <c r="G141" s="11" t="n">
        <v>2184.423</v>
      </c>
      <c r="H141" s="11" t="n">
        <v>1852.708</v>
      </c>
      <c r="I141" s="11" t="n">
        <v>1616.297</v>
      </c>
      <c r="J141" s="11" t="n">
        <v>964.735</v>
      </c>
      <c r="K141" s="11" t="n">
        <v>2590.072</v>
      </c>
      <c r="L141" s="11" t="n">
        <v>637.5</v>
      </c>
      <c r="M141" s="11" t="n">
        <f aca="false">SUM(G141:L141)</f>
        <v>9845.735</v>
      </c>
      <c r="N141" s="11" t="n">
        <v>566.966</v>
      </c>
      <c r="O141" s="11" t="n">
        <v>416.175</v>
      </c>
      <c r="P141" s="11" t="n">
        <v>518.26</v>
      </c>
      <c r="Q141" s="11" t="n">
        <v>234.492</v>
      </c>
      <c r="R141" s="11" t="n">
        <v>548.082</v>
      </c>
      <c r="S141" s="11" t="n">
        <v>148.327</v>
      </c>
      <c r="T141" s="11" t="n">
        <f aca="false">SUM(N141:S141)</f>
        <v>2432.302</v>
      </c>
      <c r="U141" s="11" t="n">
        <v>687.157</v>
      </c>
      <c r="V141" s="11" t="n">
        <v>2362.44</v>
      </c>
      <c r="W141" s="11" t="n">
        <v>3729.108</v>
      </c>
      <c r="X141" s="11" t="n">
        <v>888.58</v>
      </c>
      <c r="Y141" s="11" t="n">
        <v>185.102</v>
      </c>
      <c r="Z141" s="11" t="n">
        <v>1907.624</v>
      </c>
      <c r="AA141" s="11" t="n">
        <f aca="false">SUM(U141:Z141)</f>
        <v>9760.011</v>
      </c>
      <c r="AB141" s="11" t="n">
        <v>137.806</v>
      </c>
      <c r="AC141" s="11" t="n">
        <v>579.373</v>
      </c>
      <c r="AD141" s="11" t="n">
        <v>781.577</v>
      </c>
      <c r="AE141" s="11" t="n">
        <v>139.5298</v>
      </c>
      <c r="AF141" s="11" t="n">
        <v>46.546</v>
      </c>
      <c r="AG141" s="11" t="n">
        <v>396.694</v>
      </c>
      <c r="AH141" s="11" t="n">
        <f aca="false">SUM(AB141:AG141)</f>
        <v>2081.5258</v>
      </c>
      <c r="AI141" s="12" t="s">
        <v>71</v>
      </c>
    </row>
    <row r="142" customFormat="false" ht="15" hidden="false" customHeight="false" outlineLevel="0" collapsed="false">
      <c r="A142" s="8" t="s">
        <v>344</v>
      </c>
      <c r="B142" s="12" t="s">
        <v>345</v>
      </c>
      <c r="C142" s="8" t="s">
        <v>262</v>
      </c>
      <c r="D142" s="12" t="s">
        <v>263</v>
      </c>
      <c r="E142" s="10" t="str">
        <f aca="true">IFERROR(IF(INDEX(INDIRECT("'"&amp;$AI142&amp;"'!$E$2:$E$320"),MATCH($A142,INDIRECT("'"&amp;$AI142&amp;"'!$A$2:$A$320"),0))="","",INDEX(INDIRECT("'"&amp;$AI142&amp;"'!$E$2:$E$320"),MATCH($A142,INDIRECT("'"&amp;$AI142&amp;"'!$A$2:$A$320"),0))),"")</f>
        <v/>
      </c>
      <c r="F142" s="9" t="str">
        <f aca="false">IF($E142="","",IFERROR(INDEX(担当者マスタ!$B$2:$B$101,MATCH($E142,担当者マスタ!$A$2:$A$101,0)),"※マスタ未登録"))</f>
        <v/>
      </c>
      <c r="G142" s="11" t="n">
        <v>0</v>
      </c>
      <c r="H142" s="11" t="n">
        <v>0</v>
      </c>
      <c r="I142" s="11" t="n">
        <v>0</v>
      </c>
      <c r="J142" s="11" t="n">
        <v>5.28</v>
      </c>
      <c r="K142" s="11" t="n">
        <v>0</v>
      </c>
      <c r="L142" s="11" t="n">
        <v>0</v>
      </c>
      <c r="M142" s="11" t="n">
        <f aca="false">SUM(G142:L142)</f>
        <v>5.28</v>
      </c>
      <c r="N142" s="11" t="n">
        <v>0</v>
      </c>
      <c r="O142" s="11" t="n">
        <v>0</v>
      </c>
      <c r="P142" s="11" t="n">
        <v>0</v>
      </c>
      <c r="Q142" s="11" t="n">
        <v>1.8</v>
      </c>
      <c r="R142" s="11" t="n">
        <v>0</v>
      </c>
      <c r="S142" s="11" t="n">
        <v>0</v>
      </c>
      <c r="T142" s="11" t="n">
        <f aca="false">SUM(N142:S142)</f>
        <v>1.8</v>
      </c>
      <c r="U142" s="11" t="n">
        <v>0</v>
      </c>
      <c r="V142" s="11" t="n">
        <v>5.28</v>
      </c>
      <c r="W142" s="11" t="n">
        <v>0</v>
      </c>
      <c r="X142" s="11" t="n">
        <v>0</v>
      </c>
      <c r="Y142" s="11" t="n">
        <v>10.4</v>
      </c>
      <c r="Z142" s="11" t="n">
        <v>0</v>
      </c>
      <c r="AA142" s="11" t="n">
        <f aca="false">SUM(U142:Z142)</f>
        <v>15.68</v>
      </c>
      <c r="AB142" s="11" t="n">
        <v>0</v>
      </c>
      <c r="AC142" s="11" t="n">
        <v>1.62</v>
      </c>
      <c r="AD142" s="11" t="n">
        <v>0</v>
      </c>
      <c r="AE142" s="11" t="n">
        <v>0</v>
      </c>
      <c r="AF142" s="11" t="n">
        <v>1.8</v>
      </c>
      <c r="AG142" s="11" t="n">
        <v>0</v>
      </c>
      <c r="AH142" s="11" t="n">
        <f aca="false">SUM(AB142:AG142)</f>
        <v>3.42</v>
      </c>
      <c r="AI142" s="12" t="s">
        <v>71</v>
      </c>
    </row>
    <row r="143" customFormat="false" ht="15" hidden="false" customHeight="false" outlineLevel="0" collapsed="false">
      <c r="A143" s="8" t="s">
        <v>346</v>
      </c>
      <c r="B143" s="9" t="s">
        <v>347</v>
      </c>
      <c r="C143" s="8" t="s">
        <v>262</v>
      </c>
      <c r="D143" s="12" t="s">
        <v>263</v>
      </c>
      <c r="E143" s="10" t="str">
        <f aca="true">IFERROR(IF(INDEX(INDIRECT("'"&amp;$AI143&amp;"'!$E$2:$E$320"),MATCH($A143,INDIRECT("'"&amp;$AI143&amp;"'!$A$2:$A$320"),0))="","",INDEX(INDIRECT("'"&amp;$AI143&amp;"'!$E$2:$E$320"),MATCH($A143,INDIRECT("'"&amp;$AI143&amp;"'!$A$2:$A$320"),0))),"")</f>
        <v/>
      </c>
      <c r="F143" s="9" t="str">
        <f aca="false">IF($E143="","",IFERROR(INDEX(担当者マスタ!$B$2:$B$101,MATCH($E143,担当者マスタ!$A$2:$A$101,0)),"※マスタ未登録"))</f>
        <v/>
      </c>
      <c r="G143" s="11" t="n">
        <v>382.417</v>
      </c>
      <c r="H143" s="11" t="n">
        <v>348.463</v>
      </c>
      <c r="I143" s="11" t="n">
        <v>204.661</v>
      </c>
      <c r="J143" s="11" t="n">
        <v>279.794</v>
      </c>
      <c r="K143" s="11" t="n">
        <v>224.268</v>
      </c>
      <c r="L143" s="11" t="n">
        <v>291.054</v>
      </c>
      <c r="M143" s="11" t="n">
        <f aca="false">SUM(G143:L143)</f>
        <v>1730.657</v>
      </c>
      <c r="N143" s="11" t="n">
        <v>61.457</v>
      </c>
      <c r="O143" s="11" t="n">
        <v>28.343</v>
      </c>
      <c r="P143" s="11" t="n">
        <v>-1.659</v>
      </c>
      <c r="Q143" s="11" t="n">
        <v>33.754</v>
      </c>
      <c r="R143" s="11" t="n">
        <v>25.228</v>
      </c>
      <c r="S143" s="11" t="n">
        <v>29.774</v>
      </c>
      <c r="T143" s="11" t="n">
        <f aca="false">SUM(N143:S143)</f>
        <v>176.897</v>
      </c>
      <c r="U143" s="11" t="n">
        <v>384.309</v>
      </c>
      <c r="V143" s="11" t="n">
        <v>739.124</v>
      </c>
      <c r="W143" s="11" t="n">
        <v>330.358</v>
      </c>
      <c r="X143" s="11" t="n">
        <v>183.226</v>
      </c>
      <c r="Y143" s="11" t="n">
        <v>186.28</v>
      </c>
      <c r="Z143" s="11" t="n">
        <v>358.448</v>
      </c>
      <c r="AA143" s="11" t="n">
        <f aca="false">SUM(U143:Z143)</f>
        <v>2181.745</v>
      </c>
      <c r="AB143" s="11" t="n">
        <v>29.909</v>
      </c>
      <c r="AC143" s="11" t="n">
        <v>129.792</v>
      </c>
      <c r="AD143" s="11" t="n">
        <v>48.618</v>
      </c>
      <c r="AE143" s="11" t="n">
        <v>25.846</v>
      </c>
      <c r="AF143" s="11" t="n">
        <v>36.84</v>
      </c>
      <c r="AG143" s="11" t="n">
        <v>74.368</v>
      </c>
      <c r="AH143" s="11" t="n">
        <f aca="false">SUM(AB143:AG143)</f>
        <v>345.373</v>
      </c>
      <c r="AI143" s="12" t="s">
        <v>71</v>
      </c>
    </row>
    <row r="144" customFormat="false" ht="15" hidden="false" customHeight="false" outlineLevel="0" collapsed="false">
      <c r="A144" s="8" t="s">
        <v>348</v>
      </c>
      <c r="B144" s="12" t="s">
        <v>349</v>
      </c>
      <c r="C144" s="8" t="s">
        <v>262</v>
      </c>
      <c r="D144" s="12" t="s">
        <v>263</v>
      </c>
      <c r="E144" s="10" t="str">
        <f aca="true">IFERROR(IF(INDEX(INDIRECT("'"&amp;$AI144&amp;"'!$E$2:$E$320"),MATCH($A144,INDIRECT("'"&amp;$AI144&amp;"'!$A$2:$A$320"),0))="","",INDEX(INDIRECT("'"&amp;$AI144&amp;"'!$E$2:$E$320"),MATCH($A144,INDIRECT("'"&amp;$AI144&amp;"'!$A$2:$A$320"),0))),"")</f>
        <v/>
      </c>
      <c r="F144" s="9" t="str">
        <f aca="false">IF($E144="","",IFERROR(INDEX(担当者マスタ!$B$2:$B$101,MATCH($E144,担当者マスタ!$A$2:$A$101,0)),"※マスタ未登録"))</f>
        <v/>
      </c>
      <c r="G144" s="11" t="n">
        <v>0</v>
      </c>
      <c r="H144" s="11" t="n">
        <v>0</v>
      </c>
      <c r="I144" s="11" t="n">
        <v>28</v>
      </c>
      <c r="J144" s="11" t="n">
        <v>0</v>
      </c>
      <c r="K144" s="11" t="n">
        <v>23.9</v>
      </c>
      <c r="L144" s="11" t="n">
        <v>0</v>
      </c>
      <c r="M144" s="11" t="n">
        <f aca="false">SUM(G144:L144)</f>
        <v>51.9</v>
      </c>
      <c r="N144" s="11" t="n">
        <v>0</v>
      </c>
      <c r="O144" s="11" t="n">
        <v>0</v>
      </c>
      <c r="P144" s="11" t="n">
        <v>6.18</v>
      </c>
      <c r="Q144" s="11" t="n">
        <v>0</v>
      </c>
      <c r="R144" s="11" t="n">
        <v>1.1</v>
      </c>
      <c r="S144" s="11" t="n">
        <v>0</v>
      </c>
      <c r="T144" s="11" t="n">
        <f aca="false">SUM(N144:S144)</f>
        <v>7.28</v>
      </c>
      <c r="U144" s="11" t="n">
        <v>16.11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23.9</v>
      </c>
      <c r="AA144" s="11" t="n">
        <f aca="false">SUM(U144:Z144)</f>
        <v>40.01</v>
      </c>
      <c r="AB144" s="11" t="n">
        <v>2.897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-1.3</v>
      </c>
      <c r="AH144" s="11" t="n">
        <f aca="false">SUM(AB144:AG144)</f>
        <v>1.597</v>
      </c>
      <c r="AI144" s="12" t="s">
        <v>71</v>
      </c>
    </row>
    <row r="145" customFormat="false" ht="15" hidden="false" customHeight="false" outlineLevel="0" collapsed="false">
      <c r="A145" s="8" t="s">
        <v>350</v>
      </c>
      <c r="B145" s="12" t="s">
        <v>351</v>
      </c>
      <c r="C145" s="8" t="s">
        <v>262</v>
      </c>
      <c r="D145" s="12" t="s">
        <v>263</v>
      </c>
      <c r="E145" s="10" t="str">
        <f aca="true">IFERROR(IF(INDEX(INDIRECT("'"&amp;$AI145&amp;"'!$E$2:$E$320"),MATCH($A145,INDIRECT("'"&amp;$AI145&amp;"'!$A$2:$A$320"),0))="","",INDEX(INDIRECT("'"&amp;$AI145&amp;"'!$E$2:$E$320"),MATCH($A145,INDIRECT("'"&amp;$AI145&amp;"'!$A$2:$A$320"),0))),"")</f>
        <v/>
      </c>
      <c r="F145" s="9" t="str">
        <f aca="false">IF($E145="","",IFERROR(INDEX(担当者マスタ!$B$2:$B$101,MATCH($E145,担当者マスタ!$A$2:$A$101,0)),"※マスタ未登録"))</f>
        <v/>
      </c>
      <c r="G145" s="11" t="n">
        <v>35.07</v>
      </c>
      <c r="H145" s="11" t="n">
        <v>0</v>
      </c>
      <c r="I145" s="11" t="n">
        <v>0</v>
      </c>
      <c r="J145" s="11" t="n">
        <v>21.44</v>
      </c>
      <c r="K145" s="11" t="n">
        <v>0</v>
      </c>
      <c r="L145" s="11" t="n">
        <v>0</v>
      </c>
      <c r="M145" s="11" t="n">
        <f aca="false">SUM(G145:L145)</f>
        <v>56.51</v>
      </c>
      <c r="N145" s="11" t="n">
        <v>5.35</v>
      </c>
      <c r="O145" s="11" t="n">
        <v>0</v>
      </c>
      <c r="P145" s="11" t="n">
        <v>0</v>
      </c>
      <c r="Q145" s="11" t="n">
        <v>3.28</v>
      </c>
      <c r="R145" s="11" t="n">
        <v>0</v>
      </c>
      <c r="S145" s="11" t="n">
        <v>0</v>
      </c>
      <c r="T145" s="11" t="n">
        <f aca="false">SUM(N145:S145)</f>
        <v>8.63</v>
      </c>
      <c r="U145" s="11" t="n">
        <v>0</v>
      </c>
      <c r="V145" s="11" t="n">
        <v>0</v>
      </c>
      <c r="W145" s="11" t="n">
        <v>21.44</v>
      </c>
      <c r="X145" s="11" t="n">
        <v>0</v>
      </c>
      <c r="Y145" s="11" t="n">
        <v>0</v>
      </c>
      <c r="Z145" s="11" t="n">
        <v>0</v>
      </c>
      <c r="AA145" s="11" t="n">
        <f aca="false">SUM(U145:Z145)</f>
        <v>21.44</v>
      </c>
      <c r="AB145" s="11" t="n">
        <v>0</v>
      </c>
      <c r="AC145" s="11" t="n">
        <v>0</v>
      </c>
      <c r="AD145" s="11" t="n">
        <v>3.28</v>
      </c>
      <c r="AE145" s="11" t="n">
        <v>0</v>
      </c>
      <c r="AF145" s="11" t="n">
        <v>0</v>
      </c>
      <c r="AG145" s="11" t="n">
        <v>0</v>
      </c>
      <c r="AH145" s="11" t="n">
        <f aca="false">SUM(AB145:AG145)</f>
        <v>3.28</v>
      </c>
      <c r="AI145" s="12" t="s">
        <v>71</v>
      </c>
    </row>
    <row r="146" customFormat="false" ht="15" hidden="false" customHeight="false" outlineLevel="0" collapsed="false">
      <c r="A146" s="8" t="s">
        <v>352</v>
      </c>
      <c r="B146" s="12" t="s">
        <v>353</v>
      </c>
      <c r="C146" s="8" t="s">
        <v>262</v>
      </c>
      <c r="D146" s="12" t="s">
        <v>263</v>
      </c>
      <c r="E146" s="10" t="str">
        <f aca="true">IFERROR(IF(INDEX(INDIRECT("'"&amp;$AI146&amp;"'!$E$2:$E$320"),MATCH($A146,INDIRECT("'"&amp;$AI146&amp;"'!$A$2:$A$320"),0))="","",INDEX(INDIRECT("'"&amp;$AI146&amp;"'!$E$2:$E$320"),MATCH($A146,INDIRECT("'"&amp;$AI146&amp;"'!$A$2:$A$320"),0))),"")</f>
        <v/>
      </c>
      <c r="F146" s="9" t="str">
        <f aca="false">IF($E146="","",IFERROR(INDEX(担当者マスタ!$B$2:$B$101,MATCH($E146,担当者マスタ!$A$2:$A$101,0)),"※マスタ未登録"))</f>
        <v/>
      </c>
      <c r="G146" s="11" t="n">
        <v>24</v>
      </c>
      <c r="H146" s="11" t="n">
        <v>0</v>
      </c>
      <c r="I146" s="11" t="n">
        <v>36</v>
      </c>
      <c r="J146" s="11" t="n">
        <v>0</v>
      </c>
      <c r="K146" s="11" t="n">
        <v>0</v>
      </c>
      <c r="L146" s="11" t="n">
        <v>24</v>
      </c>
      <c r="M146" s="11" t="n">
        <f aca="false">SUM(G146:L146)</f>
        <v>84</v>
      </c>
      <c r="N146" s="11" t="n">
        <v>6.72</v>
      </c>
      <c r="O146" s="11" t="n">
        <v>0</v>
      </c>
      <c r="P146" s="11" t="n">
        <v>10.08</v>
      </c>
      <c r="Q146" s="11" t="n">
        <v>0</v>
      </c>
      <c r="R146" s="11" t="n">
        <v>0</v>
      </c>
      <c r="S146" s="11" t="n">
        <v>6.72</v>
      </c>
      <c r="T146" s="11" t="n">
        <f aca="false">SUM(N146:S146)</f>
        <v>23.52</v>
      </c>
      <c r="U146" s="11" t="n">
        <v>24</v>
      </c>
      <c r="V146" s="11" t="n">
        <v>24</v>
      </c>
      <c r="W146" s="11" t="n">
        <v>24</v>
      </c>
      <c r="X146" s="11" t="n">
        <v>0</v>
      </c>
      <c r="Y146" s="11" t="n">
        <v>0</v>
      </c>
      <c r="Z146" s="11" t="n">
        <v>0</v>
      </c>
      <c r="AA146" s="11" t="n">
        <f aca="false">SUM(U146:Z146)</f>
        <v>72</v>
      </c>
      <c r="AB146" s="11" t="n">
        <v>6.72</v>
      </c>
      <c r="AC146" s="11" t="n">
        <v>6.72</v>
      </c>
      <c r="AD146" s="11" t="n">
        <v>6.72</v>
      </c>
      <c r="AE146" s="11" t="n">
        <v>0</v>
      </c>
      <c r="AF146" s="11" t="n">
        <v>0</v>
      </c>
      <c r="AG146" s="11" t="n">
        <v>0</v>
      </c>
      <c r="AH146" s="11" t="n">
        <f aca="false">SUM(AB146:AG146)</f>
        <v>20.16</v>
      </c>
      <c r="AI146" s="12" t="s">
        <v>71</v>
      </c>
    </row>
    <row r="147" customFormat="false" ht="15" hidden="false" customHeight="false" outlineLevel="0" collapsed="false">
      <c r="A147" s="8" t="s">
        <v>354</v>
      </c>
      <c r="B147" s="12" t="s">
        <v>355</v>
      </c>
      <c r="C147" s="8" t="s">
        <v>262</v>
      </c>
      <c r="D147" s="12" t="s">
        <v>263</v>
      </c>
      <c r="E147" s="10" t="str">
        <f aca="true">IFERROR(IF(INDEX(INDIRECT("'"&amp;$AI147&amp;"'!$E$2:$E$320"),MATCH($A147,INDIRECT("'"&amp;$AI147&amp;"'!$A$2:$A$320"),0))="","",INDEX(INDIRECT("'"&amp;$AI147&amp;"'!$E$2:$E$320"),MATCH($A147,INDIRECT("'"&amp;$AI147&amp;"'!$A$2:$A$320"),0))),"")</f>
        <v/>
      </c>
      <c r="F147" s="9" t="str">
        <f aca="false">IF($E147="","",IFERROR(INDEX(担当者マスタ!$B$2:$B$101,MATCH($E147,担当者マスタ!$A$2:$A$101,0)),"※マスタ未登録"))</f>
        <v/>
      </c>
      <c r="G147" s="11" t="n">
        <v>41.8</v>
      </c>
      <c r="H147" s="11" t="n">
        <v>0</v>
      </c>
      <c r="I147" s="11" t="n">
        <v>129</v>
      </c>
      <c r="J147" s="11" t="n">
        <v>54</v>
      </c>
      <c r="K147" s="11" t="n">
        <v>144.05</v>
      </c>
      <c r="L147" s="11" t="n">
        <v>0</v>
      </c>
      <c r="M147" s="11" t="n">
        <f aca="false">SUM(G147:L147)</f>
        <v>368.85</v>
      </c>
      <c r="N147" s="11" t="n">
        <v>24.4</v>
      </c>
      <c r="O147" s="11" t="n">
        <v>0</v>
      </c>
      <c r="P147" s="11" t="n">
        <v>25.65</v>
      </c>
      <c r="Q147" s="11" t="n">
        <v>9</v>
      </c>
      <c r="R147" s="11" t="n">
        <v>28.642</v>
      </c>
      <c r="S147" s="11" t="n">
        <v>0</v>
      </c>
      <c r="T147" s="11" t="n">
        <f aca="false">SUM(N147:S147)</f>
        <v>87.692</v>
      </c>
      <c r="U147" s="11" t="n">
        <v>257</v>
      </c>
      <c r="V147" s="11" t="n">
        <v>0</v>
      </c>
      <c r="W147" s="11" t="n">
        <v>67.51</v>
      </c>
      <c r="X147" s="11" t="n">
        <v>0</v>
      </c>
      <c r="Y147" s="11" t="n">
        <v>461.79</v>
      </c>
      <c r="Z147" s="11" t="n">
        <v>0</v>
      </c>
      <c r="AA147" s="11" t="n">
        <f aca="false">SUM(U147:Z147)</f>
        <v>786.3</v>
      </c>
      <c r="AB147" s="11" t="n">
        <v>39</v>
      </c>
      <c r="AC147" s="11" t="n">
        <v>0</v>
      </c>
      <c r="AD147" s="11" t="n">
        <v>9.106</v>
      </c>
      <c r="AE147" s="11" t="n">
        <v>0</v>
      </c>
      <c r="AF147" s="11" t="n">
        <v>65.274</v>
      </c>
      <c r="AG147" s="11" t="n">
        <v>0</v>
      </c>
      <c r="AH147" s="11" t="n">
        <f aca="false">SUM(AB147:AG147)</f>
        <v>113.38</v>
      </c>
      <c r="AI147" s="12" t="s">
        <v>71</v>
      </c>
    </row>
    <row r="148" customFormat="false" ht="15" hidden="false" customHeight="false" outlineLevel="0" collapsed="false">
      <c r="A148" s="8" t="s">
        <v>356</v>
      </c>
      <c r="B148" s="12" t="s">
        <v>357</v>
      </c>
      <c r="C148" s="8" t="s">
        <v>262</v>
      </c>
      <c r="D148" s="12" t="s">
        <v>263</v>
      </c>
      <c r="E148" s="10" t="str">
        <f aca="true">IFERROR(IF(INDEX(INDIRECT("'"&amp;$AI148&amp;"'!$E$2:$E$320"),MATCH($A148,INDIRECT("'"&amp;$AI148&amp;"'!$A$2:$A$320"),0))="","",INDEX(INDIRECT("'"&amp;$AI148&amp;"'!$E$2:$E$320"),MATCH($A148,INDIRECT("'"&amp;$AI148&amp;"'!$A$2:$A$320"),0))),"")</f>
        <v/>
      </c>
      <c r="F148" s="9" t="str">
        <f aca="false">IF($E148="","",IFERROR(INDEX(担当者マスタ!$B$2:$B$101,MATCH($E148,担当者マスタ!$A$2:$A$101,0)),"※マスタ未登録"))</f>
        <v/>
      </c>
      <c r="G148" s="11" t="n">
        <v>2125.558</v>
      </c>
      <c r="H148" s="11" t="n">
        <v>0</v>
      </c>
      <c r="I148" s="11" t="n">
        <v>299.117</v>
      </c>
      <c r="J148" s="11" t="n">
        <v>154.008</v>
      </c>
      <c r="K148" s="11" t="n">
        <v>114.024</v>
      </c>
      <c r="L148" s="11" t="n">
        <v>584.264</v>
      </c>
      <c r="M148" s="11" t="n">
        <f aca="false">SUM(G148:L148)</f>
        <v>3276.971</v>
      </c>
      <c r="N148" s="11" t="n">
        <v>376.481</v>
      </c>
      <c r="O148" s="11" t="n">
        <v>0</v>
      </c>
      <c r="P148" s="11" t="n">
        <v>45.823</v>
      </c>
      <c r="Q148" s="11" t="n">
        <v>27.448</v>
      </c>
      <c r="R148" s="11" t="n">
        <v>19.144</v>
      </c>
      <c r="S148" s="11" t="n">
        <v>116.484</v>
      </c>
      <c r="T148" s="11" t="n">
        <f aca="false">SUM(N148:S148)</f>
        <v>585.38</v>
      </c>
      <c r="U148" s="11" t="n">
        <v>1832.631</v>
      </c>
      <c r="V148" s="11" t="n">
        <v>1894.521</v>
      </c>
      <c r="W148" s="11" t="n">
        <v>2059.172</v>
      </c>
      <c r="X148" s="11" t="n">
        <v>2177.25</v>
      </c>
      <c r="Y148" s="11" t="n">
        <v>1870.659</v>
      </c>
      <c r="Z148" s="11" t="n">
        <v>2470.555</v>
      </c>
      <c r="AA148" s="11" t="n">
        <f aca="false">SUM(U148:Z148)</f>
        <v>12304.788</v>
      </c>
      <c r="AB148" s="11" t="n">
        <v>328.372</v>
      </c>
      <c r="AC148" s="11" t="n">
        <v>334.447</v>
      </c>
      <c r="AD148" s="11" t="n">
        <v>418.897</v>
      </c>
      <c r="AE148" s="11" t="n">
        <v>341.233</v>
      </c>
      <c r="AF148" s="11" t="n">
        <v>312.547</v>
      </c>
      <c r="AG148" s="11" t="n">
        <v>446.281</v>
      </c>
      <c r="AH148" s="11" t="n">
        <f aca="false">SUM(AB148:AG148)</f>
        <v>2181.777</v>
      </c>
      <c r="AI148" s="12" t="s">
        <v>71</v>
      </c>
    </row>
    <row r="149" customFormat="false" ht="15" hidden="false" customHeight="false" outlineLevel="0" collapsed="false">
      <c r="A149" s="8" t="s">
        <v>358</v>
      </c>
      <c r="B149" s="12" t="s">
        <v>359</v>
      </c>
      <c r="C149" s="8" t="s">
        <v>262</v>
      </c>
      <c r="D149" s="12" t="s">
        <v>263</v>
      </c>
      <c r="E149" s="10" t="str">
        <f aca="true">IFERROR(IF(INDEX(INDIRECT("'"&amp;$AI149&amp;"'!$E$2:$E$320"),MATCH($A149,INDIRECT("'"&amp;$AI149&amp;"'!$A$2:$A$320"),0))="","",INDEX(INDIRECT("'"&amp;$AI149&amp;"'!$E$2:$E$320"),MATCH($A149,INDIRECT("'"&amp;$AI149&amp;"'!$A$2:$A$320"),0))),"")</f>
        <v/>
      </c>
      <c r="F149" s="9" t="str">
        <f aca="false">IF($E149="","",IFERROR(INDEX(担当者マスタ!$B$2:$B$101,MATCH($E149,担当者マスタ!$A$2:$A$101,0)),"※マスタ未登録"))</f>
        <v/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23</v>
      </c>
      <c r="M149" s="11" t="n">
        <f aca="false">SUM(G149:L149)</f>
        <v>23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4.6</v>
      </c>
      <c r="T149" s="11" t="n">
        <f aca="false">SUM(N149:S149)</f>
        <v>4.6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f aca="false">SUM(U149:Z149)</f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f aca="false">SUM(AB149:AG149)</f>
        <v>0</v>
      </c>
      <c r="AI149" s="12" t="s">
        <v>71</v>
      </c>
    </row>
    <row r="150" customFormat="false" ht="15" hidden="false" customHeight="false" outlineLevel="0" collapsed="false">
      <c r="A150" s="8" t="s">
        <v>360</v>
      </c>
      <c r="B150" s="12" t="s">
        <v>361</v>
      </c>
      <c r="C150" s="8" t="s">
        <v>262</v>
      </c>
      <c r="D150" s="12" t="s">
        <v>263</v>
      </c>
      <c r="E150" s="10" t="str">
        <f aca="true">IFERROR(IF(INDEX(INDIRECT("'"&amp;$AI150&amp;"'!$E$2:$E$320"),MATCH($A150,INDIRECT("'"&amp;$AI150&amp;"'!$A$2:$A$320"),0))="","",INDEX(INDIRECT("'"&amp;$AI150&amp;"'!$E$2:$E$320"),MATCH($A150,INDIRECT("'"&amp;$AI150&amp;"'!$A$2:$A$320"),0))),"")</f>
        <v/>
      </c>
      <c r="F150" s="9" t="str">
        <f aca="false">IF($E150="","",IFERROR(INDEX(担当者マスタ!$B$2:$B$101,MATCH($E150,担当者マスタ!$A$2:$A$101,0)),"※マスタ未登録"))</f>
        <v/>
      </c>
      <c r="G150" s="11" t="n">
        <v>6.4</v>
      </c>
      <c r="H150" s="11" t="n">
        <v>0</v>
      </c>
      <c r="I150" s="11" t="n">
        <v>6.4</v>
      </c>
      <c r="J150" s="11" t="n">
        <v>0</v>
      </c>
      <c r="K150" s="11" t="n">
        <v>0</v>
      </c>
      <c r="L150" s="11" t="n">
        <v>0</v>
      </c>
      <c r="M150" s="11" t="n">
        <f aca="false">SUM(G150:L150)</f>
        <v>12.8</v>
      </c>
      <c r="N150" s="11" t="n">
        <v>2.64</v>
      </c>
      <c r="O150" s="11" t="n">
        <v>0</v>
      </c>
      <c r="P150" s="11" t="n">
        <v>2.64</v>
      </c>
      <c r="Q150" s="11" t="n">
        <v>0</v>
      </c>
      <c r="R150" s="11" t="n">
        <v>0</v>
      </c>
      <c r="S150" s="11" t="n">
        <v>0</v>
      </c>
      <c r="T150" s="11" t="n">
        <f aca="false">SUM(N150:S150)</f>
        <v>5.28</v>
      </c>
      <c r="U150" s="11" t="n">
        <v>25.5</v>
      </c>
      <c r="V150" s="11" t="n">
        <v>0</v>
      </c>
      <c r="W150" s="11" t="n">
        <v>4.2</v>
      </c>
      <c r="X150" s="11" t="n">
        <v>0</v>
      </c>
      <c r="Y150" s="11" t="n">
        <v>0</v>
      </c>
      <c r="Z150" s="11" t="n">
        <v>0</v>
      </c>
      <c r="AA150" s="11" t="n">
        <f aca="false">SUM(U150:Z150)</f>
        <v>29.7</v>
      </c>
      <c r="AB150" s="11" t="n">
        <v>9.144</v>
      </c>
      <c r="AC150" s="11" t="n">
        <v>0</v>
      </c>
      <c r="AD150" s="11" t="n">
        <v>0.816</v>
      </c>
      <c r="AE150" s="11" t="n">
        <v>0</v>
      </c>
      <c r="AF150" s="11" t="n">
        <v>0</v>
      </c>
      <c r="AG150" s="11" t="n">
        <v>0</v>
      </c>
      <c r="AH150" s="11" t="n">
        <f aca="false">SUM(AB150:AG150)</f>
        <v>9.96</v>
      </c>
      <c r="AI150" s="12" t="s">
        <v>71</v>
      </c>
    </row>
    <row r="151" customFormat="false" ht="15" hidden="false" customHeight="false" outlineLevel="0" collapsed="false">
      <c r="A151" s="8" t="s">
        <v>362</v>
      </c>
      <c r="B151" s="12" t="s">
        <v>363</v>
      </c>
      <c r="C151" s="8" t="s">
        <v>262</v>
      </c>
      <c r="D151" s="12" t="s">
        <v>263</v>
      </c>
      <c r="E151" s="10" t="str">
        <f aca="true">IFERROR(IF(INDEX(INDIRECT("'"&amp;$AI151&amp;"'!$E$2:$E$320"),MATCH($A151,INDIRECT("'"&amp;$AI151&amp;"'!$A$2:$A$320"),0))="","",INDEX(INDIRECT("'"&amp;$AI151&amp;"'!$E$2:$E$320"),MATCH($A151,INDIRECT("'"&amp;$AI151&amp;"'!$A$2:$A$320"),0))),"")</f>
        <v/>
      </c>
      <c r="F151" s="9" t="str">
        <f aca="false">IF($E151="","",IFERROR(INDEX(担当者マスタ!$B$2:$B$101,MATCH($E151,担当者マスタ!$A$2:$A$101,0)),"※マスタ未登録"))</f>
        <v/>
      </c>
      <c r="G151" s="11" t="n">
        <v>58.005</v>
      </c>
      <c r="H151" s="11" t="n">
        <v>138.058</v>
      </c>
      <c r="I151" s="11" t="n">
        <v>56.87</v>
      </c>
      <c r="J151" s="11" t="n">
        <v>43.482</v>
      </c>
      <c r="K151" s="11" t="n">
        <v>28.955</v>
      </c>
      <c r="L151" s="11" t="n">
        <v>26.085</v>
      </c>
      <c r="M151" s="11" t="n">
        <f aca="false">SUM(G151:L151)</f>
        <v>351.455</v>
      </c>
      <c r="N151" s="11" t="n">
        <v>5.501</v>
      </c>
      <c r="O151" s="11" t="n">
        <v>12</v>
      </c>
      <c r="P151" s="11" t="n">
        <v>5.555</v>
      </c>
      <c r="Q151" s="11" t="n">
        <v>7.556</v>
      </c>
      <c r="R151" s="11" t="n">
        <v>4.016</v>
      </c>
      <c r="S151" s="11" t="n">
        <v>3.207</v>
      </c>
      <c r="T151" s="11" t="n">
        <f aca="false">SUM(N151:S151)</f>
        <v>37.835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f aca="false">SUM(U151:Z151)</f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f aca="false">SUM(AB151:AG151)</f>
        <v>0</v>
      </c>
      <c r="AI151" s="12" t="s">
        <v>71</v>
      </c>
    </row>
    <row r="152" customFormat="false" ht="15" hidden="false" customHeight="false" outlineLevel="0" collapsed="false">
      <c r="A152" s="8" t="s">
        <v>364</v>
      </c>
      <c r="B152" s="12" t="s">
        <v>365</v>
      </c>
      <c r="C152" s="8" t="s">
        <v>262</v>
      </c>
      <c r="D152" s="12" t="s">
        <v>263</v>
      </c>
      <c r="E152" s="10" t="str">
        <f aca="true">IFERROR(IF(INDEX(INDIRECT("'"&amp;$AI152&amp;"'!$E$2:$E$320"),MATCH($A152,INDIRECT("'"&amp;$AI152&amp;"'!$A$2:$A$320"),0))="","",INDEX(INDIRECT("'"&amp;$AI152&amp;"'!$E$2:$E$320"),MATCH($A152,INDIRECT("'"&amp;$AI152&amp;"'!$A$2:$A$320"),0))),"")</f>
        <v/>
      </c>
      <c r="F152" s="9" t="str">
        <f aca="false">IF($E152="","",IFERROR(INDEX(担当者マスタ!$B$2:$B$101,MATCH($E152,担当者マスタ!$A$2:$A$101,0)),"※マスタ未登録"))</f>
        <v/>
      </c>
      <c r="G152" s="11" t="n">
        <v>0</v>
      </c>
      <c r="H152" s="11" t="n">
        <v>7.553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f aca="false">SUM(G152:L152)</f>
        <v>7.553</v>
      </c>
      <c r="N152" s="11" t="n">
        <v>0</v>
      </c>
      <c r="O152" s="11" t="n">
        <v>2.024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f aca="false">SUM(N152:S152)</f>
        <v>2.024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126.52</v>
      </c>
      <c r="AA152" s="11" t="n">
        <f aca="false">SUM(U152:Z152)</f>
        <v>126.52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44.165</v>
      </c>
      <c r="AH152" s="11" t="n">
        <f aca="false">SUM(AB152:AG152)</f>
        <v>44.165</v>
      </c>
      <c r="AI152" s="12" t="s">
        <v>71</v>
      </c>
    </row>
    <row r="153" customFormat="false" ht="15" hidden="false" customHeight="false" outlineLevel="0" collapsed="false">
      <c r="A153" s="8" t="s">
        <v>366</v>
      </c>
      <c r="B153" s="12" t="s">
        <v>367</v>
      </c>
      <c r="C153" s="8" t="s">
        <v>262</v>
      </c>
      <c r="D153" s="12" t="s">
        <v>263</v>
      </c>
      <c r="E153" s="10" t="str">
        <f aca="true">IFERROR(IF(INDEX(INDIRECT("'"&amp;$AI153&amp;"'!$E$2:$E$320"),MATCH($A153,INDIRECT("'"&amp;$AI153&amp;"'!$A$2:$A$320"),0))="","",INDEX(INDIRECT("'"&amp;$AI153&amp;"'!$E$2:$E$320"),MATCH($A153,INDIRECT("'"&amp;$AI153&amp;"'!$A$2:$A$320"),0))),"")</f>
        <v/>
      </c>
      <c r="F153" s="9" t="str">
        <f aca="false">IF($E153="","",IFERROR(INDEX(担当者マスタ!$B$2:$B$101,MATCH($E153,担当者マスタ!$A$2:$A$101,0)),"※マスタ未登録"))</f>
        <v/>
      </c>
      <c r="G153" s="11" t="n">
        <v>65.826</v>
      </c>
      <c r="H153" s="11" t="n">
        <v>67.978</v>
      </c>
      <c r="I153" s="11" t="n">
        <v>130.14</v>
      </c>
      <c r="J153" s="11" t="n">
        <v>40.8</v>
      </c>
      <c r="K153" s="11" t="n">
        <v>102.82</v>
      </c>
      <c r="L153" s="11" t="n">
        <v>172.68</v>
      </c>
      <c r="M153" s="11" t="n">
        <f aca="false">SUM(G153:L153)</f>
        <v>580.244</v>
      </c>
      <c r="N153" s="11" t="n">
        <v>14.922</v>
      </c>
      <c r="O153" s="11" t="n">
        <v>16.43</v>
      </c>
      <c r="P153" s="11" t="n">
        <v>23.873</v>
      </c>
      <c r="Q153" s="11" t="n">
        <v>6.8</v>
      </c>
      <c r="R153" s="11" t="n">
        <v>21.34</v>
      </c>
      <c r="S153" s="11" t="n">
        <v>32.68</v>
      </c>
      <c r="T153" s="11" t="n">
        <f aca="false">SUM(N153:S153)</f>
        <v>116.045</v>
      </c>
      <c r="U153" s="11" t="n">
        <v>9.26</v>
      </c>
      <c r="V153" s="11" t="n">
        <v>75.41</v>
      </c>
      <c r="W153" s="11" t="n">
        <v>0</v>
      </c>
      <c r="X153" s="11" t="n">
        <v>0</v>
      </c>
      <c r="Y153" s="11" t="n">
        <v>40.8</v>
      </c>
      <c r="Z153" s="11" t="n">
        <v>76.236</v>
      </c>
      <c r="AA153" s="11" t="n">
        <f aca="false">SUM(U153:Z153)</f>
        <v>201.706</v>
      </c>
      <c r="AB153" s="11" t="n">
        <v>3.13</v>
      </c>
      <c r="AC153" s="11" t="n">
        <v>16.28</v>
      </c>
      <c r="AD153" s="11" t="n">
        <v>0</v>
      </c>
      <c r="AE153" s="11" t="n">
        <v>0</v>
      </c>
      <c r="AF153" s="11" t="n">
        <v>6.8</v>
      </c>
      <c r="AG153" s="11" t="n">
        <v>16.532</v>
      </c>
      <c r="AH153" s="11" t="n">
        <f aca="false">SUM(AB153:AG153)</f>
        <v>42.742</v>
      </c>
      <c r="AI153" s="12" t="s">
        <v>71</v>
      </c>
    </row>
    <row r="154" customFormat="false" ht="15" hidden="false" customHeight="false" outlineLevel="0" collapsed="false">
      <c r="A154" s="8" t="s">
        <v>368</v>
      </c>
      <c r="B154" s="12" t="s">
        <v>369</v>
      </c>
      <c r="C154" s="8" t="s">
        <v>262</v>
      </c>
      <c r="D154" s="12" t="s">
        <v>263</v>
      </c>
      <c r="E154" s="10" t="str">
        <f aca="true">IFERROR(IF(INDEX(INDIRECT("'"&amp;$AI154&amp;"'!$E$2:$E$320"),MATCH($A154,INDIRECT("'"&amp;$AI154&amp;"'!$A$2:$A$320"),0))="","",INDEX(INDIRECT("'"&amp;$AI154&amp;"'!$E$2:$E$320"),MATCH($A154,INDIRECT("'"&amp;$AI154&amp;"'!$A$2:$A$320"),0))),"")</f>
        <v/>
      </c>
      <c r="F154" s="9" t="str">
        <f aca="false">IF($E154="","",IFERROR(INDEX(担当者マスタ!$B$2:$B$101,MATCH($E154,担当者マスタ!$A$2:$A$101,0)),"※マスタ未登録"))</f>
        <v/>
      </c>
      <c r="G154" s="11" t="n">
        <v>0</v>
      </c>
      <c r="H154" s="11" t="n">
        <v>0</v>
      </c>
      <c r="I154" s="11" t="n">
        <v>0</v>
      </c>
      <c r="J154" s="11" t="n">
        <v>13.8</v>
      </c>
      <c r="K154" s="11" t="n">
        <v>0</v>
      </c>
      <c r="L154" s="11" t="n">
        <v>167</v>
      </c>
      <c r="M154" s="11" t="n">
        <f aca="false">SUM(G154:L154)</f>
        <v>180.8</v>
      </c>
      <c r="N154" s="11" t="n">
        <v>0</v>
      </c>
      <c r="O154" s="11" t="n">
        <v>0</v>
      </c>
      <c r="P154" s="11" t="n">
        <v>0</v>
      </c>
      <c r="Q154" s="11" t="n">
        <v>3</v>
      </c>
      <c r="R154" s="11" t="n">
        <v>0</v>
      </c>
      <c r="S154" s="11" t="n">
        <v>44</v>
      </c>
      <c r="T154" s="11" t="n">
        <f aca="false">SUM(N154:S154)</f>
        <v>47</v>
      </c>
      <c r="U154" s="11" t="n">
        <v>154.8</v>
      </c>
      <c r="V154" s="11" t="n">
        <v>0</v>
      </c>
      <c r="W154" s="11" t="n">
        <v>45.75</v>
      </c>
      <c r="X154" s="11" t="n">
        <v>0</v>
      </c>
      <c r="Y154" s="11" t="n">
        <v>0</v>
      </c>
      <c r="Z154" s="11" t="n">
        <v>0</v>
      </c>
      <c r="AA154" s="11" t="n">
        <f aca="false">SUM(U154:Z154)</f>
        <v>200.55</v>
      </c>
      <c r="AB154" s="11" t="n">
        <v>6.6</v>
      </c>
      <c r="AC154" s="11" t="n">
        <v>0</v>
      </c>
      <c r="AD154" s="11" t="n">
        <v>7.25</v>
      </c>
      <c r="AE154" s="11" t="n">
        <v>0</v>
      </c>
      <c r="AF154" s="11" t="n">
        <v>0</v>
      </c>
      <c r="AG154" s="11" t="n">
        <v>0</v>
      </c>
      <c r="AH154" s="11" t="n">
        <f aca="false">SUM(AB154:AG154)</f>
        <v>13.85</v>
      </c>
      <c r="AI154" s="12" t="s">
        <v>71</v>
      </c>
    </row>
    <row r="155" customFormat="false" ht="15" hidden="false" customHeight="false" outlineLevel="0" collapsed="false">
      <c r="A155" s="8" t="s">
        <v>370</v>
      </c>
      <c r="B155" s="12" t="s">
        <v>371</v>
      </c>
      <c r="C155" s="8" t="s">
        <v>262</v>
      </c>
      <c r="D155" s="12" t="s">
        <v>263</v>
      </c>
      <c r="E155" s="10" t="str">
        <f aca="true">IFERROR(IF(INDEX(INDIRECT("'"&amp;$AI155&amp;"'!$E$2:$E$320"),MATCH($A155,INDIRECT("'"&amp;$AI155&amp;"'!$A$2:$A$320"),0))="","",INDEX(INDIRECT("'"&amp;$AI155&amp;"'!$E$2:$E$320"),MATCH($A155,INDIRECT("'"&amp;$AI155&amp;"'!$A$2:$A$320"),0))),"")</f>
        <v/>
      </c>
      <c r="F155" s="9" t="str">
        <f aca="false">IF($E155="","",IFERROR(INDEX(担当者マスタ!$B$2:$B$101,MATCH($E155,担当者マスタ!$A$2:$A$101,0)),"※マスタ未登録"))</f>
        <v/>
      </c>
      <c r="G155" s="11" t="n">
        <v>33.6</v>
      </c>
      <c r="H155" s="11" t="n">
        <v>89.25</v>
      </c>
      <c r="I155" s="11" t="n">
        <v>0</v>
      </c>
      <c r="J155" s="11" t="n">
        <v>143.094</v>
      </c>
      <c r="K155" s="11" t="n">
        <v>0</v>
      </c>
      <c r="L155" s="11" t="n">
        <v>33.6</v>
      </c>
      <c r="M155" s="11" t="n">
        <f aca="false">SUM(G155:L155)</f>
        <v>299.544</v>
      </c>
      <c r="N155" s="11" t="n">
        <v>4.92</v>
      </c>
      <c r="O155" s="11" t="n">
        <v>14.07</v>
      </c>
      <c r="P155" s="11" t="n">
        <v>0</v>
      </c>
      <c r="Q155" s="11" t="n">
        <v>19.7799</v>
      </c>
      <c r="R155" s="11" t="n">
        <v>0</v>
      </c>
      <c r="S155" s="11" t="n">
        <v>4.92</v>
      </c>
      <c r="T155" s="11" t="n">
        <f aca="false">SUM(N155:S155)</f>
        <v>43.6899</v>
      </c>
      <c r="U155" s="11" t="n">
        <v>33.6</v>
      </c>
      <c r="V155" s="11" t="n">
        <v>0</v>
      </c>
      <c r="W155" s="11" t="n">
        <v>137.2</v>
      </c>
      <c r="X155" s="11" t="n">
        <v>33.6</v>
      </c>
      <c r="Y155" s="11" t="n">
        <v>0</v>
      </c>
      <c r="Z155" s="11" t="n">
        <v>142.5</v>
      </c>
      <c r="AA155" s="11" t="n">
        <f aca="false">SUM(U155:Z155)</f>
        <v>346.9</v>
      </c>
      <c r="AB155" s="11" t="n">
        <v>5.1</v>
      </c>
      <c r="AC155" s="11" t="n">
        <v>0</v>
      </c>
      <c r="AD155" s="11" t="n">
        <v>15.02</v>
      </c>
      <c r="AE155" s="11" t="n">
        <v>5.1</v>
      </c>
      <c r="AF155" s="11" t="n">
        <v>0</v>
      </c>
      <c r="AG155" s="11" t="n">
        <v>22.275</v>
      </c>
      <c r="AH155" s="11" t="n">
        <f aca="false">SUM(AB155:AG155)</f>
        <v>47.495</v>
      </c>
      <c r="AI155" s="12" t="s">
        <v>71</v>
      </c>
    </row>
    <row r="156" customFormat="false" ht="15" hidden="false" customHeight="false" outlineLevel="0" collapsed="false">
      <c r="A156" s="8" t="s">
        <v>372</v>
      </c>
      <c r="B156" s="12" t="s">
        <v>373</v>
      </c>
      <c r="C156" s="8" t="s">
        <v>262</v>
      </c>
      <c r="D156" s="12" t="s">
        <v>263</v>
      </c>
      <c r="E156" s="10" t="str">
        <f aca="true">IFERROR(IF(INDEX(INDIRECT("'"&amp;$AI156&amp;"'!$E$2:$E$320"),MATCH($A156,INDIRECT("'"&amp;$AI156&amp;"'!$A$2:$A$320"),0))="","",INDEX(INDIRECT("'"&amp;$AI156&amp;"'!$E$2:$E$320"),MATCH($A156,INDIRECT("'"&amp;$AI156&amp;"'!$A$2:$A$320"),0))),"")</f>
        <v/>
      </c>
      <c r="F156" s="9" t="str">
        <f aca="false">IF($E156="","",IFERROR(INDEX(担当者マスタ!$B$2:$B$101,MATCH($E156,担当者マスタ!$A$2:$A$101,0)),"※マスタ未登録"))</f>
        <v/>
      </c>
      <c r="G156" s="11" t="n">
        <v>0</v>
      </c>
      <c r="H156" s="11" t="n">
        <v>0</v>
      </c>
      <c r="I156" s="11" t="n">
        <v>613.824</v>
      </c>
      <c r="J156" s="11" t="n">
        <v>0</v>
      </c>
      <c r="K156" s="11" t="n">
        <v>0</v>
      </c>
      <c r="L156" s="11" t="n">
        <v>0</v>
      </c>
      <c r="M156" s="11" t="n">
        <f aca="false">SUM(G156:L156)</f>
        <v>613.824</v>
      </c>
      <c r="N156" s="11" t="n">
        <v>0</v>
      </c>
      <c r="O156" s="11" t="n">
        <v>0</v>
      </c>
      <c r="P156" s="11" t="n">
        <v>139.104</v>
      </c>
      <c r="Q156" s="11" t="n">
        <v>0</v>
      </c>
      <c r="R156" s="11" t="n">
        <v>0</v>
      </c>
      <c r="S156" s="11" t="n">
        <v>0</v>
      </c>
      <c r="T156" s="11" t="n">
        <f aca="false">SUM(N156:S156)</f>
        <v>139.104</v>
      </c>
      <c r="U156" s="11" t="n">
        <v>0</v>
      </c>
      <c r="V156" s="11" t="n">
        <v>0</v>
      </c>
      <c r="W156" s="11" t="n">
        <v>600.48</v>
      </c>
      <c r="X156" s="11" t="n">
        <v>0</v>
      </c>
      <c r="Y156" s="11" t="n">
        <v>0</v>
      </c>
      <c r="Z156" s="11" t="n">
        <v>0</v>
      </c>
      <c r="AA156" s="11" t="n">
        <f aca="false">SUM(U156:Z156)</f>
        <v>600.48</v>
      </c>
      <c r="AB156" s="11" t="n">
        <v>0</v>
      </c>
      <c r="AC156" s="11" t="n">
        <v>0</v>
      </c>
      <c r="AD156" s="11" t="n">
        <v>112.32</v>
      </c>
      <c r="AE156" s="11" t="n">
        <v>0</v>
      </c>
      <c r="AF156" s="11" t="n">
        <v>0</v>
      </c>
      <c r="AG156" s="11" t="n">
        <v>0</v>
      </c>
      <c r="AH156" s="11" t="n">
        <f aca="false">SUM(AB156:AG156)</f>
        <v>112.32</v>
      </c>
      <c r="AI156" s="12" t="s">
        <v>71</v>
      </c>
    </row>
    <row r="157" customFormat="false" ht="15" hidden="false" customHeight="false" outlineLevel="0" collapsed="false">
      <c r="A157" s="8" t="s">
        <v>374</v>
      </c>
      <c r="B157" s="12" t="s">
        <v>375</v>
      </c>
      <c r="C157" s="8" t="s">
        <v>262</v>
      </c>
      <c r="D157" s="12" t="s">
        <v>263</v>
      </c>
      <c r="E157" s="10" t="str">
        <f aca="true">IFERROR(IF(INDEX(INDIRECT("'"&amp;$AI157&amp;"'!$E$2:$E$320"),MATCH($A157,INDIRECT("'"&amp;$AI157&amp;"'!$A$2:$A$320"),0))="","",INDEX(INDIRECT("'"&amp;$AI157&amp;"'!$E$2:$E$320"),MATCH($A157,INDIRECT("'"&amp;$AI157&amp;"'!$A$2:$A$320"),0))),"")</f>
        <v/>
      </c>
      <c r="F157" s="9" t="str">
        <f aca="false">IF($E157="","",IFERROR(INDEX(担当者マスタ!$B$2:$B$101,MATCH($E157,担当者マスタ!$A$2:$A$101,0)),"※マスタ未登録"))</f>
        <v/>
      </c>
      <c r="G157" s="11" t="n">
        <v>0</v>
      </c>
      <c r="H157" s="11" t="n">
        <v>477.351</v>
      </c>
      <c r="I157" s="11" t="n">
        <v>263.693</v>
      </c>
      <c r="J157" s="11" t="n">
        <v>232.485</v>
      </c>
      <c r="K157" s="11" t="n">
        <v>71.326</v>
      </c>
      <c r="L157" s="11" t="n">
        <v>119.437</v>
      </c>
      <c r="M157" s="11" t="n">
        <f aca="false">SUM(G157:L157)</f>
        <v>1164.292</v>
      </c>
      <c r="N157" s="11" t="n">
        <v>0</v>
      </c>
      <c r="O157" s="11" t="n">
        <v>138.286</v>
      </c>
      <c r="P157" s="11" t="n">
        <v>79.514</v>
      </c>
      <c r="Q157" s="11" t="n">
        <v>82.37</v>
      </c>
      <c r="R157" s="11" t="n">
        <v>21.96</v>
      </c>
      <c r="S157" s="11" t="n">
        <v>37.938</v>
      </c>
      <c r="T157" s="11" t="n">
        <f aca="false">SUM(N157:S157)</f>
        <v>360.068</v>
      </c>
      <c r="U157" s="11" t="n">
        <v>113.144</v>
      </c>
      <c r="V157" s="11" t="n">
        <v>131.67</v>
      </c>
      <c r="W157" s="11" t="n">
        <v>175.916</v>
      </c>
      <c r="X157" s="11" t="n">
        <v>75.035</v>
      </c>
      <c r="Y157" s="11" t="n">
        <v>41.929</v>
      </c>
      <c r="Z157" s="11" t="n">
        <v>67.949</v>
      </c>
      <c r="AA157" s="11" t="n">
        <f aca="false">SUM(U157:Z157)</f>
        <v>605.643</v>
      </c>
      <c r="AB157" s="11" t="n">
        <v>36.501</v>
      </c>
      <c r="AC157" s="11" t="n">
        <v>46.436</v>
      </c>
      <c r="AD157" s="11" t="n">
        <v>62.307</v>
      </c>
      <c r="AE157" s="11" t="n">
        <v>23.524</v>
      </c>
      <c r="AF157" s="11" t="n">
        <v>10.684</v>
      </c>
      <c r="AG157" s="11" t="n">
        <v>25.48</v>
      </c>
      <c r="AH157" s="11" t="n">
        <f aca="false">SUM(AB157:AG157)</f>
        <v>204.932</v>
      </c>
      <c r="AI157" s="12" t="s">
        <v>71</v>
      </c>
    </row>
    <row r="158" customFormat="false" ht="15" hidden="false" customHeight="false" outlineLevel="0" collapsed="false">
      <c r="A158" s="8" t="s">
        <v>376</v>
      </c>
      <c r="B158" s="12" t="s">
        <v>377</v>
      </c>
      <c r="C158" s="8" t="s">
        <v>262</v>
      </c>
      <c r="D158" s="12" t="s">
        <v>263</v>
      </c>
      <c r="E158" s="10" t="str">
        <f aca="true">IFERROR(IF(INDEX(INDIRECT("'"&amp;$AI158&amp;"'!$E$2:$E$320"),MATCH($A158,INDIRECT("'"&amp;$AI158&amp;"'!$A$2:$A$320"),0))="","",INDEX(INDIRECT("'"&amp;$AI158&amp;"'!$E$2:$E$320"),MATCH($A158,INDIRECT("'"&amp;$AI158&amp;"'!$A$2:$A$320"),0))),"")</f>
        <v/>
      </c>
      <c r="F158" s="9" t="str">
        <f aca="false">IF($E158="","",IFERROR(INDEX(担当者マスタ!$B$2:$B$101,MATCH($E158,担当者マスタ!$A$2:$A$101,0)),"※マスタ未登録"))</f>
        <v/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f aca="false">SUM(G158:L158)</f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f aca="false">SUM(N158:S158)</f>
        <v>0</v>
      </c>
      <c r="U158" s="11" t="n">
        <v>54.1</v>
      </c>
      <c r="V158" s="11" t="n">
        <v>61.9</v>
      </c>
      <c r="W158" s="11" t="n">
        <v>41.4</v>
      </c>
      <c r="X158" s="11" t="n">
        <v>5.1</v>
      </c>
      <c r="Y158" s="11" t="n">
        <v>82.595</v>
      </c>
      <c r="Z158" s="11" t="n">
        <v>75.7</v>
      </c>
      <c r="AA158" s="11" t="n">
        <f aca="false">SUM(U158:Z158)</f>
        <v>320.795</v>
      </c>
      <c r="AB158" s="11" t="n">
        <v>11.574</v>
      </c>
      <c r="AC158" s="11" t="n">
        <v>14.5704</v>
      </c>
      <c r="AD158" s="11" t="n">
        <v>12.429</v>
      </c>
      <c r="AE158" s="11" t="n">
        <v>2.02</v>
      </c>
      <c r="AF158" s="11" t="n">
        <v>20.922</v>
      </c>
      <c r="AG158" s="11" t="n">
        <v>19.134</v>
      </c>
      <c r="AH158" s="11" t="n">
        <f aca="false">SUM(AB158:AG158)</f>
        <v>80.6494</v>
      </c>
      <c r="AI158" s="12" t="s">
        <v>71</v>
      </c>
    </row>
    <row r="159" customFormat="false" ht="15" hidden="false" customHeight="false" outlineLevel="0" collapsed="false">
      <c r="A159" s="8" t="s">
        <v>378</v>
      </c>
      <c r="B159" s="12" t="s">
        <v>379</v>
      </c>
      <c r="C159" s="8" t="s">
        <v>262</v>
      </c>
      <c r="D159" s="12" t="s">
        <v>263</v>
      </c>
      <c r="E159" s="10" t="str">
        <f aca="true">IFERROR(IF(INDEX(INDIRECT("'"&amp;$AI159&amp;"'!$E$2:$E$320"),MATCH($A159,INDIRECT("'"&amp;$AI159&amp;"'!$A$2:$A$320"),0))="","",INDEX(INDIRECT("'"&amp;$AI159&amp;"'!$E$2:$E$320"),MATCH($A159,INDIRECT("'"&amp;$AI159&amp;"'!$A$2:$A$320"),0))),"")</f>
        <v/>
      </c>
      <c r="F159" s="9" t="str">
        <f aca="false">IF($E159="","",IFERROR(INDEX(担当者マスタ!$B$2:$B$101,MATCH($E159,担当者マスタ!$A$2:$A$101,0)),"※マスタ未登録"))</f>
        <v/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f aca="false">SUM(G159:L159)</f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f aca="false">SUM(N159:S159)</f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72.78</v>
      </c>
      <c r="Z159" s="11" t="n">
        <v>0</v>
      </c>
      <c r="AA159" s="11" t="n">
        <f aca="false">SUM(U159:Z159)</f>
        <v>72.78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6.68</v>
      </c>
      <c r="AG159" s="11" t="n">
        <v>0</v>
      </c>
      <c r="AH159" s="11" t="n">
        <f aca="false">SUM(AB159:AG159)</f>
        <v>6.68</v>
      </c>
      <c r="AI159" s="12" t="s">
        <v>71</v>
      </c>
    </row>
    <row r="160" customFormat="false" ht="15" hidden="false" customHeight="false" outlineLevel="0" collapsed="false">
      <c r="A160" s="8" t="s">
        <v>380</v>
      </c>
      <c r="B160" s="12" t="s">
        <v>381</v>
      </c>
      <c r="C160" s="8" t="s">
        <v>262</v>
      </c>
      <c r="D160" s="12" t="s">
        <v>263</v>
      </c>
      <c r="E160" s="10" t="str">
        <f aca="true">IFERROR(IF(INDEX(INDIRECT("'"&amp;$AI160&amp;"'!$E$2:$E$320"),MATCH($A160,INDIRECT("'"&amp;$AI160&amp;"'!$A$2:$A$320"),0))="","",INDEX(INDIRECT("'"&amp;$AI160&amp;"'!$E$2:$E$320"),MATCH($A160,INDIRECT("'"&amp;$AI160&amp;"'!$A$2:$A$320"),0))),"")</f>
        <v/>
      </c>
      <c r="F160" s="9" t="str">
        <f aca="false">IF($E160="","",IFERROR(INDEX(担当者マスタ!$B$2:$B$101,MATCH($E160,担当者マスタ!$A$2:$A$101,0)),"※マスタ未登録"))</f>
        <v/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f aca="false">SUM(G160:L160)</f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f aca="false">SUM(N160:S160)</f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157.54</v>
      </c>
      <c r="AA160" s="11" t="n">
        <f aca="false">SUM(U160:Z160)</f>
        <v>157.54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41.546</v>
      </c>
      <c r="AH160" s="11" t="n">
        <f aca="false">SUM(AB160:AG160)</f>
        <v>41.546</v>
      </c>
      <c r="AI160" s="12" t="s">
        <v>71</v>
      </c>
    </row>
    <row r="161" customFormat="false" ht="15" hidden="false" customHeight="false" outlineLevel="0" collapsed="false">
      <c r="A161" s="8" t="s">
        <v>382</v>
      </c>
      <c r="B161" s="12" t="s">
        <v>383</v>
      </c>
      <c r="C161" s="8" t="s">
        <v>262</v>
      </c>
      <c r="D161" s="12" t="s">
        <v>263</v>
      </c>
      <c r="E161" s="10" t="str">
        <f aca="true">IFERROR(IF(INDEX(INDIRECT("'"&amp;$AI161&amp;"'!$E$2:$E$320"),MATCH($A161,INDIRECT("'"&amp;$AI161&amp;"'!$A$2:$A$320"),0))="","",INDEX(INDIRECT("'"&amp;$AI161&amp;"'!$E$2:$E$320"),MATCH($A161,INDIRECT("'"&amp;$AI161&amp;"'!$A$2:$A$320"),0))),"")</f>
        <v/>
      </c>
      <c r="F161" s="9" t="str">
        <f aca="false">IF($E161="","",IFERROR(INDEX(担当者マスタ!$B$2:$B$101,MATCH($E161,担当者マスタ!$A$2:$A$101,0)),"※マスタ未登録"))</f>
        <v/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f aca="false">SUM(G161:L161)</f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f aca="false">SUM(N161:S161)</f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8.9</v>
      </c>
      <c r="AA161" s="11" t="n">
        <f aca="false">SUM(U161:Z161)</f>
        <v>8.9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1.68</v>
      </c>
      <c r="AH161" s="11" t="n">
        <f aca="false">SUM(AB161:AG161)</f>
        <v>1.68</v>
      </c>
      <c r="AI161" s="12" t="s">
        <v>71</v>
      </c>
    </row>
    <row r="162" customFormat="false" ht="15" hidden="false" customHeight="false" outlineLevel="0" collapsed="false">
      <c r="A162" s="8" t="s">
        <v>384</v>
      </c>
      <c r="B162" s="9" t="s">
        <v>385</v>
      </c>
      <c r="C162" s="8" t="s">
        <v>262</v>
      </c>
      <c r="D162" s="12" t="s">
        <v>263</v>
      </c>
      <c r="E162" s="10" t="str">
        <f aca="true">IFERROR(IF(INDEX(INDIRECT("'"&amp;$AI162&amp;"'!$E$2:$E$320"),MATCH($A162,INDIRECT("'"&amp;$AI162&amp;"'!$A$2:$A$320"),0))="","",INDEX(INDIRECT("'"&amp;$AI162&amp;"'!$E$2:$E$320"),MATCH($A162,INDIRECT("'"&amp;$AI162&amp;"'!$A$2:$A$320"),0))),"")</f>
        <v/>
      </c>
      <c r="F162" s="9" t="str">
        <f aca="false">IF($E162="","",IFERROR(INDEX(担当者マスタ!$B$2:$B$101,MATCH($E162,担当者マスタ!$A$2:$A$101,0)),"※マスタ未登録"))</f>
        <v/>
      </c>
      <c r="G162" s="11" t="n">
        <v>0</v>
      </c>
      <c r="H162" s="11" t="n">
        <v>0</v>
      </c>
      <c r="I162" s="11" t="n">
        <v>38</v>
      </c>
      <c r="J162" s="11" t="n">
        <v>0</v>
      </c>
      <c r="K162" s="11" t="n">
        <v>0</v>
      </c>
      <c r="L162" s="11" t="n">
        <v>0</v>
      </c>
      <c r="M162" s="11" t="n">
        <f aca="false">SUM(G162:L162)</f>
        <v>38</v>
      </c>
      <c r="N162" s="11" t="n">
        <v>0</v>
      </c>
      <c r="O162" s="11" t="n">
        <v>0</v>
      </c>
      <c r="P162" s="11" t="n">
        <v>5</v>
      </c>
      <c r="Q162" s="11" t="n">
        <v>0</v>
      </c>
      <c r="R162" s="11" t="n">
        <v>0</v>
      </c>
      <c r="S162" s="11" t="n">
        <v>0</v>
      </c>
      <c r="T162" s="11" t="n">
        <f aca="false">SUM(N162:S162)</f>
        <v>5</v>
      </c>
      <c r="U162" s="11" t="n">
        <v>0</v>
      </c>
      <c r="V162" s="11" t="n">
        <v>0</v>
      </c>
      <c r="W162" s="11" t="n">
        <v>0</v>
      </c>
      <c r="X162" s="11" t="n">
        <v>38</v>
      </c>
      <c r="Y162" s="11" t="n">
        <v>0</v>
      </c>
      <c r="Z162" s="11" t="n">
        <v>0</v>
      </c>
      <c r="AA162" s="11" t="n">
        <f aca="false">SUM(U162:Z162)</f>
        <v>38</v>
      </c>
      <c r="AB162" s="11" t="n">
        <v>0</v>
      </c>
      <c r="AC162" s="11" t="n">
        <v>0</v>
      </c>
      <c r="AD162" s="11" t="n">
        <v>0</v>
      </c>
      <c r="AE162" s="11" t="n">
        <v>5</v>
      </c>
      <c r="AF162" s="11" t="n">
        <v>0</v>
      </c>
      <c r="AG162" s="11" t="n">
        <v>0</v>
      </c>
      <c r="AH162" s="11" t="n">
        <f aca="false">SUM(AB162:AG162)</f>
        <v>5</v>
      </c>
      <c r="AI162" s="12" t="s">
        <v>71</v>
      </c>
    </row>
    <row r="163" customFormat="false" ht="15" hidden="false" customHeight="false" outlineLevel="0" collapsed="false">
      <c r="A163" s="8" t="s">
        <v>386</v>
      </c>
      <c r="B163" s="12" t="s">
        <v>387</v>
      </c>
      <c r="C163" s="8" t="s">
        <v>388</v>
      </c>
      <c r="D163" s="12" t="s">
        <v>389</v>
      </c>
      <c r="E163" s="10" t="str">
        <f aca="true">IFERROR(IF(INDEX(INDIRECT("'"&amp;$AI163&amp;"'!$E$2:$E$320"),MATCH($A163,INDIRECT("'"&amp;$AI163&amp;"'!$A$2:$A$320"),0))="","",INDEX(INDIRECT("'"&amp;$AI163&amp;"'!$E$2:$E$320"),MATCH($A163,INDIRECT("'"&amp;$AI163&amp;"'!$A$2:$A$320"),0))),"")</f>
        <v/>
      </c>
      <c r="F163" s="9" t="str">
        <f aca="false">IF($E163="","",IFERROR(INDEX(担当者マスタ!$B$2:$B$101,MATCH($E163,担当者マスタ!$A$2:$A$101,0)),"※マスタ未登録"))</f>
        <v/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f aca="false">SUM(G163:L163)</f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f aca="false">SUM(N163:S163)</f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50</v>
      </c>
      <c r="AA163" s="11" t="n">
        <f aca="false">SUM(U163:Z163)</f>
        <v>50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50</v>
      </c>
      <c r="AH163" s="11" t="n">
        <f aca="false">SUM(AB163:AG163)</f>
        <v>50</v>
      </c>
      <c r="AI163" s="12" t="s">
        <v>71</v>
      </c>
    </row>
    <row r="164" customFormat="false" ht="15" hidden="false" customHeight="false" outlineLevel="0" collapsed="false">
      <c r="A164" s="8" t="s">
        <v>390</v>
      </c>
      <c r="B164" s="12" t="s">
        <v>391</v>
      </c>
      <c r="C164" s="8" t="s">
        <v>388</v>
      </c>
      <c r="D164" s="12" t="s">
        <v>389</v>
      </c>
      <c r="E164" s="10" t="str">
        <f aca="true">IFERROR(IF(INDEX(INDIRECT("'"&amp;$AI164&amp;"'!$E$2:$E$320"),MATCH($A164,INDIRECT("'"&amp;$AI164&amp;"'!$A$2:$A$320"),0))="","",INDEX(INDIRECT("'"&amp;$AI164&amp;"'!$E$2:$E$320"),MATCH($A164,INDIRECT("'"&amp;$AI164&amp;"'!$A$2:$A$320"),0))),"")</f>
        <v/>
      </c>
      <c r="F164" s="9" t="str">
        <f aca="false">IF($E164="","",IFERROR(INDEX(担当者マスタ!$B$2:$B$101,MATCH($E164,担当者マスタ!$A$2:$A$101,0)),"※マスタ未登録"))</f>
        <v/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f aca="false">SUM(G164:L164)</f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f aca="false">SUM(N164:S164)</f>
        <v>0</v>
      </c>
      <c r="U164" s="11" t="n">
        <v>0</v>
      </c>
      <c r="V164" s="11" t="n">
        <v>0</v>
      </c>
      <c r="W164" s="11" t="n">
        <v>22</v>
      </c>
      <c r="X164" s="11" t="n">
        <v>50.5</v>
      </c>
      <c r="Y164" s="11" t="n">
        <v>163</v>
      </c>
      <c r="Z164" s="11" t="n">
        <v>156.36</v>
      </c>
      <c r="AA164" s="11" t="n">
        <f aca="false">SUM(U164:Z164)</f>
        <v>391.86</v>
      </c>
      <c r="AB164" s="11" t="n">
        <v>0</v>
      </c>
      <c r="AC164" s="11" t="n">
        <v>0</v>
      </c>
      <c r="AD164" s="11" t="n">
        <v>3.8</v>
      </c>
      <c r="AE164" s="11" t="n">
        <v>8.8</v>
      </c>
      <c r="AF164" s="11" t="n">
        <v>11.6</v>
      </c>
      <c r="AG164" s="11" t="n">
        <v>32.46</v>
      </c>
      <c r="AH164" s="11" t="n">
        <f aca="false">SUM(AB164:AG164)</f>
        <v>56.66</v>
      </c>
      <c r="AI164" s="12" t="s">
        <v>71</v>
      </c>
    </row>
    <row r="165" customFormat="false" ht="15" hidden="false" customHeight="false" outlineLevel="0" collapsed="false">
      <c r="A165" s="8" t="s">
        <v>392</v>
      </c>
      <c r="B165" s="12" t="s">
        <v>393</v>
      </c>
      <c r="C165" s="8" t="s">
        <v>388</v>
      </c>
      <c r="D165" s="12" t="s">
        <v>389</v>
      </c>
      <c r="E165" s="10" t="str">
        <f aca="true">IFERROR(IF(INDEX(INDIRECT("'"&amp;$AI165&amp;"'!$E$2:$E$320"),MATCH($A165,INDIRECT("'"&amp;$AI165&amp;"'!$A$2:$A$320"),0))="","",INDEX(INDIRECT("'"&amp;$AI165&amp;"'!$E$2:$E$320"),MATCH($A165,INDIRECT("'"&amp;$AI165&amp;"'!$A$2:$A$320"),0))),"")</f>
        <v/>
      </c>
      <c r="F165" s="9" t="str">
        <f aca="false">IF($E165="","",IFERROR(INDEX(担当者マスタ!$B$2:$B$101,MATCH($E165,担当者マスタ!$A$2:$A$101,0)),"※マスタ未登録"))</f>
        <v/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f aca="false">SUM(G165:L165)</f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f aca="false">SUM(N165:S165)</f>
        <v>0</v>
      </c>
      <c r="U165" s="11" t="n">
        <v>0</v>
      </c>
      <c r="V165" s="11" t="n">
        <v>0</v>
      </c>
      <c r="W165" s="11" t="n">
        <v>0</v>
      </c>
      <c r="X165" s="11" t="n">
        <v>10.88</v>
      </c>
      <c r="Y165" s="11" t="n">
        <v>31.59</v>
      </c>
      <c r="Z165" s="11" t="n">
        <v>43.26</v>
      </c>
      <c r="AA165" s="11" t="n">
        <f aca="false">SUM(U165:Z165)</f>
        <v>85.73</v>
      </c>
      <c r="AB165" s="11" t="n">
        <v>0</v>
      </c>
      <c r="AC165" s="11" t="n">
        <v>0</v>
      </c>
      <c r="AD165" s="11" t="n">
        <v>0</v>
      </c>
      <c r="AE165" s="11" t="n">
        <v>3.349</v>
      </c>
      <c r="AF165" s="11" t="n">
        <v>9.152</v>
      </c>
      <c r="AG165" s="11" t="n">
        <v>12.251</v>
      </c>
      <c r="AH165" s="11" t="n">
        <f aca="false">SUM(AB165:AG165)</f>
        <v>24.752</v>
      </c>
      <c r="AI165" s="12" t="s">
        <v>71</v>
      </c>
    </row>
    <row r="166" customFormat="false" ht="15" hidden="false" customHeight="false" outlineLevel="0" collapsed="false">
      <c r="A166" s="8" t="s">
        <v>394</v>
      </c>
      <c r="B166" s="12" t="s">
        <v>395</v>
      </c>
      <c r="C166" s="8" t="s">
        <v>388</v>
      </c>
      <c r="D166" s="12" t="s">
        <v>389</v>
      </c>
      <c r="E166" s="10" t="str">
        <f aca="true">IFERROR(IF(INDEX(INDIRECT("'"&amp;$AI166&amp;"'!$E$2:$E$320"),MATCH($A166,INDIRECT("'"&amp;$AI166&amp;"'!$A$2:$A$320"),0))="","",INDEX(INDIRECT("'"&amp;$AI166&amp;"'!$E$2:$E$320"),MATCH($A166,INDIRECT("'"&amp;$AI166&amp;"'!$A$2:$A$320"),0))),"")</f>
        <v/>
      </c>
      <c r="F166" s="9" t="str">
        <f aca="false">IF($E166="","",IFERROR(INDEX(担当者マスタ!$B$2:$B$101,MATCH($E166,担当者マスタ!$A$2:$A$101,0)),"※マスタ未登録"))</f>
        <v/>
      </c>
      <c r="G166" s="11" t="n">
        <v>1.26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f aca="false">SUM(G166:L166)</f>
        <v>1.26</v>
      </c>
      <c r="N166" s="11" t="n">
        <v>0.352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f aca="false">SUM(N166:S166)</f>
        <v>0.352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f aca="false">SUM(U166:Z166)</f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0</v>
      </c>
      <c r="AG166" s="11" t="n">
        <v>0</v>
      </c>
      <c r="AH166" s="11" t="n">
        <f aca="false">SUM(AB166:AG166)</f>
        <v>0</v>
      </c>
      <c r="AI166" s="12" t="s">
        <v>71</v>
      </c>
    </row>
    <row r="167" customFormat="false" ht="15" hidden="false" customHeight="false" outlineLevel="0" collapsed="false">
      <c r="A167" s="8" t="s">
        <v>396</v>
      </c>
      <c r="B167" s="9" t="s">
        <v>397</v>
      </c>
      <c r="C167" s="8" t="s">
        <v>388</v>
      </c>
      <c r="D167" s="12" t="s">
        <v>389</v>
      </c>
      <c r="E167" s="10" t="str">
        <f aca="true">IFERROR(IF(INDEX(INDIRECT("'"&amp;$AI167&amp;"'!$E$2:$E$320"),MATCH($A167,INDIRECT("'"&amp;$AI167&amp;"'!$A$2:$A$320"),0))="","",INDEX(INDIRECT("'"&amp;$AI167&amp;"'!$E$2:$E$320"),MATCH($A167,INDIRECT("'"&amp;$AI167&amp;"'!$A$2:$A$320"),0))),"")</f>
        <v/>
      </c>
      <c r="F167" s="9" t="str">
        <f aca="false">IF($E167="","",IFERROR(INDEX(担当者マスタ!$B$2:$B$101,MATCH($E167,担当者マスタ!$A$2:$A$101,0)),"※マスタ未登録"))</f>
        <v/>
      </c>
      <c r="G167" s="11" t="n">
        <v>0</v>
      </c>
      <c r="H167" s="11" t="n">
        <v>70.2</v>
      </c>
      <c r="I167" s="11" t="n">
        <v>11.7</v>
      </c>
      <c r="J167" s="11" t="n">
        <v>0</v>
      </c>
      <c r="K167" s="11" t="n">
        <v>0</v>
      </c>
      <c r="L167" s="11" t="n">
        <v>0</v>
      </c>
      <c r="M167" s="11" t="n">
        <f aca="false">SUM(G167:L167)</f>
        <v>81.9</v>
      </c>
      <c r="N167" s="11" t="n">
        <v>0</v>
      </c>
      <c r="O167" s="11" t="n">
        <v>12.6</v>
      </c>
      <c r="P167" s="11" t="n">
        <v>2.1</v>
      </c>
      <c r="Q167" s="11" t="n">
        <v>0</v>
      </c>
      <c r="R167" s="11" t="n">
        <v>0</v>
      </c>
      <c r="S167" s="11" t="n">
        <v>0</v>
      </c>
      <c r="T167" s="11" t="n">
        <f aca="false">SUM(N167:S167)</f>
        <v>14.7</v>
      </c>
      <c r="U167" s="11" t="n">
        <v>30.14</v>
      </c>
      <c r="V167" s="11" t="n">
        <v>52.21</v>
      </c>
      <c r="W167" s="11" t="n">
        <v>38.576</v>
      </c>
      <c r="X167" s="11" t="n">
        <v>53.002</v>
      </c>
      <c r="Y167" s="11" t="n">
        <v>61.932</v>
      </c>
      <c r="Z167" s="11" t="n">
        <v>22.2</v>
      </c>
      <c r="AA167" s="11" t="n">
        <f aca="false">SUM(U167:Z167)</f>
        <v>258.06</v>
      </c>
      <c r="AB167" s="11" t="n">
        <v>6.76</v>
      </c>
      <c r="AC167" s="11" t="n">
        <v>9.17</v>
      </c>
      <c r="AD167" s="11" t="n">
        <v>5.426</v>
      </c>
      <c r="AE167" s="11" t="n">
        <v>8.177</v>
      </c>
      <c r="AF167" s="11" t="n">
        <v>8.347</v>
      </c>
      <c r="AG167" s="11" t="n">
        <v>4.8</v>
      </c>
      <c r="AH167" s="11" t="n">
        <f aca="false">SUM(AB167:AG167)</f>
        <v>42.68</v>
      </c>
      <c r="AI167" s="12" t="s">
        <v>71</v>
      </c>
    </row>
    <row r="168" customFormat="false" ht="15" hidden="false" customHeight="false" outlineLevel="0" collapsed="false">
      <c r="A168" s="8" t="s">
        <v>398</v>
      </c>
      <c r="B168" s="12" t="s">
        <v>399</v>
      </c>
      <c r="C168" s="8" t="s">
        <v>388</v>
      </c>
      <c r="D168" s="12" t="s">
        <v>389</v>
      </c>
      <c r="E168" s="10" t="str">
        <f aca="true">IFERROR(IF(INDEX(INDIRECT("'"&amp;$AI168&amp;"'!$E$2:$E$320"),MATCH($A168,INDIRECT("'"&amp;$AI168&amp;"'!$A$2:$A$320"),0))="","",INDEX(INDIRECT("'"&amp;$AI168&amp;"'!$E$2:$E$320"),MATCH($A168,INDIRECT("'"&amp;$AI168&amp;"'!$A$2:$A$320"),0))),"")</f>
        <v/>
      </c>
      <c r="F168" s="9" t="str">
        <f aca="false">IF($E168="","",IFERROR(INDEX(担当者マスタ!$B$2:$B$101,MATCH($E168,担当者マスタ!$A$2:$A$101,0)),"※マスタ未登録"))</f>
        <v/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f aca="false">SUM(G168:L168)</f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f aca="false">SUM(N168:S168)</f>
        <v>0</v>
      </c>
      <c r="U168" s="11" t="n">
        <v>0</v>
      </c>
      <c r="V168" s="11" t="n">
        <v>0</v>
      </c>
      <c r="W168" s="11" t="n">
        <v>0</v>
      </c>
      <c r="X168" s="11" t="n">
        <v>318.142</v>
      </c>
      <c r="Y168" s="11" t="n">
        <v>0</v>
      </c>
      <c r="Z168" s="11" t="n">
        <v>0</v>
      </c>
      <c r="AA168" s="11" t="n">
        <f aca="false">SUM(U168:Z168)</f>
        <v>318.142</v>
      </c>
      <c r="AB168" s="11" t="n">
        <v>0</v>
      </c>
      <c r="AC168" s="11" t="n">
        <v>0</v>
      </c>
      <c r="AD168" s="11" t="n">
        <v>0</v>
      </c>
      <c r="AE168" s="11" t="n">
        <v>47.994</v>
      </c>
      <c r="AF168" s="11" t="n">
        <v>0</v>
      </c>
      <c r="AG168" s="11" t="n">
        <v>0</v>
      </c>
      <c r="AH168" s="11" t="n">
        <f aca="false">SUM(AB168:AG168)</f>
        <v>47.994</v>
      </c>
      <c r="AI168" s="12" t="s">
        <v>71</v>
      </c>
    </row>
    <row r="169" customFormat="false" ht="15" hidden="false" customHeight="false" outlineLevel="0" collapsed="false">
      <c r="A169" s="8" t="s">
        <v>400</v>
      </c>
      <c r="B169" s="12" t="s">
        <v>401</v>
      </c>
      <c r="C169" s="8" t="s">
        <v>388</v>
      </c>
      <c r="D169" s="12" t="s">
        <v>389</v>
      </c>
      <c r="E169" s="10" t="str">
        <f aca="true">IFERROR(IF(INDEX(INDIRECT("'"&amp;$AI169&amp;"'!$E$2:$E$320"),MATCH($A169,INDIRECT("'"&amp;$AI169&amp;"'!$A$2:$A$320"),0))="","",INDEX(INDIRECT("'"&amp;$AI169&amp;"'!$E$2:$E$320"),MATCH($A169,INDIRECT("'"&amp;$AI169&amp;"'!$A$2:$A$320"),0))),"")</f>
        <v/>
      </c>
      <c r="F169" s="9" t="str">
        <f aca="false">IF($E169="","",IFERROR(INDEX(担当者マスタ!$B$2:$B$101,MATCH($E169,担当者マスタ!$A$2:$A$101,0)),"※マスタ未登録"))</f>
        <v/>
      </c>
      <c r="G169" s="11" t="n">
        <v>20695.746</v>
      </c>
      <c r="H169" s="11" t="n">
        <v>20362.968</v>
      </c>
      <c r="I169" s="11" t="n">
        <v>32128.065</v>
      </c>
      <c r="J169" s="11" t="n">
        <v>13918.525</v>
      </c>
      <c r="K169" s="11" t="n">
        <v>16634.716</v>
      </c>
      <c r="L169" s="11" t="n">
        <v>19196.563</v>
      </c>
      <c r="M169" s="11" t="n">
        <f aca="false">SUM(G169:L169)</f>
        <v>122936.583</v>
      </c>
      <c r="N169" s="11" t="n">
        <v>6850.791</v>
      </c>
      <c r="O169" s="11" t="n">
        <v>6703.242</v>
      </c>
      <c r="P169" s="11" t="n">
        <v>10195.697</v>
      </c>
      <c r="Q169" s="11" t="n">
        <v>4590.968</v>
      </c>
      <c r="R169" s="11" t="n">
        <v>5495.397</v>
      </c>
      <c r="S169" s="11" t="n">
        <v>6469.96</v>
      </c>
      <c r="T169" s="11" t="n">
        <f aca="false">SUM(N169:S169)</f>
        <v>40306.055</v>
      </c>
      <c r="U169" s="11" t="n">
        <v>20717.474</v>
      </c>
      <c r="V169" s="11" t="n">
        <v>18124.278</v>
      </c>
      <c r="W169" s="11" t="n">
        <v>26282.631</v>
      </c>
      <c r="X169" s="11" t="n">
        <v>14987.976</v>
      </c>
      <c r="Y169" s="11" t="n">
        <v>16160.131</v>
      </c>
      <c r="Z169" s="11" t="n">
        <v>19328.346</v>
      </c>
      <c r="AA169" s="11" t="n">
        <f aca="false">SUM(U169:Z169)</f>
        <v>115600.836</v>
      </c>
      <c r="AB169" s="11" t="n">
        <v>6971.829</v>
      </c>
      <c r="AC169" s="11" t="n">
        <v>6219.713</v>
      </c>
      <c r="AD169" s="11" t="n">
        <v>8932.968</v>
      </c>
      <c r="AE169" s="11" t="n">
        <v>5136.16</v>
      </c>
      <c r="AF169" s="11" t="n">
        <v>5592.503</v>
      </c>
      <c r="AG169" s="11" t="n">
        <v>6573.989</v>
      </c>
      <c r="AH169" s="11" t="n">
        <f aca="false">SUM(AB169:AG169)</f>
        <v>39427.162</v>
      </c>
      <c r="AI169" s="12" t="s">
        <v>71</v>
      </c>
    </row>
    <row r="170" customFormat="false" ht="15" hidden="false" customHeight="false" outlineLevel="0" collapsed="false">
      <c r="A170" s="8" t="s">
        <v>402</v>
      </c>
      <c r="B170" s="12" t="s">
        <v>403</v>
      </c>
      <c r="C170" s="8" t="s">
        <v>388</v>
      </c>
      <c r="D170" s="12" t="s">
        <v>389</v>
      </c>
      <c r="E170" s="10" t="str">
        <f aca="true">IFERROR(IF(INDEX(INDIRECT("'"&amp;$AI170&amp;"'!$E$2:$E$320"),MATCH($A170,INDIRECT("'"&amp;$AI170&amp;"'!$A$2:$A$320"),0))="","",INDEX(INDIRECT("'"&amp;$AI170&amp;"'!$E$2:$E$320"),MATCH($A170,INDIRECT("'"&amp;$AI170&amp;"'!$A$2:$A$320"),0))),"")</f>
        <v/>
      </c>
      <c r="F170" s="9" t="str">
        <f aca="false">IF($E170="","",IFERROR(INDEX(担当者マスタ!$B$2:$B$101,MATCH($E170,担当者マスタ!$A$2:$A$101,0)),"※マスタ未登録"))</f>
        <v/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f aca="false">SUM(G170:L170)</f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f aca="false">SUM(N170:S170)</f>
        <v>0</v>
      </c>
      <c r="U170" s="11" t="n">
        <v>0</v>
      </c>
      <c r="V170" s="11" t="n">
        <v>0</v>
      </c>
      <c r="W170" s="11" t="n">
        <v>27.114</v>
      </c>
      <c r="X170" s="11" t="n">
        <v>0</v>
      </c>
      <c r="Y170" s="11" t="n">
        <v>0</v>
      </c>
      <c r="Z170" s="11" t="n">
        <v>5.5</v>
      </c>
      <c r="AA170" s="11" t="n">
        <f aca="false">SUM(U170:Z170)</f>
        <v>32.614</v>
      </c>
      <c r="AB170" s="11" t="n">
        <v>0</v>
      </c>
      <c r="AC170" s="11" t="n">
        <v>0</v>
      </c>
      <c r="AD170" s="11" t="n">
        <v>5.001</v>
      </c>
      <c r="AE170" s="11" t="n">
        <v>0</v>
      </c>
      <c r="AF170" s="11" t="n">
        <v>0</v>
      </c>
      <c r="AG170" s="11" t="n">
        <v>0.942</v>
      </c>
      <c r="AH170" s="11" t="n">
        <f aca="false">SUM(AB170:AG170)</f>
        <v>5.943</v>
      </c>
      <c r="AI170" s="12" t="s">
        <v>71</v>
      </c>
    </row>
    <row r="171" customFormat="false" ht="15" hidden="false" customHeight="false" outlineLevel="0" collapsed="false">
      <c r="A171" s="8" t="s">
        <v>404</v>
      </c>
      <c r="B171" s="12" t="s">
        <v>405</v>
      </c>
      <c r="C171" s="8" t="s">
        <v>388</v>
      </c>
      <c r="D171" s="12" t="s">
        <v>389</v>
      </c>
      <c r="E171" s="10" t="str">
        <f aca="true">IFERROR(IF(INDEX(INDIRECT("'"&amp;$AI171&amp;"'!$E$2:$E$320"),MATCH($A171,INDIRECT("'"&amp;$AI171&amp;"'!$A$2:$A$320"),0))="","",INDEX(INDIRECT("'"&amp;$AI171&amp;"'!$E$2:$E$320"),MATCH($A171,INDIRECT("'"&amp;$AI171&amp;"'!$A$2:$A$320"),0))),"")</f>
        <v/>
      </c>
      <c r="F171" s="9" t="str">
        <f aca="false">IF($E171="","",IFERROR(INDEX(担当者マスタ!$B$2:$B$101,MATCH($E171,担当者マスタ!$A$2:$A$101,0)),"※マスタ未登録"))</f>
        <v/>
      </c>
      <c r="G171" s="11" t="n">
        <v>88.649</v>
      </c>
      <c r="H171" s="11" t="n">
        <v>414.204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f aca="false">SUM(G171:L171)</f>
        <v>502.853</v>
      </c>
      <c r="N171" s="11" t="n">
        <v>0</v>
      </c>
      <c r="O171" s="11" t="n">
        <v>300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f aca="false">SUM(N171:S171)</f>
        <v>300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f aca="false">SUM(U171:Z171)</f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f aca="false">SUM(AB171:AG171)</f>
        <v>0</v>
      </c>
      <c r="AI171" s="12" t="s">
        <v>71</v>
      </c>
    </row>
    <row r="172" customFormat="false" ht="15" hidden="false" customHeight="false" outlineLevel="0" collapsed="false">
      <c r="A172" s="8" t="s">
        <v>406</v>
      </c>
      <c r="B172" s="12" t="s">
        <v>407</v>
      </c>
      <c r="C172" s="8" t="s">
        <v>388</v>
      </c>
      <c r="D172" s="12" t="s">
        <v>389</v>
      </c>
      <c r="E172" s="10" t="str">
        <f aca="true">IFERROR(IF(INDEX(INDIRECT("'"&amp;$AI172&amp;"'!$E$2:$E$320"),MATCH($A172,INDIRECT("'"&amp;$AI172&amp;"'!$A$2:$A$320"),0))="","",INDEX(INDIRECT("'"&amp;$AI172&amp;"'!$E$2:$E$320"),MATCH($A172,INDIRECT("'"&amp;$AI172&amp;"'!$A$2:$A$320"),0))),"")</f>
        <v/>
      </c>
      <c r="F172" s="9" t="str">
        <f aca="false">IF($E172="","",IFERROR(INDEX(担当者マスタ!$B$2:$B$101,MATCH($E172,担当者マスタ!$A$2:$A$101,0)),"※マスタ未登録"))</f>
        <v/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40</v>
      </c>
      <c r="M172" s="11" t="n">
        <f aca="false">SUM(G172:L172)</f>
        <v>40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40</v>
      </c>
      <c r="T172" s="11" t="n">
        <f aca="false">SUM(N172:S172)</f>
        <v>40</v>
      </c>
      <c r="U172" s="11" t="n">
        <v>0</v>
      </c>
      <c r="V172" s="11" t="n">
        <v>0</v>
      </c>
      <c r="W172" s="11" t="n">
        <v>158.95</v>
      </c>
      <c r="X172" s="11" t="n">
        <v>56.1</v>
      </c>
      <c r="Y172" s="11" t="n">
        <v>0</v>
      </c>
      <c r="Z172" s="11" t="n">
        <v>130.9</v>
      </c>
      <c r="AA172" s="11" t="n">
        <f aca="false">SUM(U172:Z172)</f>
        <v>345.95</v>
      </c>
      <c r="AB172" s="11" t="n">
        <v>0</v>
      </c>
      <c r="AC172" s="11" t="n">
        <v>0</v>
      </c>
      <c r="AD172" s="11" t="n">
        <v>29.75</v>
      </c>
      <c r="AE172" s="11" t="n">
        <v>10.5</v>
      </c>
      <c r="AF172" s="11" t="n">
        <v>0</v>
      </c>
      <c r="AG172" s="11" t="n">
        <v>17.3</v>
      </c>
      <c r="AH172" s="11" t="n">
        <f aca="false">SUM(AB172:AG172)</f>
        <v>57.55</v>
      </c>
      <c r="AI172" s="12" t="s">
        <v>71</v>
      </c>
    </row>
    <row r="173" customFormat="false" ht="15" hidden="false" customHeight="false" outlineLevel="0" collapsed="false">
      <c r="A173" s="8" t="s">
        <v>408</v>
      </c>
      <c r="B173" s="12" t="s">
        <v>409</v>
      </c>
      <c r="C173" s="8" t="s">
        <v>410</v>
      </c>
      <c r="D173" s="12" t="s">
        <v>411</v>
      </c>
      <c r="E173" s="10" t="str">
        <f aca="true">IFERROR(IF(INDEX(INDIRECT("'"&amp;$AI173&amp;"'!$E$2:$E$320"),MATCH($A173,INDIRECT("'"&amp;$AI173&amp;"'!$A$2:$A$320"),0))="","",INDEX(INDIRECT("'"&amp;$AI173&amp;"'!$E$2:$E$320"),MATCH($A173,INDIRECT("'"&amp;$AI173&amp;"'!$A$2:$A$320"),0))),"")</f>
        <v/>
      </c>
      <c r="F173" s="9" t="str">
        <f aca="false">IF($E173="","",IFERROR(INDEX(担当者マスタ!$B$2:$B$101,MATCH($E173,担当者マスタ!$A$2:$A$101,0)),"※マスタ未登録"))</f>
        <v/>
      </c>
      <c r="G173" s="11" t="n">
        <v>51.146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7.89</v>
      </c>
      <c r="M173" s="11" t="n">
        <f aca="false">SUM(G173:L173)</f>
        <v>59.036</v>
      </c>
      <c r="N173" s="11" t="n">
        <v>20.129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3.45</v>
      </c>
      <c r="T173" s="11" t="n">
        <f aca="false">SUM(N173:S173)</f>
        <v>23.579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f aca="false">SUM(U173:Z173)</f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f aca="false">SUM(AB173:AG173)</f>
        <v>0</v>
      </c>
      <c r="AI173" s="12" t="s">
        <v>71</v>
      </c>
    </row>
    <row r="174" customFormat="false" ht="15" hidden="false" customHeight="false" outlineLevel="0" collapsed="false">
      <c r="A174" s="8" t="s">
        <v>412</v>
      </c>
      <c r="B174" s="12" t="s">
        <v>413</v>
      </c>
      <c r="C174" s="8" t="s">
        <v>410</v>
      </c>
      <c r="D174" s="12" t="s">
        <v>411</v>
      </c>
      <c r="E174" s="10" t="str">
        <f aca="true">IFERROR(IF(INDEX(INDIRECT("'"&amp;$AI174&amp;"'!$E$2:$E$320"),MATCH($A174,INDIRECT("'"&amp;$AI174&amp;"'!$A$2:$A$320"),0))="","",INDEX(INDIRECT("'"&amp;$AI174&amp;"'!$E$2:$E$320"),MATCH($A174,INDIRECT("'"&amp;$AI174&amp;"'!$A$2:$A$320"),0))),"")</f>
        <v/>
      </c>
      <c r="F174" s="9" t="str">
        <f aca="false">IF($E174="","",IFERROR(INDEX(担当者マスタ!$B$2:$B$101,MATCH($E174,担当者マスタ!$A$2:$A$101,0)),"※マスタ未登録"))</f>
        <v/>
      </c>
      <c r="G174" s="11" t="n">
        <v>291.873</v>
      </c>
      <c r="H174" s="11" t="n">
        <v>207.449</v>
      </c>
      <c r="I174" s="11" t="n">
        <v>262.541</v>
      </c>
      <c r="J174" s="11" t="n">
        <v>146.61</v>
      </c>
      <c r="K174" s="11" t="n">
        <v>130.747</v>
      </c>
      <c r="L174" s="11" t="n">
        <v>143.277</v>
      </c>
      <c r="M174" s="11" t="n">
        <f aca="false">SUM(G174:L174)</f>
        <v>1182.497</v>
      </c>
      <c r="N174" s="11" t="n">
        <v>101.372</v>
      </c>
      <c r="O174" s="11" t="n">
        <v>71.349</v>
      </c>
      <c r="P174" s="11" t="n">
        <v>93.73</v>
      </c>
      <c r="Q174" s="11" t="n">
        <v>49.433</v>
      </c>
      <c r="R174" s="11" t="n">
        <v>43.877</v>
      </c>
      <c r="S174" s="11" t="n">
        <v>49.917</v>
      </c>
      <c r="T174" s="11" t="n">
        <f aca="false">SUM(N174:S174)</f>
        <v>409.678</v>
      </c>
      <c r="U174" s="11" t="n">
        <v>217.265</v>
      </c>
      <c r="V174" s="11" t="n">
        <v>154.849</v>
      </c>
      <c r="W174" s="11" t="n">
        <v>204.764</v>
      </c>
      <c r="X174" s="11" t="n">
        <v>151.126</v>
      </c>
      <c r="Y174" s="11" t="n">
        <v>143.698</v>
      </c>
      <c r="Z174" s="11" t="n">
        <v>171.348</v>
      </c>
      <c r="AA174" s="11" t="n">
        <f aca="false">SUM(U174:Z174)</f>
        <v>1043.05</v>
      </c>
      <c r="AB174" s="11" t="n">
        <v>77.815</v>
      </c>
      <c r="AC174" s="11" t="n">
        <v>54.987</v>
      </c>
      <c r="AD174" s="11" t="n">
        <v>73.45</v>
      </c>
      <c r="AE174" s="11" t="n">
        <v>50.427</v>
      </c>
      <c r="AF174" s="11" t="n">
        <v>49.851</v>
      </c>
      <c r="AG174" s="11" t="n">
        <v>59.766</v>
      </c>
      <c r="AH174" s="11" t="n">
        <f aca="false">SUM(AB174:AG174)</f>
        <v>366.296</v>
      </c>
      <c r="AI174" s="12" t="s">
        <v>71</v>
      </c>
    </row>
    <row r="175" customFormat="false" ht="15" hidden="false" customHeight="false" outlineLevel="0" collapsed="false">
      <c r="A175" s="8" t="s">
        <v>414</v>
      </c>
      <c r="B175" s="12" t="s">
        <v>415</v>
      </c>
      <c r="C175" s="8" t="s">
        <v>410</v>
      </c>
      <c r="D175" s="12" t="s">
        <v>411</v>
      </c>
      <c r="E175" s="10" t="str">
        <f aca="true">IFERROR(IF(INDEX(INDIRECT("'"&amp;$AI175&amp;"'!$E$2:$E$320"),MATCH($A175,INDIRECT("'"&amp;$AI175&amp;"'!$A$2:$A$320"),0))="","",INDEX(INDIRECT("'"&amp;$AI175&amp;"'!$E$2:$E$320"),MATCH($A175,INDIRECT("'"&amp;$AI175&amp;"'!$A$2:$A$320"),0))),"")</f>
        <v/>
      </c>
      <c r="F175" s="9" t="str">
        <f aca="false">IF($E175="","",IFERROR(INDEX(担当者マスタ!$B$2:$B$101,MATCH($E175,担当者マスタ!$A$2:$A$101,0)),"※マスタ未登録"))</f>
        <v/>
      </c>
      <c r="G175" s="11" t="n">
        <v>93.417</v>
      </c>
      <c r="H175" s="11" t="n">
        <v>76.136</v>
      </c>
      <c r="I175" s="11" t="n">
        <v>48.706</v>
      </c>
      <c r="J175" s="11" t="n">
        <v>0</v>
      </c>
      <c r="K175" s="11" t="n">
        <v>0</v>
      </c>
      <c r="L175" s="11" t="n">
        <v>0</v>
      </c>
      <c r="M175" s="11" t="n">
        <f aca="false">SUM(G175:L175)</f>
        <v>218.259</v>
      </c>
      <c r="N175" s="11" t="n">
        <v>39.586</v>
      </c>
      <c r="O175" s="11" t="n">
        <v>32.371</v>
      </c>
      <c r="P175" s="11" t="n">
        <v>20.513</v>
      </c>
      <c r="Q175" s="11" t="n">
        <v>0</v>
      </c>
      <c r="R175" s="11" t="n">
        <v>0</v>
      </c>
      <c r="S175" s="11" t="n">
        <v>0</v>
      </c>
      <c r="T175" s="11" t="n">
        <f aca="false">SUM(N175:S175)</f>
        <v>92.47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f aca="false">SUM(U175:Z175)</f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f aca="false">SUM(AB175:AG175)</f>
        <v>0</v>
      </c>
      <c r="AI175" s="12" t="s">
        <v>71</v>
      </c>
    </row>
    <row r="176" customFormat="false" ht="15" hidden="false" customHeight="false" outlineLevel="0" collapsed="false">
      <c r="A176" s="8" t="s">
        <v>416</v>
      </c>
      <c r="B176" s="12" t="s">
        <v>417</v>
      </c>
      <c r="C176" s="8" t="s">
        <v>410</v>
      </c>
      <c r="D176" s="12" t="s">
        <v>411</v>
      </c>
      <c r="E176" s="10" t="str">
        <f aca="true">IFERROR(IF(INDEX(INDIRECT("'"&amp;$AI176&amp;"'!$E$2:$E$320"),MATCH($A176,INDIRECT("'"&amp;$AI176&amp;"'!$A$2:$A$320"),0))="","",INDEX(INDIRECT("'"&amp;$AI176&amp;"'!$E$2:$E$320"),MATCH($A176,INDIRECT("'"&amp;$AI176&amp;"'!$A$2:$A$320"),0))),"")</f>
        <v/>
      </c>
      <c r="F176" s="9" t="str">
        <f aca="false">IF($E176="","",IFERROR(INDEX(担当者マスタ!$B$2:$B$101,MATCH($E176,担当者マスタ!$A$2:$A$101,0)),"※マスタ未登録"))</f>
        <v/>
      </c>
      <c r="G176" s="11" t="n">
        <v>14.088</v>
      </c>
      <c r="H176" s="11" t="n">
        <v>14.055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f aca="false">SUM(G176:L176)</f>
        <v>28.143</v>
      </c>
      <c r="N176" s="11" t="n">
        <v>5.16</v>
      </c>
      <c r="O176" s="11" t="n">
        <v>6.235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f aca="false">SUM(N176:S176)</f>
        <v>11.395</v>
      </c>
      <c r="U176" s="11" t="n">
        <v>0</v>
      </c>
      <c r="V176" s="11" t="n">
        <v>19.266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f aca="false">SUM(U176:Z176)</f>
        <v>19.266</v>
      </c>
      <c r="AB176" s="11" t="n">
        <v>0</v>
      </c>
      <c r="AC176" s="11" t="n">
        <v>8.569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f aca="false">SUM(AB176:AG176)</f>
        <v>8.569</v>
      </c>
      <c r="AI176" s="12" t="s">
        <v>71</v>
      </c>
    </row>
    <row r="177" customFormat="false" ht="15" hidden="false" customHeight="false" outlineLevel="0" collapsed="false">
      <c r="A177" s="8" t="s">
        <v>418</v>
      </c>
      <c r="B177" s="12" t="s">
        <v>419</v>
      </c>
      <c r="C177" s="8" t="s">
        <v>410</v>
      </c>
      <c r="D177" s="12" t="s">
        <v>411</v>
      </c>
      <c r="E177" s="10" t="str">
        <f aca="true">IFERROR(IF(INDEX(INDIRECT("'"&amp;$AI177&amp;"'!$E$2:$E$320"),MATCH($A177,INDIRECT("'"&amp;$AI177&amp;"'!$A$2:$A$320"),0))="","",INDEX(INDIRECT("'"&amp;$AI177&amp;"'!$E$2:$E$320"),MATCH($A177,INDIRECT("'"&amp;$AI177&amp;"'!$A$2:$A$320"),0))),"")</f>
        <v/>
      </c>
      <c r="F177" s="9" t="str">
        <f aca="false">IF($E177="","",IFERROR(INDEX(担当者マスタ!$B$2:$B$101,MATCH($E177,担当者マスタ!$A$2:$A$101,0)),"※マスタ未登録"))</f>
        <v/>
      </c>
      <c r="G177" s="11" t="n">
        <v>0</v>
      </c>
      <c r="H177" s="11" t="n">
        <v>0</v>
      </c>
      <c r="I177" s="11" t="n">
        <v>311.85</v>
      </c>
      <c r="J177" s="11" t="n">
        <v>0</v>
      </c>
      <c r="K177" s="11" t="n">
        <v>0</v>
      </c>
      <c r="L177" s="11" t="n">
        <v>0</v>
      </c>
      <c r="M177" s="11" t="n">
        <f aca="false">SUM(G177:L177)</f>
        <v>311.85</v>
      </c>
      <c r="N177" s="11" t="n">
        <v>0</v>
      </c>
      <c r="O177" s="11" t="n">
        <v>0</v>
      </c>
      <c r="P177" s="11" t="n">
        <v>44.55</v>
      </c>
      <c r="Q177" s="11" t="n">
        <v>0</v>
      </c>
      <c r="R177" s="11" t="n">
        <v>0</v>
      </c>
      <c r="S177" s="11" t="n">
        <v>0</v>
      </c>
      <c r="T177" s="11" t="n">
        <f aca="false">SUM(N177:S177)</f>
        <v>44.55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f aca="false">SUM(U177:Z177)</f>
        <v>0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0</v>
      </c>
      <c r="AH177" s="11" t="n">
        <f aca="false">SUM(AB177:AG177)</f>
        <v>0</v>
      </c>
      <c r="AI177" s="12" t="s">
        <v>71</v>
      </c>
    </row>
    <row r="178" customFormat="false" ht="15" hidden="false" customHeight="false" outlineLevel="0" collapsed="false">
      <c r="A178" s="8" t="s">
        <v>420</v>
      </c>
      <c r="B178" s="12" t="s">
        <v>421</v>
      </c>
      <c r="C178" s="8" t="s">
        <v>410</v>
      </c>
      <c r="D178" s="12" t="s">
        <v>411</v>
      </c>
      <c r="E178" s="10" t="str">
        <f aca="true">IFERROR(IF(INDEX(INDIRECT("'"&amp;$AI178&amp;"'!$E$2:$E$320"),MATCH($A178,INDIRECT("'"&amp;$AI178&amp;"'!$A$2:$A$320"),0))="","",INDEX(INDIRECT("'"&amp;$AI178&amp;"'!$E$2:$E$320"),MATCH($A178,INDIRECT("'"&amp;$AI178&amp;"'!$A$2:$A$320"),0))),"")</f>
        <v/>
      </c>
      <c r="F178" s="9" t="str">
        <f aca="false">IF($E178="","",IFERROR(INDEX(担当者マスタ!$B$2:$B$101,MATCH($E178,担当者マスタ!$A$2:$A$101,0)),"※マスタ未登録"))</f>
        <v/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f aca="false">SUM(G178:L178)</f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f aca="false">SUM(N178:S178)</f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13.8</v>
      </c>
      <c r="AA178" s="11" t="n">
        <f aca="false">SUM(U178:Z178)</f>
        <v>13.8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0</v>
      </c>
      <c r="AG178" s="11" t="n">
        <v>3.8</v>
      </c>
      <c r="AH178" s="11" t="n">
        <f aca="false">SUM(AB178:AG178)</f>
        <v>3.8</v>
      </c>
      <c r="AI178" s="12" t="s">
        <v>71</v>
      </c>
    </row>
    <row r="179" customFormat="false" ht="15" hidden="false" customHeight="false" outlineLevel="0" collapsed="false">
      <c r="A179" s="8" t="s">
        <v>422</v>
      </c>
      <c r="B179" s="12" t="s">
        <v>423</v>
      </c>
      <c r="C179" s="8" t="s">
        <v>410</v>
      </c>
      <c r="D179" s="12" t="s">
        <v>411</v>
      </c>
      <c r="E179" s="10" t="str">
        <f aca="true">IFERROR(IF(INDEX(INDIRECT("'"&amp;$AI179&amp;"'!$E$2:$E$320"),MATCH($A179,INDIRECT("'"&amp;$AI179&amp;"'!$A$2:$A$320"),0))="","",INDEX(INDIRECT("'"&amp;$AI179&amp;"'!$E$2:$E$320"),MATCH($A179,INDIRECT("'"&amp;$AI179&amp;"'!$A$2:$A$320"),0))),"")</f>
        <v/>
      </c>
      <c r="F179" s="9" t="str">
        <f aca="false">IF($E179="","",IFERROR(INDEX(担当者マスタ!$B$2:$B$101,MATCH($E179,担当者マスタ!$A$2:$A$101,0)),"※マスタ未登録"))</f>
        <v/>
      </c>
      <c r="G179" s="11" t="n">
        <v>244.481</v>
      </c>
      <c r="H179" s="11" t="n">
        <v>145.695</v>
      </c>
      <c r="I179" s="11" t="n">
        <v>589.291</v>
      </c>
      <c r="J179" s="11" t="n">
        <v>203.456</v>
      </c>
      <c r="K179" s="11" t="n">
        <v>56.379</v>
      </c>
      <c r="L179" s="11" t="n">
        <v>213.447</v>
      </c>
      <c r="M179" s="11" t="n">
        <f aca="false">SUM(G179:L179)</f>
        <v>1452.749</v>
      </c>
      <c r="N179" s="11" t="n">
        <v>80.239</v>
      </c>
      <c r="O179" s="11" t="n">
        <v>52.785</v>
      </c>
      <c r="P179" s="11" t="n">
        <v>175.247</v>
      </c>
      <c r="Q179" s="11" t="n">
        <v>73.158</v>
      </c>
      <c r="R179" s="11" t="n">
        <v>-1.928</v>
      </c>
      <c r="S179" s="11" t="n">
        <v>67.523</v>
      </c>
      <c r="T179" s="11" t="n">
        <f aca="false">SUM(N179:S179)</f>
        <v>447.024</v>
      </c>
      <c r="U179" s="11" t="n">
        <v>199.521</v>
      </c>
      <c r="V179" s="11" t="n">
        <v>213.772</v>
      </c>
      <c r="W179" s="11" t="n">
        <v>611.657</v>
      </c>
      <c r="X179" s="11" t="n">
        <v>149.912</v>
      </c>
      <c r="Y179" s="11" t="n">
        <v>94.502</v>
      </c>
      <c r="Z179" s="11" t="n">
        <v>306.603</v>
      </c>
      <c r="AA179" s="11" t="n">
        <f aca="false">SUM(U179:Z179)</f>
        <v>1575.967</v>
      </c>
      <c r="AB179" s="11" t="n">
        <v>59.086</v>
      </c>
      <c r="AC179" s="11" t="n">
        <v>65.715</v>
      </c>
      <c r="AD179" s="11" t="n">
        <v>193.81</v>
      </c>
      <c r="AE179" s="11" t="n">
        <v>53.308</v>
      </c>
      <c r="AF179" s="11" t="n">
        <v>32.109</v>
      </c>
      <c r="AG179" s="11" t="n">
        <v>92.5</v>
      </c>
      <c r="AH179" s="11" t="n">
        <f aca="false">SUM(AB179:AG179)</f>
        <v>496.528</v>
      </c>
      <c r="AI179" s="12" t="s">
        <v>71</v>
      </c>
    </row>
    <row r="180" customFormat="false" ht="15" hidden="false" customHeight="false" outlineLevel="0" collapsed="false">
      <c r="A180" s="8" t="s">
        <v>424</v>
      </c>
      <c r="B180" s="9" t="s">
        <v>425</v>
      </c>
      <c r="C180" s="8" t="s">
        <v>410</v>
      </c>
      <c r="D180" s="12" t="s">
        <v>411</v>
      </c>
      <c r="E180" s="10" t="str">
        <f aca="true">IFERROR(IF(INDEX(INDIRECT("'"&amp;$AI180&amp;"'!$E$2:$E$320"),MATCH($A180,INDIRECT("'"&amp;$AI180&amp;"'!$A$2:$A$320"),0))="","",INDEX(INDIRECT("'"&amp;$AI180&amp;"'!$E$2:$E$320"),MATCH($A180,INDIRECT("'"&amp;$AI180&amp;"'!$A$2:$A$320"),0))),"")</f>
        <v/>
      </c>
      <c r="F180" s="9" t="str">
        <f aca="false">IF($E180="","",IFERROR(INDEX(担当者マスタ!$B$2:$B$101,MATCH($E180,担当者マスタ!$A$2:$A$101,0)),"※マスタ未登録"))</f>
        <v/>
      </c>
      <c r="G180" s="11" t="n">
        <v>187.27</v>
      </c>
      <c r="H180" s="11" t="n">
        <v>339.134</v>
      </c>
      <c r="I180" s="11" t="n">
        <v>262.01</v>
      </c>
      <c r="J180" s="11" t="n">
        <v>44.54</v>
      </c>
      <c r="K180" s="11" t="n">
        <v>337.6</v>
      </c>
      <c r="L180" s="11" t="n">
        <v>255.81</v>
      </c>
      <c r="M180" s="11" t="n">
        <f aca="false">SUM(G180:L180)</f>
        <v>1426.364</v>
      </c>
      <c r="N180" s="11" t="n">
        <v>66.37</v>
      </c>
      <c r="O180" s="11" t="n">
        <v>93.4</v>
      </c>
      <c r="P180" s="11" t="n">
        <v>69.358</v>
      </c>
      <c r="Q180" s="11" t="n">
        <v>18.36</v>
      </c>
      <c r="R180" s="11" t="n">
        <v>104.05</v>
      </c>
      <c r="S180" s="11" t="n">
        <v>73.53</v>
      </c>
      <c r="T180" s="11" t="n">
        <f aca="false">SUM(N180:S180)</f>
        <v>425.068</v>
      </c>
      <c r="U180" s="11" t="n">
        <v>165.25</v>
      </c>
      <c r="V180" s="11" t="n">
        <v>361.82</v>
      </c>
      <c r="W180" s="11" t="n">
        <v>146.58</v>
      </c>
      <c r="X180" s="11" t="n">
        <v>356.22</v>
      </c>
      <c r="Y180" s="11" t="n">
        <v>0</v>
      </c>
      <c r="Z180" s="11" t="n">
        <v>177.6</v>
      </c>
      <c r="AA180" s="11" t="n">
        <f aca="false">SUM(U180:Z180)</f>
        <v>1207.47</v>
      </c>
      <c r="AB180" s="11" t="n">
        <v>55.2</v>
      </c>
      <c r="AC180" s="11" t="n">
        <v>115.389</v>
      </c>
      <c r="AD180" s="11" t="n">
        <v>46.1</v>
      </c>
      <c r="AE180" s="11" t="n">
        <v>119.235</v>
      </c>
      <c r="AF180" s="11" t="n">
        <v>0</v>
      </c>
      <c r="AG180" s="11" t="n">
        <v>58.97</v>
      </c>
      <c r="AH180" s="11" t="n">
        <f aca="false">SUM(AB180:AG180)</f>
        <v>394.894</v>
      </c>
      <c r="AI180" s="12" t="s">
        <v>71</v>
      </c>
    </row>
    <row r="181" customFormat="false" ht="15" hidden="false" customHeight="false" outlineLevel="0" collapsed="false">
      <c r="A181" s="8" t="s">
        <v>426</v>
      </c>
      <c r="B181" s="12" t="s">
        <v>427</v>
      </c>
      <c r="C181" s="8" t="s">
        <v>410</v>
      </c>
      <c r="D181" s="12" t="s">
        <v>411</v>
      </c>
      <c r="E181" s="10" t="str">
        <f aca="true">IFERROR(IF(INDEX(INDIRECT("'"&amp;$AI181&amp;"'!$E$2:$E$320"),MATCH($A181,INDIRECT("'"&amp;$AI181&amp;"'!$A$2:$A$320"),0))="","",INDEX(INDIRECT("'"&amp;$AI181&amp;"'!$E$2:$E$320"),MATCH($A181,INDIRECT("'"&amp;$AI181&amp;"'!$A$2:$A$320"),0))),"")</f>
        <v/>
      </c>
      <c r="F181" s="9" t="str">
        <f aca="false">IF($E181="","",IFERROR(INDEX(担当者マスタ!$B$2:$B$101,MATCH($E181,担当者マスタ!$A$2:$A$101,0)),"※マスタ未登録"))</f>
        <v/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f aca="false">SUM(G181:L181)</f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f aca="false">SUM(N181:S181)</f>
        <v>0</v>
      </c>
      <c r="U181" s="11" t="n">
        <v>0</v>
      </c>
      <c r="V181" s="11" t="n">
        <v>0</v>
      </c>
      <c r="W181" s="11" t="n">
        <v>0</v>
      </c>
      <c r="X181" s="11" t="n">
        <v>3.634</v>
      </c>
      <c r="Y181" s="11" t="n">
        <v>1.56</v>
      </c>
      <c r="Z181" s="11" t="n">
        <v>0</v>
      </c>
      <c r="AA181" s="11" t="n">
        <f aca="false">SUM(U181:Z181)</f>
        <v>5.194</v>
      </c>
      <c r="AB181" s="11" t="n">
        <v>0</v>
      </c>
      <c r="AC181" s="11" t="n">
        <v>0</v>
      </c>
      <c r="AD181" s="11" t="n">
        <v>0</v>
      </c>
      <c r="AE181" s="11" t="n">
        <v>1.008</v>
      </c>
      <c r="AF181" s="11" t="n">
        <v>0.224</v>
      </c>
      <c r="AG181" s="11" t="n">
        <v>0</v>
      </c>
      <c r="AH181" s="11" t="n">
        <f aca="false">SUM(AB181:AG181)</f>
        <v>1.232</v>
      </c>
      <c r="AI181" s="12" t="s">
        <v>71</v>
      </c>
    </row>
    <row r="182" customFormat="false" ht="15" hidden="false" customHeight="false" outlineLevel="0" collapsed="false">
      <c r="A182" s="8" t="s">
        <v>428</v>
      </c>
      <c r="B182" s="12" t="s">
        <v>429</v>
      </c>
      <c r="C182" s="8" t="s">
        <v>410</v>
      </c>
      <c r="D182" s="12" t="s">
        <v>411</v>
      </c>
      <c r="E182" s="10" t="str">
        <f aca="true">IFERROR(IF(INDEX(INDIRECT("'"&amp;$AI182&amp;"'!$E$2:$E$320"),MATCH($A182,INDIRECT("'"&amp;$AI182&amp;"'!$A$2:$A$320"),0))="","",INDEX(INDIRECT("'"&amp;$AI182&amp;"'!$E$2:$E$320"),MATCH($A182,INDIRECT("'"&amp;$AI182&amp;"'!$A$2:$A$320"),0))),"")</f>
        <v/>
      </c>
      <c r="F182" s="9" t="str">
        <f aca="false">IF($E182="","",IFERROR(INDEX(担当者マスタ!$B$2:$B$101,MATCH($E182,担当者マスタ!$A$2:$A$101,0)),"※マスタ未登録"))</f>
        <v/>
      </c>
      <c r="G182" s="11" t="n">
        <v>28.71</v>
      </c>
      <c r="H182" s="11" t="n">
        <v>28.81</v>
      </c>
      <c r="I182" s="11" t="n">
        <v>19.44</v>
      </c>
      <c r="J182" s="11" t="n">
        <v>28.71</v>
      </c>
      <c r="K182" s="11" t="n">
        <v>0</v>
      </c>
      <c r="L182" s="11" t="n">
        <v>0</v>
      </c>
      <c r="M182" s="11" t="n">
        <f aca="false">SUM(G182:L182)</f>
        <v>105.67</v>
      </c>
      <c r="N182" s="11" t="n">
        <v>28.71</v>
      </c>
      <c r="O182" s="11" t="n">
        <v>28.81</v>
      </c>
      <c r="P182" s="11" t="n">
        <v>19.44</v>
      </c>
      <c r="Q182" s="11" t="n">
        <v>28.71</v>
      </c>
      <c r="R182" s="11" t="n">
        <v>0</v>
      </c>
      <c r="S182" s="11" t="n">
        <v>0</v>
      </c>
      <c r="T182" s="11" t="n">
        <f aca="false">SUM(N182:S182)</f>
        <v>105.67</v>
      </c>
      <c r="U182" s="11" t="n">
        <v>19.14</v>
      </c>
      <c r="V182" s="11" t="n">
        <v>0</v>
      </c>
      <c r="W182" s="11" t="n">
        <v>19.14</v>
      </c>
      <c r="X182" s="11" t="n">
        <v>0</v>
      </c>
      <c r="Y182" s="11" t="n">
        <v>0</v>
      </c>
      <c r="Z182" s="11" t="n">
        <v>19.14</v>
      </c>
      <c r="AA182" s="11" t="n">
        <f aca="false">SUM(U182:Z182)</f>
        <v>57.42</v>
      </c>
      <c r="AB182" s="11" t="n">
        <v>19.14</v>
      </c>
      <c r="AC182" s="11" t="n">
        <v>0</v>
      </c>
      <c r="AD182" s="11" t="n">
        <v>19.14</v>
      </c>
      <c r="AE182" s="11" t="n">
        <v>0</v>
      </c>
      <c r="AF182" s="11" t="n">
        <v>0</v>
      </c>
      <c r="AG182" s="11" t="n">
        <v>19.14</v>
      </c>
      <c r="AH182" s="11" t="n">
        <f aca="false">SUM(AB182:AG182)</f>
        <v>57.42</v>
      </c>
      <c r="AI182" s="12" t="s">
        <v>71</v>
      </c>
    </row>
    <row r="183" customFormat="false" ht="15" hidden="false" customHeight="false" outlineLevel="0" collapsed="false">
      <c r="A183" s="8" t="s">
        <v>430</v>
      </c>
      <c r="B183" s="12" t="s">
        <v>431</v>
      </c>
      <c r="C183" s="8" t="s">
        <v>410</v>
      </c>
      <c r="D183" s="12" t="s">
        <v>411</v>
      </c>
      <c r="E183" s="10" t="str">
        <f aca="true">IFERROR(IF(INDEX(INDIRECT("'"&amp;$AI183&amp;"'!$E$2:$E$320"),MATCH($A183,INDIRECT("'"&amp;$AI183&amp;"'!$A$2:$A$320"),0))="","",INDEX(INDIRECT("'"&amp;$AI183&amp;"'!$E$2:$E$320"),MATCH($A183,INDIRECT("'"&amp;$AI183&amp;"'!$A$2:$A$320"),0))),"")</f>
        <v/>
      </c>
      <c r="F183" s="9" t="str">
        <f aca="false">IF($E183="","",IFERROR(INDEX(担当者マスタ!$B$2:$B$101,MATCH($E183,担当者マスタ!$A$2:$A$101,0)),"※マスタ未登録"))</f>
        <v/>
      </c>
      <c r="G183" s="11" t="n">
        <v>1.624</v>
      </c>
      <c r="H183" s="11" t="n">
        <v>1.624</v>
      </c>
      <c r="I183" s="11" t="n">
        <v>1.624</v>
      </c>
      <c r="J183" s="11" t="n">
        <v>0</v>
      </c>
      <c r="K183" s="11" t="n">
        <v>1.624</v>
      </c>
      <c r="L183" s="11" t="n">
        <v>0</v>
      </c>
      <c r="M183" s="11" t="n">
        <f aca="false">SUM(G183:L183)</f>
        <v>6.496</v>
      </c>
      <c r="N183" s="11" t="n">
        <v>0.28</v>
      </c>
      <c r="O183" s="11" t="n">
        <v>0.28</v>
      </c>
      <c r="P183" s="11" t="n">
        <v>0.28</v>
      </c>
      <c r="Q183" s="11" t="n">
        <v>0</v>
      </c>
      <c r="R183" s="11" t="n">
        <v>0.28</v>
      </c>
      <c r="S183" s="11" t="n">
        <v>0</v>
      </c>
      <c r="T183" s="11" t="n">
        <f aca="false">SUM(N183:S183)</f>
        <v>1.12</v>
      </c>
      <c r="U183" s="11" t="n">
        <v>1.624</v>
      </c>
      <c r="V183" s="11" t="n">
        <v>1.624</v>
      </c>
      <c r="W183" s="11" t="n">
        <v>-2.136</v>
      </c>
      <c r="X183" s="11" t="n">
        <v>0</v>
      </c>
      <c r="Y183" s="11" t="n">
        <v>1.624</v>
      </c>
      <c r="Z183" s="11" t="n">
        <v>1.624</v>
      </c>
      <c r="AA183" s="11" t="n">
        <f aca="false">SUM(U183:Z183)</f>
        <v>4.36</v>
      </c>
      <c r="AB183" s="11" t="n">
        <v>0.12</v>
      </c>
      <c r="AC183" s="11" t="n">
        <v>0.12</v>
      </c>
      <c r="AD183" s="11" t="n">
        <v>-17.9</v>
      </c>
      <c r="AE183" s="11" t="n">
        <v>0</v>
      </c>
      <c r="AF183" s="11" t="n">
        <v>0.12</v>
      </c>
      <c r="AG183" s="11" t="n">
        <v>0.12</v>
      </c>
      <c r="AH183" s="11" t="n">
        <f aca="false">SUM(AB183:AG183)</f>
        <v>-17.42</v>
      </c>
      <c r="AI183" s="12" t="s">
        <v>71</v>
      </c>
    </row>
    <row r="184" customFormat="false" ht="15" hidden="false" customHeight="false" outlineLevel="0" collapsed="false">
      <c r="A184" s="8" t="s">
        <v>432</v>
      </c>
      <c r="B184" s="12" t="s">
        <v>433</v>
      </c>
      <c r="C184" s="8" t="s">
        <v>410</v>
      </c>
      <c r="D184" s="12" t="s">
        <v>411</v>
      </c>
      <c r="E184" s="10" t="str">
        <f aca="true">IFERROR(IF(INDEX(INDIRECT("'"&amp;$AI184&amp;"'!$E$2:$E$320"),MATCH($A184,INDIRECT("'"&amp;$AI184&amp;"'!$A$2:$A$320"),0))="","",INDEX(INDIRECT("'"&amp;$AI184&amp;"'!$E$2:$E$320"),MATCH($A184,INDIRECT("'"&amp;$AI184&amp;"'!$A$2:$A$320"),0))),"")</f>
        <v/>
      </c>
      <c r="F184" s="9" t="str">
        <f aca="false">IF($E184="","",IFERROR(INDEX(担当者マスタ!$B$2:$B$101,MATCH($E184,担当者マスタ!$A$2:$A$101,0)),"※マスタ未登録"))</f>
        <v/>
      </c>
      <c r="G184" s="11" t="n">
        <v>409.071</v>
      </c>
      <c r="H184" s="11" t="n">
        <v>390.85</v>
      </c>
      <c r="I184" s="11" t="n">
        <v>417.018</v>
      </c>
      <c r="J184" s="11" t="n">
        <v>295.063</v>
      </c>
      <c r="K184" s="11" t="n">
        <v>248.443</v>
      </c>
      <c r="L184" s="11" t="n">
        <v>289.224</v>
      </c>
      <c r="M184" s="11" t="n">
        <f aca="false">SUM(G184:L184)</f>
        <v>2049.669</v>
      </c>
      <c r="N184" s="11" t="n">
        <v>95.805</v>
      </c>
      <c r="O184" s="11" t="n">
        <v>92.237</v>
      </c>
      <c r="P184" s="11" t="n">
        <v>100.078</v>
      </c>
      <c r="Q184" s="11" t="n">
        <v>69.245</v>
      </c>
      <c r="R184" s="11" t="n">
        <v>58.15</v>
      </c>
      <c r="S184" s="11" t="n">
        <v>67.766</v>
      </c>
      <c r="T184" s="11" t="n">
        <f aca="false">SUM(N184:S184)</f>
        <v>483.281</v>
      </c>
      <c r="U184" s="11" t="n">
        <v>394.733</v>
      </c>
      <c r="V184" s="11" t="n">
        <v>278.363</v>
      </c>
      <c r="W184" s="11" t="n">
        <v>332.309</v>
      </c>
      <c r="X184" s="11" t="n">
        <v>217.727</v>
      </c>
      <c r="Y184" s="11" t="n">
        <v>213.37</v>
      </c>
      <c r="Z184" s="11" t="n">
        <v>243.701</v>
      </c>
      <c r="AA184" s="11" t="n">
        <f aca="false">SUM(U184:Z184)</f>
        <v>1680.203</v>
      </c>
      <c r="AB184" s="11" t="n">
        <v>94.833</v>
      </c>
      <c r="AC184" s="11" t="n">
        <v>65.27</v>
      </c>
      <c r="AD184" s="11" t="n">
        <v>79.854</v>
      </c>
      <c r="AE184" s="11" t="n">
        <v>52.359</v>
      </c>
      <c r="AF184" s="11" t="n">
        <v>49.726</v>
      </c>
      <c r="AG184" s="11" t="n">
        <v>58.083</v>
      </c>
      <c r="AH184" s="11" t="n">
        <f aca="false">SUM(AB184:AG184)</f>
        <v>400.125</v>
      </c>
      <c r="AI184" s="12" t="s">
        <v>71</v>
      </c>
    </row>
    <row r="185" customFormat="false" ht="15" hidden="false" customHeight="false" outlineLevel="0" collapsed="false">
      <c r="A185" s="8" t="s">
        <v>434</v>
      </c>
      <c r="B185" s="12" t="s">
        <v>435</v>
      </c>
      <c r="C185" s="8" t="s">
        <v>410</v>
      </c>
      <c r="D185" s="12" t="s">
        <v>411</v>
      </c>
      <c r="E185" s="10" t="str">
        <f aca="true">IFERROR(IF(INDEX(INDIRECT("'"&amp;$AI185&amp;"'!$E$2:$E$320"),MATCH($A185,INDIRECT("'"&amp;$AI185&amp;"'!$A$2:$A$320"),0))="","",INDEX(INDIRECT("'"&amp;$AI185&amp;"'!$E$2:$E$320"),MATCH($A185,INDIRECT("'"&amp;$AI185&amp;"'!$A$2:$A$320"),0))),"")</f>
        <v/>
      </c>
      <c r="F185" s="9" t="str">
        <f aca="false">IF($E185="","",IFERROR(INDEX(担当者マスタ!$B$2:$B$101,MATCH($E185,担当者マスタ!$A$2:$A$101,0)),"※マスタ未登録"))</f>
        <v/>
      </c>
      <c r="G185" s="11" t="n">
        <v>66.992</v>
      </c>
      <c r="H185" s="11" t="n">
        <v>70.148</v>
      </c>
      <c r="I185" s="11" t="n">
        <v>79.637</v>
      </c>
      <c r="J185" s="11" t="n">
        <v>55.895</v>
      </c>
      <c r="K185" s="11" t="n">
        <v>56.248</v>
      </c>
      <c r="L185" s="11" t="n">
        <v>64.284</v>
      </c>
      <c r="M185" s="11" t="n">
        <f aca="false">SUM(G185:L185)</f>
        <v>393.204</v>
      </c>
      <c r="N185" s="11" t="n">
        <v>14.973</v>
      </c>
      <c r="O185" s="11" t="n">
        <v>15.13</v>
      </c>
      <c r="P185" s="11" t="n">
        <v>17.828</v>
      </c>
      <c r="Q185" s="11" t="n">
        <v>12.351</v>
      </c>
      <c r="R185" s="11" t="n">
        <v>12.755</v>
      </c>
      <c r="S185" s="11" t="n">
        <v>14.265</v>
      </c>
      <c r="T185" s="11" t="n">
        <f aca="false">SUM(N185:S185)</f>
        <v>87.302</v>
      </c>
      <c r="U185" s="11" t="n">
        <v>69.397</v>
      </c>
      <c r="V185" s="11" t="n">
        <v>57.553</v>
      </c>
      <c r="W185" s="11" t="n">
        <v>58.985</v>
      </c>
      <c r="X185" s="11" t="n">
        <v>42.39</v>
      </c>
      <c r="Y185" s="11" t="n">
        <v>64.27</v>
      </c>
      <c r="Z185" s="11" t="n">
        <v>78.203</v>
      </c>
      <c r="AA185" s="11" t="n">
        <f aca="false">SUM(U185:Z185)</f>
        <v>370.798</v>
      </c>
      <c r="AB185" s="11" t="n">
        <v>16.033</v>
      </c>
      <c r="AC185" s="11" t="n">
        <v>12.962</v>
      </c>
      <c r="AD185" s="11" t="n">
        <v>13.228</v>
      </c>
      <c r="AE185" s="11" t="n">
        <v>9.247</v>
      </c>
      <c r="AF185" s="11" t="n">
        <v>13.97</v>
      </c>
      <c r="AG185" s="11" t="n">
        <v>17.302</v>
      </c>
      <c r="AH185" s="11" t="n">
        <f aca="false">SUM(AB185:AG185)</f>
        <v>82.742</v>
      </c>
      <c r="AI185" s="12" t="s">
        <v>71</v>
      </c>
    </row>
    <row r="186" customFormat="false" ht="15" hidden="false" customHeight="false" outlineLevel="0" collapsed="false">
      <c r="A186" s="8" t="s">
        <v>436</v>
      </c>
      <c r="B186" s="12" t="s">
        <v>437</v>
      </c>
      <c r="C186" s="8" t="s">
        <v>410</v>
      </c>
      <c r="D186" s="12" t="s">
        <v>411</v>
      </c>
      <c r="E186" s="10" t="str">
        <f aca="true">IFERROR(IF(INDEX(INDIRECT("'"&amp;$AI186&amp;"'!$E$2:$E$320"),MATCH($A186,INDIRECT("'"&amp;$AI186&amp;"'!$A$2:$A$320"),0))="","",INDEX(INDIRECT("'"&amp;$AI186&amp;"'!$E$2:$E$320"),MATCH($A186,INDIRECT("'"&amp;$AI186&amp;"'!$A$2:$A$320"),0))),"")</f>
        <v/>
      </c>
      <c r="F186" s="9" t="str">
        <f aca="false">IF($E186="","",IFERROR(INDEX(担当者マスタ!$B$2:$B$101,MATCH($E186,担当者マスタ!$A$2:$A$101,0)),"※マスタ未登録"))</f>
        <v/>
      </c>
      <c r="G186" s="11" t="n">
        <v>2127.123</v>
      </c>
      <c r="H186" s="11" t="n">
        <v>2063.738</v>
      </c>
      <c r="I186" s="11" t="n">
        <v>3999.504</v>
      </c>
      <c r="J186" s="11" t="n">
        <v>2065.695</v>
      </c>
      <c r="K186" s="11" t="n">
        <v>1358.139</v>
      </c>
      <c r="L186" s="11" t="n">
        <v>1229.17</v>
      </c>
      <c r="M186" s="11" t="n">
        <f aca="false">SUM(G186:L186)</f>
        <v>12843.369</v>
      </c>
      <c r="N186" s="11" t="n">
        <v>489.65</v>
      </c>
      <c r="O186" s="11" t="n">
        <v>472.097</v>
      </c>
      <c r="P186" s="11" t="n">
        <v>840.241</v>
      </c>
      <c r="Q186" s="11" t="n">
        <v>463.328</v>
      </c>
      <c r="R186" s="11" t="n">
        <v>326.732</v>
      </c>
      <c r="S186" s="11" t="n">
        <v>308.022</v>
      </c>
      <c r="T186" s="11" t="n">
        <f aca="false">SUM(N186:S186)</f>
        <v>2900.07</v>
      </c>
      <c r="U186" s="11" t="n">
        <v>1367.361</v>
      </c>
      <c r="V186" s="11" t="n">
        <v>1494.918</v>
      </c>
      <c r="W186" s="11" t="n">
        <v>2576.237</v>
      </c>
      <c r="X186" s="11" t="n">
        <v>1689.622</v>
      </c>
      <c r="Y186" s="11" t="n">
        <v>1396.698</v>
      </c>
      <c r="Z186" s="11" t="n">
        <v>1516.42</v>
      </c>
      <c r="AA186" s="11" t="n">
        <f aca="false">SUM(U186:Z186)</f>
        <v>10041.256</v>
      </c>
      <c r="AB186" s="11" t="n">
        <v>344.188</v>
      </c>
      <c r="AC186" s="11" t="n">
        <v>386.487</v>
      </c>
      <c r="AD186" s="11" t="n">
        <v>695.039</v>
      </c>
      <c r="AE186" s="11" t="n">
        <v>413.615</v>
      </c>
      <c r="AF186" s="11" t="n">
        <v>381.258</v>
      </c>
      <c r="AG186" s="11" t="n">
        <v>389.058</v>
      </c>
      <c r="AH186" s="11" t="n">
        <f aca="false">SUM(AB186:AG186)</f>
        <v>2609.645</v>
      </c>
      <c r="AI186" s="12" t="s">
        <v>71</v>
      </c>
    </row>
    <row r="187" customFormat="false" ht="15" hidden="false" customHeight="false" outlineLevel="0" collapsed="false">
      <c r="A187" s="8" t="s">
        <v>438</v>
      </c>
      <c r="B187" s="12" t="s">
        <v>439</v>
      </c>
      <c r="C187" s="8" t="s">
        <v>410</v>
      </c>
      <c r="D187" s="12" t="s">
        <v>411</v>
      </c>
      <c r="E187" s="10" t="str">
        <f aca="true">IFERROR(IF(INDEX(INDIRECT("'"&amp;$AI187&amp;"'!$E$2:$E$320"),MATCH($A187,INDIRECT("'"&amp;$AI187&amp;"'!$A$2:$A$320"),0))="","",INDEX(INDIRECT("'"&amp;$AI187&amp;"'!$E$2:$E$320"),MATCH($A187,INDIRECT("'"&amp;$AI187&amp;"'!$A$2:$A$320"),0))),"")</f>
        <v/>
      </c>
      <c r="F187" s="9" t="str">
        <f aca="false">IF($E187="","",IFERROR(INDEX(担当者マスタ!$B$2:$B$101,MATCH($E187,担当者マスタ!$A$2:$A$101,0)),"※マスタ未登録"))</f>
        <v/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f aca="false">SUM(G187:L187)</f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f aca="false">SUM(N187:S187)</f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82.5</v>
      </c>
      <c r="AA187" s="11" t="n">
        <f aca="false">SUM(U187:Z187)</f>
        <v>82.5</v>
      </c>
      <c r="AB187" s="11" t="n">
        <v>0</v>
      </c>
      <c r="AC187" s="11" t="n">
        <v>0</v>
      </c>
      <c r="AD187" s="11" t="n">
        <v>0</v>
      </c>
      <c r="AE187" s="11" t="n">
        <v>0</v>
      </c>
      <c r="AF187" s="11" t="n">
        <v>0</v>
      </c>
      <c r="AG187" s="11" t="n">
        <v>20</v>
      </c>
      <c r="AH187" s="11" t="n">
        <f aca="false">SUM(AB187:AG187)</f>
        <v>20</v>
      </c>
      <c r="AI187" s="12" t="s">
        <v>71</v>
      </c>
    </row>
    <row r="188" customFormat="false" ht="15" hidden="false" customHeight="false" outlineLevel="0" collapsed="false">
      <c r="A188" s="8" t="s">
        <v>440</v>
      </c>
      <c r="B188" s="12" t="s">
        <v>441</v>
      </c>
      <c r="C188" s="8" t="s">
        <v>410</v>
      </c>
      <c r="D188" s="12" t="s">
        <v>411</v>
      </c>
      <c r="E188" s="10" t="str">
        <f aca="true">IFERROR(IF(INDEX(INDIRECT("'"&amp;$AI188&amp;"'!$E$2:$E$320"),MATCH($A188,INDIRECT("'"&amp;$AI188&amp;"'!$A$2:$A$320"),0))="","",INDEX(INDIRECT("'"&amp;$AI188&amp;"'!$E$2:$E$320"),MATCH($A188,INDIRECT("'"&amp;$AI188&amp;"'!$A$2:$A$320"),0))),"")</f>
        <v/>
      </c>
      <c r="F188" s="9" t="str">
        <f aca="false">IF($E188="","",IFERROR(INDEX(担当者マスタ!$B$2:$B$101,MATCH($E188,担当者マスタ!$A$2:$A$101,0)),"※マスタ未登録"))</f>
        <v/>
      </c>
      <c r="G188" s="11" t="n">
        <v>210.53</v>
      </c>
      <c r="H188" s="11" t="n">
        <v>319.9</v>
      </c>
      <c r="I188" s="11" t="n">
        <v>182.8</v>
      </c>
      <c r="J188" s="11" t="n">
        <v>45.7</v>
      </c>
      <c r="K188" s="11" t="n">
        <v>45.7</v>
      </c>
      <c r="L188" s="11" t="n">
        <v>82.26</v>
      </c>
      <c r="M188" s="11" t="n">
        <f aca="false">SUM(G188:L188)</f>
        <v>886.89</v>
      </c>
      <c r="N188" s="11" t="n">
        <v>58.96</v>
      </c>
      <c r="O188" s="11" t="n">
        <v>90.3</v>
      </c>
      <c r="P188" s="11" t="n">
        <v>51.6</v>
      </c>
      <c r="Q188" s="11" t="n">
        <v>12.9</v>
      </c>
      <c r="R188" s="11" t="n">
        <v>12.9</v>
      </c>
      <c r="S188" s="11" t="n">
        <v>23.22</v>
      </c>
      <c r="T188" s="11" t="n">
        <f aca="false">SUM(N188:S188)</f>
        <v>249.88</v>
      </c>
      <c r="U188" s="11" t="n">
        <v>146.24</v>
      </c>
      <c r="V188" s="11" t="n">
        <v>182.8</v>
      </c>
      <c r="W188" s="11" t="n">
        <v>200.3</v>
      </c>
      <c r="X188" s="11" t="n">
        <v>45.7</v>
      </c>
      <c r="Y188" s="11" t="n">
        <v>45.7</v>
      </c>
      <c r="Z188" s="11" t="n">
        <v>0</v>
      </c>
      <c r="AA188" s="11" t="n">
        <f aca="false">SUM(U188:Z188)</f>
        <v>620.74</v>
      </c>
      <c r="AB188" s="11" t="n">
        <v>41.28</v>
      </c>
      <c r="AC188" s="11" t="n">
        <v>51.6</v>
      </c>
      <c r="AD188" s="11" t="n">
        <v>57.1</v>
      </c>
      <c r="AE188" s="11" t="n">
        <v>12.9</v>
      </c>
      <c r="AF188" s="11" t="n">
        <v>12.9</v>
      </c>
      <c r="AG188" s="11" t="n">
        <v>0</v>
      </c>
      <c r="AH188" s="11" t="n">
        <f aca="false">SUM(AB188:AG188)</f>
        <v>175.78</v>
      </c>
      <c r="AI188" s="12" t="s">
        <v>71</v>
      </c>
    </row>
    <row r="189" customFormat="false" ht="15" hidden="false" customHeight="false" outlineLevel="0" collapsed="false">
      <c r="A189" s="8" t="s">
        <v>442</v>
      </c>
      <c r="B189" s="9" t="s">
        <v>443</v>
      </c>
      <c r="C189" s="8" t="s">
        <v>410</v>
      </c>
      <c r="D189" s="12" t="s">
        <v>411</v>
      </c>
      <c r="E189" s="10" t="str">
        <f aca="true">IFERROR(IF(INDEX(INDIRECT("'"&amp;$AI189&amp;"'!$E$2:$E$320"),MATCH($A189,INDIRECT("'"&amp;$AI189&amp;"'!$A$2:$A$320"),0))="","",INDEX(INDIRECT("'"&amp;$AI189&amp;"'!$E$2:$E$320"),MATCH($A189,INDIRECT("'"&amp;$AI189&amp;"'!$A$2:$A$320"),0))),"")</f>
        <v/>
      </c>
      <c r="F189" s="9" t="str">
        <f aca="false">IF($E189="","",IFERROR(INDEX(担当者マスタ!$B$2:$B$101,MATCH($E189,担当者マスタ!$A$2:$A$101,0)),"※マスタ未登録"))</f>
        <v/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f aca="false">SUM(G189:L189)</f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f aca="false">SUM(N189:S189)</f>
        <v>0</v>
      </c>
      <c r="U189" s="11" t="n">
        <v>0</v>
      </c>
      <c r="V189" s="11" t="n">
        <v>0</v>
      </c>
      <c r="W189" s="11" t="n">
        <v>0</v>
      </c>
      <c r="X189" s="11" t="n">
        <v>0</v>
      </c>
      <c r="Y189" s="11" t="n">
        <v>244</v>
      </c>
      <c r="Z189" s="11" t="n">
        <v>0</v>
      </c>
      <c r="AA189" s="11" t="n">
        <f aca="false">SUM(U189:Z189)</f>
        <v>244</v>
      </c>
      <c r="AB189" s="11" t="n">
        <v>0</v>
      </c>
      <c r="AC189" s="11" t="n">
        <v>0</v>
      </c>
      <c r="AD189" s="11" t="n">
        <v>0</v>
      </c>
      <c r="AE189" s="11" t="n">
        <v>0</v>
      </c>
      <c r="AF189" s="11" t="n">
        <v>39</v>
      </c>
      <c r="AG189" s="11" t="n">
        <v>0</v>
      </c>
      <c r="AH189" s="11" t="n">
        <f aca="false">SUM(AB189:AG189)</f>
        <v>39</v>
      </c>
      <c r="AI189" s="12" t="s">
        <v>71</v>
      </c>
    </row>
    <row r="190" customFormat="false" ht="15" hidden="false" customHeight="false" outlineLevel="0" collapsed="false">
      <c r="A190" s="8" t="s">
        <v>444</v>
      </c>
      <c r="B190" s="12" t="s">
        <v>445</v>
      </c>
      <c r="C190" s="8" t="s">
        <v>410</v>
      </c>
      <c r="D190" s="12" t="s">
        <v>411</v>
      </c>
      <c r="E190" s="10" t="str">
        <f aca="true">IFERROR(IF(INDEX(INDIRECT("'"&amp;$AI190&amp;"'!$E$2:$E$320"),MATCH($A190,INDIRECT("'"&amp;$AI190&amp;"'!$A$2:$A$320"),0))="","",INDEX(INDIRECT("'"&amp;$AI190&amp;"'!$E$2:$E$320"),MATCH($A190,INDIRECT("'"&amp;$AI190&amp;"'!$A$2:$A$320"),0))),"")</f>
        <v/>
      </c>
      <c r="F190" s="9" t="str">
        <f aca="false">IF($E190="","",IFERROR(INDEX(担当者マスタ!$B$2:$B$101,MATCH($E190,担当者マスタ!$A$2:$A$101,0)),"※マスタ未登録"))</f>
        <v/>
      </c>
      <c r="G190" s="11" t="n">
        <v>4464.029</v>
      </c>
      <c r="H190" s="11" t="n">
        <v>6057.043</v>
      </c>
      <c r="I190" s="11" t="n">
        <v>6583.181</v>
      </c>
      <c r="J190" s="11" t="n">
        <v>5544.507</v>
      </c>
      <c r="K190" s="11" t="n">
        <v>4429.164</v>
      </c>
      <c r="L190" s="11" t="n">
        <v>6917.675</v>
      </c>
      <c r="M190" s="11" t="n">
        <f aca="false">SUM(G190:L190)</f>
        <v>33995.599</v>
      </c>
      <c r="N190" s="11" t="n">
        <v>1123.751</v>
      </c>
      <c r="O190" s="11" t="n">
        <v>1360.238</v>
      </c>
      <c r="P190" s="11" t="n">
        <v>1567.471</v>
      </c>
      <c r="Q190" s="11" t="n">
        <v>1314.448</v>
      </c>
      <c r="R190" s="11" t="n">
        <v>1006.077</v>
      </c>
      <c r="S190" s="11" t="n">
        <v>1624.725</v>
      </c>
      <c r="T190" s="11" t="n">
        <f aca="false">SUM(N190:S190)</f>
        <v>7996.71</v>
      </c>
      <c r="U190" s="11" t="n">
        <v>5674.338</v>
      </c>
      <c r="V190" s="11" t="n">
        <v>4975.512</v>
      </c>
      <c r="W190" s="11" t="n">
        <v>5306.238</v>
      </c>
      <c r="X190" s="11" t="n">
        <v>4904.209</v>
      </c>
      <c r="Y190" s="11" t="n">
        <v>6884.767</v>
      </c>
      <c r="Z190" s="11" t="n">
        <v>7669.23</v>
      </c>
      <c r="AA190" s="11" t="n">
        <f aca="false">SUM(U190:Z190)</f>
        <v>35414.294</v>
      </c>
      <c r="AB190" s="11" t="n">
        <v>1358.257</v>
      </c>
      <c r="AC190" s="11" t="n">
        <v>1240.134</v>
      </c>
      <c r="AD190" s="11" t="n">
        <v>1364.483</v>
      </c>
      <c r="AE190" s="11" t="n">
        <v>1031.458</v>
      </c>
      <c r="AF190" s="11" t="n">
        <v>1785.604</v>
      </c>
      <c r="AG190" s="11" t="n">
        <v>2064.749</v>
      </c>
      <c r="AH190" s="11" t="n">
        <f aca="false">SUM(AB190:AG190)</f>
        <v>8844.685</v>
      </c>
      <c r="AI190" s="12" t="s">
        <v>71</v>
      </c>
    </row>
    <row r="191" customFormat="false" ht="15" hidden="false" customHeight="false" outlineLevel="0" collapsed="false">
      <c r="A191" s="8" t="s">
        <v>446</v>
      </c>
      <c r="B191" s="9" t="s">
        <v>447</v>
      </c>
      <c r="C191" s="8" t="s">
        <v>410</v>
      </c>
      <c r="D191" s="12" t="s">
        <v>411</v>
      </c>
      <c r="E191" s="10" t="str">
        <f aca="true">IFERROR(IF(INDEX(INDIRECT("'"&amp;$AI191&amp;"'!$E$2:$E$320"),MATCH($A191,INDIRECT("'"&amp;$AI191&amp;"'!$A$2:$A$320"),0))="","",INDEX(INDIRECT("'"&amp;$AI191&amp;"'!$E$2:$E$320"),MATCH($A191,INDIRECT("'"&amp;$AI191&amp;"'!$A$2:$A$320"),0))),"")</f>
        <v/>
      </c>
      <c r="F191" s="9" t="str">
        <f aca="false">IF($E191="","",IFERROR(INDEX(担当者マスタ!$B$2:$B$101,MATCH($E191,担当者マスタ!$A$2:$A$101,0)),"※マスタ未登録"))</f>
        <v/>
      </c>
      <c r="G191" s="11" t="n">
        <v>94.034</v>
      </c>
      <c r="H191" s="11" t="n">
        <v>54.7</v>
      </c>
      <c r="I191" s="11" t="n">
        <v>17.3</v>
      </c>
      <c r="J191" s="11" t="n">
        <v>4.8</v>
      </c>
      <c r="K191" s="11" t="n">
        <v>0.8</v>
      </c>
      <c r="L191" s="11" t="n">
        <v>2.9</v>
      </c>
      <c r="M191" s="11" t="n">
        <f aca="false">SUM(G191:L191)</f>
        <v>174.534</v>
      </c>
      <c r="N191" s="11" t="n">
        <v>74.726</v>
      </c>
      <c r="O191" s="11" t="n">
        <v>40.6</v>
      </c>
      <c r="P191" s="11" t="n">
        <v>11.8</v>
      </c>
      <c r="Q191" s="11" t="n">
        <v>4.8</v>
      </c>
      <c r="R191" s="11" t="n">
        <v>0.8</v>
      </c>
      <c r="S191" s="11" t="n">
        <v>2.9</v>
      </c>
      <c r="T191" s="11" t="n">
        <f aca="false">SUM(N191:S191)</f>
        <v>135.626</v>
      </c>
      <c r="U191" s="11" t="n">
        <v>30.91</v>
      </c>
      <c r="V191" s="11" t="n">
        <v>94.72</v>
      </c>
      <c r="W191" s="11" t="n">
        <v>72.93</v>
      </c>
      <c r="X191" s="11" t="n">
        <v>4</v>
      </c>
      <c r="Y191" s="11" t="n">
        <v>3.9</v>
      </c>
      <c r="Z191" s="11" t="n">
        <v>2.45</v>
      </c>
      <c r="AA191" s="11" t="n">
        <f aca="false">SUM(U191:Z191)</f>
        <v>208.91</v>
      </c>
      <c r="AB191" s="11" t="n">
        <v>24.64</v>
      </c>
      <c r="AC191" s="11" t="n">
        <v>55.06</v>
      </c>
      <c r="AD191" s="11" t="n">
        <v>48.69</v>
      </c>
      <c r="AE191" s="11" t="n">
        <v>4</v>
      </c>
      <c r="AF191" s="11" t="n">
        <v>3.9</v>
      </c>
      <c r="AG191" s="11" t="n">
        <v>2.45</v>
      </c>
      <c r="AH191" s="11" t="n">
        <f aca="false">SUM(AB191:AG191)</f>
        <v>138.74</v>
      </c>
      <c r="AI191" s="12" t="s">
        <v>71</v>
      </c>
    </row>
    <row r="192" customFormat="false" ht="15" hidden="false" customHeight="false" outlineLevel="0" collapsed="false">
      <c r="A192" s="8" t="s">
        <v>448</v>
      </c>
      <c r="B192" s="12" t="s">
        <v>449</v>
      </c>
      <c r="C192" s="8" t="s">
        <v>410</v>
      </c>
      <c r="D192" s="12" t="s">
        <v>411</v>
      </c>
      <c r="E192" s="10" t="str">
        <f aca="true">IFERROR(IF(INDEX(INDIRECT("'"&amp;$AI192&amp;"'!$E$2:$E$320"),MATCH($A192,INDIRECT("'"&amp;$AI192&amp;"'!$A$2:$A$320"),0))="","",INDEX(INDIRECT("'"&amp;$AI192&amp;"'!$E$2:$E$320"),MATCH($A192,INDIRECT("'"&amp;$AI192&amp;"'!$A$2:$A$320"),0))),"")</f>
        <v/>
      </c>
      <c r="F192" s="9" t="str">
        <f aca="false">IF($E192="","",IFERROR(INDEX(担当者マスタ!$B$2:$B$101,MATCH($E192,担当者マスタ!$A$2:$A$101,0)),"※マスタ未登録"))</f>
        <v/>
      </c>
      <c r="G192" s="11" t="n">
        <v>17.682</v>
      </c>
      <c r="H192" s="11" t="n">
        <v>8.37</v>
      </c>
      <c r="I192" s="11" t="n">
        <v>36.287</v>
      </c>
      <c r="J192" s="11" t="n">
        <v>0</v>
      </c>
      <c r="K192" s="11" t="n">
        <v>2.636</v>
      </c>
      <c r="L192" s="11" t="n">
        <v>18.12</v>
      </c>
      <c r="M192" s="11" t="n">
        <f aca="false">SUM(G192:L192)</f>
        <v>83.095</v>
      </c>
      <c r="N192" s="11" t="n">
        <v>5.177</v>
      </c>
      <c r="O192" s="11" t="n">
        <v>2.19</v>
      </c>
      <c r="P192" s="11" t="n">
        <v>11.172</v>
      </c>
      <c r="Q192" s="11" t="n">
        <v>0</v>
      </c>
      <c r="R192" s="11" t="n">
        <v>0.782</v>
      </c>
      <c r="S192" s="11" t="n">
        <v>5.643</v>
      </c>
      <c r="T192" s="11" t="n">
        <f aca="false">SUM(N192:S192)</f>
        <v>24.964</v>
      </c>
      <c r="U192" s="11" t="n">
        <v>11.691</v>
      </c>
      <c r="V192" s="11" t="n">
        <v>22.931</v>
      </c>
      <c r="W192" s="11" t="n">
        <v>14.478</v>
      </c>
      <c r="X192" s="11" t="n">
        <v>41.055</v>
      </c>
      <c r="Y192" s="11" t="n">
        <v>5.13</v>
      </c>
      <c r="Z192" s="11" t="n">
        <v>217.73</v>
      </c>
      <c r="AA192" s="11" t="n">
        <f aca="false">SUM(U192:Z192)</f>
        <v>313.015</v>
      </c>
      <c r="AB192" s="11" t="n">
        <v>2.906</v>
      </c>
      <c r="AC192" s="11" t="n">
        <v>6.02</v>
      </c>
      <c r="AD192" s="11" t="n">
        <v>4.382</v>
      </c>
      <c r="AE192" s="11" t="n">
        <v>8.73</v>
      </c>
      <c r="AF192" s="11" t="n">
        <v>1.98</v>
      </c>
      <c r="AG192" s="11" t="n">
        <v>27.155</v>
      </c>
      <c r="AH192" s="11" t="n">
        <f aca="false">SUM(AB192:AG192)</f>
        <v>51.173</v>
      </c>
      <c r="AI192" s="12" t="s">
        <v>71</v>
      </c>
    </row>
    <row r="193" customFormat="false" ht="15" hidden="false" customHeight="false" outlineLevel="0" collapsed="false">
      <c r="A193" s="8" t="s">
        <v>450</v>
      </c>
      <c r="B193" s="12" t="s">
        <v>451</v>
      </c>
      <c r="C193" s="8" t="s">
        <v>410</v>
      </c>
      <c r="D193" s="12" t="s">
        <v>411</v>
      </c>
      <c r="E193" s="10" t="str">
        <f aca="true">IFERROR(IF(INDEX(INDIRECT("'"&amp;$AI193&amp;"'!$E$2:$E$320"),MATCH($A193,INDIRECT("'"&amp;$AI193&amp;"'!$A$2:$A$320"),0))="","",INDEX(INDIRECT("'"&amp;$AI193&amp;"'!$E$2:$E$320"),MATCH($A193,INDIRECT("'"&amp;$AI193&amp;"'!$A$2:$A$320"),0))),"")</f>
        <v/>
      </c>
      <c r="F193" s="9" t="str">
        <f aca="false">IF($E193="","",IFERROR(INDEX(担当者マスタ!$B$2:$B$101,MATCH($E193,担当者マスタ!$A$2:$A$101,0)),"※マスタ未登録"))</f>
        <v/>
      </c>
      <c r="G193" s="11" t="n">
        <v>42</v>
      </c>
      <c r="H193" s="11" t="n">
        <v>7.05</v>
      </c>
      <c r="I193" s="11" t="n">
        <v>5.64</v>
      </c>
      <c r="J193" s="11" t="n">
        <v>110.23</v>
      </c>
      <c r="K193" s="11" t="n">
        <v>228.69</v>
      </c>
      <c r="L193" s="11" t="n">
        <v>9.87</v>
      </c>
      <c r="M193" s="11" t="n">
        <f aca="false">SUM(G193:L193)</f>
        <v>403.48</v>
      </c>
      <c r="N193" s="11" t="n">
        <v>10.8</v>
      </c>
      <c r="O193" s="11" t="n">
        <v>1.65</v>
      </c>
      <c r="P193" s="11" t="n">
        <v>1.32</v>
      </c>
      <c r="Q193" s="11" t="n">
        <v>26.99</v>
      </c>
      <c r="R193" s="11" t="n">
        <v>67.97</v>
      </c>
      <c r="S193" s="11" t="n">
        <v>2.31</v>
      </c>
      <c r="T193" s="11" t="n">
        <f aca="false">SUM(N193:S193)</f>
        <v>111.04</v>
      </c>
      <c r="U193" s="11" t="n">
        <v>0</v>
      </c>
      <c r="V193" s="11" t="n">
        <v>28</v>
      </c>
      <c r="W193" s="11" t="n">
        <v>34.95</v>
      </c>
      <c r="X193" s="11" t="n">
        <v>38.4</v>
      </c>
      <c r="Y193" s="11" t="n">
        <v>49</v>
      </c>
      <c r="Z193" s="11" t="n">
        <v>38.4</v>
      </c>
      <c r="AA193" s="11" t="n">
        <f aca="false">SUM(U193:Z193)</f>
        <v>188.75</v>
      </c>
      <c r="AB193" s="11" t="n">
        <v>0</v>
      </c>
      <c r="AC193" s="11" t="n">
        <v>7</v>
      </c>
      <c r="AD193" s="11" t="n">
        <v>9.15</v>
      </c>
      <c r="AE193" s="11" t="n">
        <v>9.72</v>
      </c>
      <c r="AF193" s="11" t="n">
        <v>12.6</v>
      </c>
      <c r="AG193" s="11" t="n">
        <v>9.72</v>
      </c>
      <c r="AH193" s="11" t="n">
        <f aca="false">SUM(AB193:AG193)</f>
        <v>48.19</v>
      </c>
      <c r="AI193" s="12" t="s">
        <v>71</v>
      </c>
    </row>
    <row r="194" customFormat="false" ht="15" hidden="false" customHeight="false" outlineLevel="0" collapsed="false">
      <c r="A194" s="8" t="s">
        <v>452</v>
      </c>
      <c r="B194" s="12" t="s">
        <v>453</v>
      </c>
      <c r="C194" s="8" t="s">
        <v>410</v>
      </c>
      <c r="D194" s="12" t="s">
        <v>411</v>
      </c>
      <c r="E194" s="10" t="str">
        <f aca="true">IFERROR(IF(INDEX(INDIRECT("'"&amp;$AI194&amp;"'!$E$2:$E$320"),MATCH($A194,INDIRECT("'"&amp;$AI194&amp;"'!$A$2:$A$320"),0))="","",INDEX(INDIRECT("'"&amp;$AI194&amp;"'!$E$2:$E$320"),MATCH($A194,INDIRECT("'"&amp;$AI194&amp;"'!$A$2:$A$320"),0))),"")</f>
        <v/>
      </c>
      <c r="F194" s="9" t="str">
        <f aca="false">IF($E194="","",IFERROR(INDEX(担当者マスタ!$B$2:$B$101,MATCH($E194,担当者マスタ!$A$2:$A$101,0)),"※マスタ未登録"))</f>
        <v/>
      </c>
      <c r="G194" s="11" t="n">
        <v>0</v>
      </c>
      <c r="H194" s="11" t="n">
        <v>53.22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f aca="false">SUM(G194:L194)</f>
        <v>53.22</v>
      </c>
      <c r="N194" s="11" t="n">
        <v>0</v>
      </c>
      <c r="O194" s="11" t="n">
        <v>15.18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f aca="false">SUM(N194:S194)</f>
        <v>15.18</v>
      </c>
      <c r="U194" s="11" t="n">
        <v>0</v>
      </c>
      <c r="V194" s="11" t="n">
        <v>1.728</v>
      </c>
      <c r="W194" s="11" t="n">
        <v>0</v>
      </c>
      <c r="X194" s="11" t="n">
        <v>37.06</v>
      </c>
      <c r="Y194" s="11" t="n">
        <v>0</v>
      </c>
      <c r="Z194" s="11" t="n">
        <v>0</v>
      </c>
      <c r="AA194" s="11" t="n">
        <f aca="false">SUM(U194:Z194)</f>
        <v>38.788</v>
      </c>
      <c r="AB194" s="11" t="n">
        <v>0</v>
      </c>
      <c r="AC194" s="11" t="n">
        <v>0.666</v>
      </c>
      <c r="AD194" s="11" t="n">
        <v>0</v>
      </c>
      <c r="AE194" s="11" t="n">
        <v>25.45</v>
      </c>
      <c r="AF194" s="11" t="n">
        <v>0</v>
      </c>
      <c r="AG194" s="11" t="n">
        <v>0</v>
      </c>
      <c r="AH194" s="11" t="n">
        <f aca="false">SUM(AB194:AG194)</f>
        <v>26.116</v>
      </c>
      <c r="AI194" s="12" t="s">
        <v>71</v>
      </c>
    </row>
    <row r="195" customFormat="false" ht="15" hidden="false" customHeight="false" outlineLevel="0" collapsed="false">
      <c r="A195" s="8" t="s">
        <v>454</v>
      </c>
      <c r="B195" s="12" t="s">
        <v>455</v>
      </c>
      <c r="C195" s="8" t="s">
        <v>410</v>
      </c>
      <c r="D195" s="12" t="s">
        <v>411</v>
      </c>
      <c r="E195" s="10" t="str">
        <f aca="true">IFERROR(IF(INDEX(INDIRECT("'"&amp;$AI195&amp;"'!$E$2:$E$320"),MATCH($A195,INDIRECT("'"&amp;$AI195&amp;"'!$A$2:$A$320"),0))="","",INDEX(INDIRECT("'"&amp;$AI195&amp;"'!$E$2:$E$320"),MATCH($A195,INDIRECT("'"&amp;$AI195&amp;"'!$A$2:$A$320"),0))),"")</f>
        <v/>
      </c>
      <c r="F195" s="9" t="str">
        <f aca="false">IF($E195="","",IFERROR(INDEX(担当者マスタ!$B$2:$B$101,MATCH($E195,担当者マスタ!$A$2:$A$101,0)),"※マスタ未登録"))</f>
        <v/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57.552</v>
      </c>
      <c r="M195" s="11" t="n">
        <f aca="false">SUM(G195:L195)</f>
        <v>57.552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8.976</v>
      </c>
      <c r="T195" s="11" t="n">
        <f aca="false">SUM(N195:S195)</f>
        <v>8.976</v>
      </c>
      <c r="U195" s="11" t="n">
        <v>0</v>
      </c>
      <c r="V195" s="11" t="n">
        <v>6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f aca="false">SUM(U195:Z195)</f>
        <v>6</v>
      </c>
      <c r="AB195" s="11" t="n">
        <v>0</v>
      </c>
      <c r="AC195" s="11" t="n">
        <v>2.55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f aca="false">SUM(AB195:AG195)</f>
        <v>2.55</v>
      </c>
      <c r="AI195" s="12" t="s">
        <v>71</v>
      </c>
    </row>
    <row r="196" customFormat="false" ht="15" hidden="false" customHeight="false" outlineLevel="0" collapsed="false">
      <c r="A196" s="8" t="s">
        <v>456</v>
      </c>
      <c r="B196" s="9" t="s">
        <v>457</v>
      </c>
      <c r="C196" s="8" t="s">
        <v>410</v>
      </c>
      <c r="D196" s="12" t="s">
        <v>411</v>
      </c>
      <c r="E196" s="10" t="str">
        <f aca="true">IFERROR(IF(INDEX(INDIRECT("'"&amp;$AI196&amp;"'!$E$2:$E$320"),MATCH($A196,INDIRECT("'"&amp;$AI196&amp;"'!$A$2:$A$320"),0))="","",INDEX(INDIRECT("'"&amp;$AI196&amp;"'!$E$2:$E$320"),MATCH($A196,INDIRECT("'"&amp;$AI196&amp;"'!$A$2:$A$320"),0))),"")</f>
        <v/>
      </c>
      <c r="F196" s="9" t="str">
        <f aca="false">IF($E196="","",IFERROR(INDEX(担当者マスタ!$B$2:$B$101,MATCH($E196,担当者マスタ!$A$2:$A$101,0)),"※マスタ未登録"))</f>
        <v/>
      </c>
      <c r="G196" s="11" t="n">
        <v>33.3</v>
      </c>
      <c r="H196" s="11" t="n">
        <v>7.86</v>
      </c>
      <c r="I196" s="11" t="n">
        <v>0</v>
      </c>
      <c r="J196" s="11" t="n">
        <v>10.61</v>
      </c>
      <c r="K196" s="11" t="n">
        <v>8.4</v>
      </c>
      <c r="L196" s="11" t="n">
        <v>9.26</v>
      </c>
      <c r="M196" s="11" t="n">
        <f aca="false">SUM(G196:L196)</f>
        <v>69.43</v>
      </c>
      <c r="N196" s="11" t="n">
        <v>13.84</v>
      </c>
      <c r="O196" s="11" t="n">
        <v>4.38</v>
      </c>
      <c r="P196" s="11" t="n">
        <v>0</v>
      </c>
      <c r="Q196" s="11" t="n">
        <v>7.13</v>
      </c>
      <c r="R196" s="11" t="n">
        <v>2.14</v>
      </c>
      <c r="S196" s="11" t="n">
        <v>5.78</v>
      </c>
      <c r="T196" s="11" t="n">
        <f aca="false">SUM(N196:S196)</f>
        <v>33.27</v>
      </c>
      <c r="U196" s="11" t="n">
        <v>4.35</v>
      </c>
      <c r="V196" s="11" t="n">
        <v>0</v>
      </c>
      <c r="W196" s="11" t="n">
        <v>0</v>
      </c>
      <c r="X196" s="11" t="n">
        <v>0</v>
      </c>
      <c r="Y196" s="11" t="n">
        <v>0</v>
      </c>
      <c r="Z196" s="11" t="n">
        <v>0</v>
      </c>
      <c r="AA196" s="11" t="n">
        <f aca="false">SUM(U196:Z196)</f>
        <v>4.35</v>
      </c>
      <c r="AB196" s="11" t="n">
        <v>2.59</v>
      </c>
      <c r="AC196" s="11" t="n">
        <v>0</v>
      </c>
      <c r="AD196" s="11" t="n">
        <v>0</v>
      </c>
      <c r="AE196" s="11" t="n">
        <v>0</v>
      </c>
      <c r="AF196" s="11" t="n">
        <v>0</v>
      </c>
      <c r="AG196" s="11" t="n">
        <v>0</v>
      </c>
      <c r="AH196" s="11" t="n">
        <f aca="false">SUM(AB196:AG196)</f>
        <v>2.59</v>
      </c>
      <c r="AI196" s="12" t="s">
        <v>71</v>
      </c>
    </row>
    <row r="197" customFormat="false" ht="15" hidden="false" customHeight="false" outlineLevel="0" collapsed="false">
      <c r="A197" s="8" t="s">
        <v>458</v>
      </c>
      <c r="B197" s="12" t="s">
        <v>459</v>
      </c>
      <c r="C197" s="8" t="s">
        <v>410</v>
      </c>
      <c r="D197" s="12" t="s">
        <v>411</v>
      </c>
      <c r="E197" s="10" t="str">
        <f aca="true">IFERROR(IF(INDEX(INDIRECT("'"&amp;$AI197&amp;"'!$E$2:$E$320"),MATCH($A197,INDIRECT("'"&amp;$AI197&amp;"'!$A$2:$A$320"),0))="","",INDEX(INDIRECT("'"&amp;$AI197&amp;"'!$E$2:$E$320"),MATCH($A197,INDIRECT("'"&amp;$AI197&amp;"'!$A$2:$A$320"),0))),"")</f>
        <v/>
      </c>
      <c r="F197" s="9" t="str">
        <f aca="false">IF($E197="","",IFERROR(INDEX(担当者マスタ!$B$2:$B$101,MATCH($E197,担当者マスタ!$A$2:$A$101,0)),"※マスタ未登録"))</f>
        <v/>
      </c>
      <c r="G197" s="11" t="n">
        <v>2130.492</v>
      </c>
      <c r="H197" s="11" t="n">
        <v>2151.894</v>
      </c>
      <c r="I197" s="11" t="n">
        <v>2671.136</v>
      </c>
      <c r="J197" s="11" t="n">
        <v>2232.855</v>
      </c>
      <c r="K197" s="11" t="n">
        <v>1131.086</v>
      </c>
      <c r="L197" s="11" t="n">
        <v>1679.36</v>
      </c>
      <c r="M197" s="11" t="n">
        <f aca="false">SUM(G197:L197)</f>
        <v>11996.823</v>
      </c>
      <c r="N197" s="11" t="n">
        <v>601.468</v>
      </c>
      <c r="O197" s="11" t="n">
        <v>609.645</v>
      </c>
      <c r="P197" s="11" t="n">
        <v>714.732</v>
      </c>
      <c r="Q197" s="11" t="n">
        <v>607.954</v>
      </c>
      <c r="R197" s="11" t="n">
        <v>340.255</v>
      </c>
      <c r="S197" s="11" t="n">
        <v>415.962</v>
      </c>
      <c r="T197" s="11" t="n">
        <f aca="false">SUM(N197:S197)</f>
        <v>3290.016</v>
      </c>
      <c r="U197" s="11" t="n">
        <v>1842.212</v>
      </c>
      <c r="V197" s="11" t="n">
        <v>1032.573</v>
      </c>
      <c r="W197" s="11" t="n">
        <v>1293.765</v>
      </c>
      <c r="X197" s="11" t="n">
        <v>2341.468</v>
      </c>
      <c r="Y197" s="11" t="n">
        <v>955.244</v>
      </c>
      <c r="Z197" s="11" t="n">
        <v>1184.152</v>
      </c>
      <c r="AA197" s="11" t="n">
        <f aca="false">SUM(U197:Z197)</f>
        <v>8649.414</v>
      </c>
      <c r="AB197" s="11" t="n">
        <v>491.413</v>
      </c>
      <c r="AC197" s="11" t="n">
        <v>297.229</v>
      </c>
      <c r="AD197" s="11" t="n">
        <v>360.329</v>
      </c>
      <c r="AE197" s="11" t="n">
        <v>523.872</v>
      </c>
      <c r="AF197" s="11" t="n">
        <v>259.65</v>
      </c>
      <c r="AG197" s="11" t="n">
        <v>354.541</v>
      </c>
      <c r="AH197" s="11" t="n">
        <f aca="false">SUM(AB197:AG197)</f>
        <v>2287.034</v>
      </c>
      <c r="AI197" s="12" t="s">
        <v>71</v>
      </c>
    </row>
    <row r="198" customFormat="false" ht="15" hidden="false" customHeight="false" outlineLevel="0" collapsed="false">
      <c r="A198" s="8" t="s">
        <v>460</v>
      </c>
      <c r="B198" s="12" t="s">
        <v>461</v>
      </c>
      <c r="C198" s="8" t="s">
        <v>410</v>
      </c>
      <c r="D198" s="12" t="s">
        <v>411</v>
      </c>
      <c r="E198" s="10" t="str">
        <f aca="true">IFERROR(IF(INDEX(INDIRECT("'"&amp;$AI198&amp;"'!$E$2:$E$320"),MATCH($A198,INDIRECT("'"&amp;$AI198&amp;"'!$A$2:$A$320"),0))="","",INDEX(INDIRECT("'"&amp;$AI198&amp;"'!$E$2:$E$320"),MATCH($A198,INDIRECT("'"&amp;$AI198&amp;"'!$A$2:$A$320"),0))),"")</f>
        <v/>
      </c>
      <c r="F198" s="9" t="str">
        <f aca="false">IF($E198="","",IFERROR(INDEX(担当者マスタ!$B$2:$B$101,MATCH($E198,担当者マスタ!$A$2:$A$101,0)),"※マスタ未登録"))</f>
        <v/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f aca="false">SUM(G198:L198)</f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f aca="false">SUM(N198:S198)</f>
        <v>0</v>
      </c>
      <c r="U198" s="11" t="n">
        <v>0</v>
      </c>
      <c r="V198" s="11" t="n">
        <v>0</v>
      </c>
      <c r="W198" s="11" t="n">
        <v>66.94</v>
      </c>
      <c r="X198" s="11" t="n">
        <v>26.76</v>
      </c>
      <c r="Y198" s="11" t="n">
        <v>0</v>
      </c>
      <c r="Z198" s="11" t="n">
        <v>14.44</v>
      </c>
      <c r="AA198" s="11" t="n">
        <f aca="false">SUM(U198:Z198)</f>
        <v>108.14</v>
      </c>
      <c r="AB198" s="11" t="n">
        <v>0</v>
      </c>
      <c r="AC198" s="11" t="n">
        <v>0</v>
      </c>
      <c r="AD198" s="11" t="n">
        <v>17.08</v>
      </c>
      <c r="AE198" s="11" t="n">
        <v>6.52</v>
      </c>
      <c r="AF198" s="11" t="n">
        <v>0</v>
      </c>
      <c r="AG198" s="11" t="n">
        <v>3.6</v>
      </c>
      <c r="AH198" s="11" t="n">
        <f aca="false">SUM(AB198:AG198)</f>
        <v>27.2</v>
      </c>
      <c r="AI198" s="12" t="s">
        <v>71</v>
      </c>
    </row>
    <row r="199" customFormat="false" ht="15" hidden="false" customHeight="false" outlineLevel="0" collapsed="false">
      <c r="A199" s="8" t="s">
        <v>462</v>
      </c>
      <c r="B199" s="12" t="s">
        <v>463</v>
      </c>
      <c r="C199" s="8" t="s">
        <v>410</v>
      </c>
      <c r="D199" s="12" t="s">
        <v>411</v>
      </c>
      <c r="E199" s="10" t="str">
        <f aca="true">IFERROR(IF(INDEX(INDIRECT("'"&amp;$AI199&amp;"'!$E$2:$E$320"),MATCH($A199,INDIRECT("'"&amp;$AI199&amp;"'!$A$2:$A$320"),0))="","",INDEX(INDIRECT("'"&amp;$AI199&amp;"'!$E$2:$E$320"),MATCH($A199,INDIRECT("'"&amp;$AI199&amp;"'!$A$2:$A$320"),0))),"")</f>
        <v/>
      </c>
      <c r="F199" s="9" t="str">
        <f aca="false">IF($E199="","",IFERROR(INDEX(担当者マスタ!$B$2:$B$101,MATCH($E199,担当者マスタ!$A$2:$A$101,0)),"※マスタ未登録"))</f>
        <v/>
      </c>
      <c r="G199" s="11" t="n">
        <v>3.85</v>
      </c>
      <c r="H199" s="11" t="n">
        <v>11.284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f aca="false">SUM(G199:L199)</f>
        <v>15.134</v>
      </c>
      <c r="N199" s="11" t="n">
        <v>1.35</v>
      </c>
      <c r="O199" s="11" t="n">
        <v>3.108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f aca="false">SUM(N199:S199)</f>
        <v>4.458</v>
      </c>
      <c r="U199" s="11" t="n">
        <v>0</v>
      </c>
      <c r="V199" s="11" t="n">
        <v>0</v>
      </c>
      <c r="W199" s="11" t="n">
        <v>0</v>
      </c>
      <c r="X199" s="11" t="n">
        <v>3.85</v>
      </c>
      <c r="Y199" s="11" t="n">
        <v>13.95</v>
      </c>
      <c r="Z199" s="11" t="n">
        <v>0</v>
      </c>
      <c r="AA199" s="11" t="n">
        <f aca="false">SUM(U199:Z199)</f>
        <v>17.8</v>
      </c>
      <c r="AB199" s="11" t="n">
        <v>0</v>
      </c>
      <c r="AC199" s="11" t="n">
        <v>0</v>
      </c>
      <c r="AD199" s="11" t="n">
        <v>0</v>
      </c>
      <c r="AE199" s="11" t="n">
        <v>1.35</v>
      </c>
      <c r="AF199" s="11" t="n">
        <v>5.19</v>
      </c>
      <c r="AG199" s="11" t="n">
        <v>0</v>
      </c>
      <c r="AH199" s="11" t="n">
        <f aca="false">SUM(AB199:AG199)</f>
        <v>6.54</v>
      </c>
      <c r="AI199" s="12" t="s">
        <v>71</v>
      </c>
    </row>
    <row r="200" customFormat="false" ht="15" hidden="false" customHeight="false" outlineLevel="0" collapsed="false">
      <c r="A200" s="8" t="s">
        <v>464</v>
      </c>
      <c r="B200" s="12" t="s">
        <v>465</v>
      </c>
      <c r="C200" s="8" t="s">
        <v>410</v>
      </c>
      <c r="D200" s="12" t="s">
        <v>411</v>
      </c>
      <c r="E200" s="10" t="str">
        <f aca="true">IFERROR(IF(INDEX(INDIRECT("'"&amp;$AI200&amp;"'!$E$2:$E$320"),MATCH($A200,INDIRECT("'"&amp;$AI200&amp;"'!$A$2:$A$320"),0))="","",INDEX(INDIRECT("'"&amp;$AI200&amp;"'!$E$2:$E$320"),MATCH($A200,INDIRECT("'"&amp;$AI200&amp;"'!$A$2:$A$320"),0))),"")</f>
        <v/>
      </c>
      <c r="F200" s="9" t="str">
        <f aca="false">IF($E200="","",IFERROR(INDEX(担当者マスタ!$B$2:$B$101,MATCH($E200,担当者マスタ!$A$2:$A$101,0)),"※マスタ未登録"))</f>
        <v/>
      </c>
      <c r="G200" s="11" t="n">
        <v>9.17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18.308</v>
      </c>
      <c r="M200" s="11" t="n">
        <f aca="false">SUM(G200:L200)</f>
        <v>27.478</v>
      </c>
      <c r="N200" s="11" t="n">
        <v>5.955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12.104</v>
      </c>
      <c r="T200" s="11" t="n">
        <f aca="false">SUM(N200:S200)</f>
        <v>18.059</v>
      </c>
      <c r="U200" s="11" t="n">
        <v>3.695</v>
      </c>
      <c r="V200" s="11" t="n">
        <v>0</v>
      </c>
      <c r="W200" s="11" t="n">
        <v>15.58</v>
      </c>
      <c r="X200" s="11" t="n">
        <v>0</v>
      </c>
      <c r="Y200" s="11" t="n">
        <v>0</v>
      </c>
      <c r="Z200" s="11" t="n">
        <v>12.718</v>
      </c>
      <c r="AA200" s="11" t="n">
        <f aca="false">SUM(U200:Z200)</f>
        <v>31.993</v>
      </c>
      <c r="AB200" s="11" t="n">
        <v>2.712</v>
      </c>
      <c r="AC200" s="11" t="n">
        <v>0</v>
      </c>
      <c r="AD200" s="11" t="n">
        <v>10.846</v>
      </c>
      <c r="AE200" s="11" t="n">
        <v>0</v>
      </c>
      <c r="AF200" s="11" t="n">
        <v>0</v>
      </c>
      <c r="AG200" s="11" t="n">
        <v>7.188</v>
      </c>
      <c r="AH200" s="11" t="n">
        <f aca="false">SUM(AB200:AG200)</f>
        <v>20.746</v>
      </c>
      <c r="AI200" s="12" t="s">
        <v>71</v>
      </c>
    </row>
    <row r="201" customFormat="false" ht="15" hidden="false" customHeight="false" outlineLevel="0" collapsed="false">
      <c r="A201" s="8" t="s">
        <v>466</v>
      </c>
      <c r="B201" s="12" t="s">
        <v>467</v>
      </c>
      <c r="C201" s="8" t="s">
        <v>410</v>
      </c>
      <c r="D201" s="12" t="s">
        <v>411</v>
      </c>
      <c r="E201" s="10" t="str">
        <f aca="true">IFERROR(IF(INDEX(INDIRECT("'"&amp;$AI201&amp;"'!$E$2:$E$320"),MATCH($A201,INDIRECT("'"&amp;$AI201&amp;"'!$A$2:$A$320"),0))="","",INDEX(INDIRECT("'"&amp;$AI201&amp;"'!$E$2:$E$320"),MATCH($A201,INDIRECT("'"&amp;$AI201&amp;"'!$A$2:$A$320"),0))),"")</f>
        <v/>
      </c>
      <c r="F201" s="9" t="str">
        <f aca="false">IF($E201="","",IFERROR(INDEX(担当者マスタ!$B$2:$B$101,MATCH($E201,担当者マスタ!$A$2:$A$101,0)),"※マスタ未登録"))</f>
        <v/>
      </c>
      <c r="G201" s="11" t="n">
        <v>120.451</v>
      </c>
      <c r="H201" s="11" t="n">
        <v>115.377</v>
      </c>
      <c r="I201" s="11" t="n">
        <v>410.786</v>
      </c>
      <c r="J201" s="11" t="n">
        <v>158.877</v>
      </c>
      <c r="K201" s="11" t="n">
        <v>278.697</v>
      </c>
      <c r="L201" s="11" t="n">
        <v>93.004</v>
      </c>
      <c r="M201" s="11" t="n">
        <f aca="false">SUM(G201:L201)</f>
        <v>1177.192</v>
      </c>
      <c r="N201" s="11" t="n">
        <v>49.565</v>
      </c>
      <c r="O201" s="11" t="n">
        <v>42.379</v>
      </c>
      <c r="P201" s="11" t="n">
        <v>144.896</v>
      </c>
      <c r="Q201" s="11" t="n">
        <v>55.991</v>
      </c>
      <c r="R201" s="11" t="n">
        <v>97.384</v>
      </c>
      <c r="S201" s="11" t="n">
        <v>43.624</v>
      </c>
      <c r="T201" s="11" t="n">
        <f aca="false">SUM(N201:S201)</f>
        <v>433.839</v>
      </c>
      <c r="U201" s="11" t="n">
        <v>268.525</v>
      </c>
      <c r="V201" s="11" t="n">
        <v>114.76</v>
      </c>
      <c r="W201" s="11" t="n">
        <v>155.663</v>
      </c>
      <c r="X201" s="11" t="n">
        <v>110.173</v>
      </c>
      <c r="Y201" s="11" t="n">
        <v>166.004</v>
      </c>
      <c r="Z201" s="11" t="n">
        <v>92.231</v>
      </c>
      <c r="AA201" s="11" t="n">
        <f aca="false">SUM(U201:Z201)</f>
        <v>907.356</v>
      </c>
      <c r="AB201" s="11" t="n">
        <v>106.219</v>
      </c>
      <c r="AC201" s="11" t="n">
        <v>46.906</v>
      </c>
      <c r="AD201" s="11" t="n">
        <v>75.281</v>
      </c>
      <c r="AE201" s="11" t="n">
        <v>46.27</v>
      </c>
      <c r="AF201" s="11" t="n">
        <v>60.322</v>
      </c>
      <c r="AG201" s="11" t="n">
        <v>43.508</v>
      </c>
      <c r="AH201" s="11" t="n">
        <f aca="false">SUM(AB201:AG201)</f>
        <v>378.506</v>
      </c>
      <c r="AI201" s="12" t="s">
        <v>71</v>
      </c>
    </row>
    <row r="202" customFormat="false" ht="15" hidden="false" customHeight="false" outlineLevel="0" collapsed="false">
      <c r="A202" s="8" t="s">
        <v>468</v>
      </c>
      <c r="B202" s="12" t="s">
        <v>469</v>
      </c>
      <c r="C202" s="8" t="s">
        <v>410</v>
      </c>
      <c r="D202" s="12" t="s">
        <v>411</v>
      </c>
      <c r="E202" s="10" t="str">
        <f aca="true">IFERROR(IF(INDEX(INDIRECT("'"&amp;$AI202&amp;"'!$E$2:$E$320"),MATCH($A202,INDIRECT("'"&amp;$AI202&amp;"'!$A$2:$A$320"),0))="","",INDEX(INDIRECT("'"&amp;$AI202&amp;"'!$E$2:$E$320"),MATCH($A202,INDIRECT("'"&amp;$AI202&amp;"'!$A$2:$A$320"),0))),"")</f>
        <v/>
      </c>
      <c r="F202" s="9" t="str">
        <f aca="false">IF($E202="","",IFERROR(INDEX(担当者マスタ!$B$2:$B$101,MATCH($E202,担当者マスタ!$A$2:$A$101,0)),"※マスタ未登録"))</f>
        <v/>
      </c>
      <c r="G202" s="11" t="n">
        <v>89.905</v>
      </c>
      <c r="H202" s="11" t="n">
        <v>210.302</v>
      </c>
      <c r="I202" s="11" t="n">
        <v>338.608</v>
      </c>
      <c r="J202" s="11" t="n">
        <v>158.191</v>
      </c>
      <c r="K202" s="11" t="n">
        <v>78.878</v>
      </c>
      <c r="L202" s="11" t="n">
        <v>85.285</v>
      </c>
      <c r="M202" s="11" t="n">
        <f aca="false">SUM(G202:L202)</f>
        <v>961.169</v>
      </c>
      <c r="N202" s="11" t="n">
        <v>36.132</v>
      </c>
      <c r="O202" s="11" t="n">
        <v>67.929</v>
      </c>
      <c r="P202" s="11" t="n">
        <v>115.874</v>
      </c>
      <c r="Q202" s="11" t="n">
        <v>47.026</v>
      </c>
      <c r="R202" s="11" t="n">
        <v>27.417</v>
      </c>
      <c r="S202" s="11" t="n">
        <v>32.658</v>
      </c>
      <c r="T202" s="11" t="n">
        <f aca="false">SUM(N202:S202)</f>
        <v>327.036</v>
      </c>
      <c r="U202" s="11" t="n">
        <v>123.887</v>
      </c>
      <c r="V202" s="11" t="n">
        <v>284.584</v>
      </c>
      <c r="W202" s="11" t="n">
        <v>454.885</v>
      </c>
      <c r="X202" s="11" t="n">
        <v>76.866</v>
      </c>
      <c r="Y202" s="11" t="n">
        <v>55.39</v>
      </c>
      <c r="Z202" s="11" t="n">
        <v>177.455</v>
      </c>
      <c r="AA202" s="11" t="n">
        <f aca="false">SUM(U202:Z202)</f>
        <v>1173.067</v>
      </c>
      <c r="AB202" s="11" t="n">
        <v>40.342</v>
      </c>
      <c r="AC202" s="11" t="n">
        <v>94.146</v>
      </c>
      <c r="AD202" s="11" t="n">
        <v>155.909</v>
      </c>
      <c r="AE202" s="11" t="n">
        <v>13.849</v>
      </c>
      <c r="AF202" s="11" t="n">
        <v>19.477</v>
      </c>
      <c r="AG202" s="11" t="n">
        <v>58.953</v>
      </c>
      <c r="AH202" s="11" t="n">
        <f aca="false">SUM(AB202:AG202)</f>
        <v>382.676</v>
      </c>
      <c r="AI202" s="12" t="s">
        <v>71</v>
      </c>
    </row>
    <row r="203" customFormat="false" ht="15" hidden="false" customHeight="false" outlineLevel="0" collapsed="false">
      <c r="A203" s="8" t="s">
        <v>470</v>
      </c>
      <c r="B203" s="12" t="s">
        <v>471</v>
      </c>
      <c r="C203" s="8" t="s">
        <v>410</v>
      </c>
      <c r="D203" s="12" t="s">
        <v>411</v>
      </c>
      <c r="E203" s="10" t="str">
        <f aca="true">IFERROR(IF(INDEX(INDIRECT("'"&amp;$AI203&amp;"'!$E$2:$E$320"),MATCH($A203,INDIRECT("'"&amp;$AI203&amp;"'!$A$2:$A$320"),0))="","",INDEX(INDIRECT("'"&amp;$AI203&amp;"'!$E$2:$E$320"),MATCH($A203,INDIRECT("'"&amp;$AI203&amp;"'!$A$2:$A$320"),0))),"")</f>
        <v/>
      </c>
      <c r="F203" s="9" t="str">
        <f aca="false">IF($E203="","",IFERROR(INDEX(担当者マスタ!$B$2:$B$101,MATCH($E203,担当者マスタ!$A$2:$A$101,0)),"※マスタ未登録"))</f>
        <v/>
      </c>
      <c r="G203" s="11" t="n">
        <v>0</v>
      </c>
      <c r="H203" s="11" t="n">
        <v>22.5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f aca="false">SUM(G203:L203)</f>
        <v>22.5</v>
      </c>
      <c r="N203" s="11" t="n">
        <v>0</v>
      </c>
      <c r="O203" s="11" t="n">
        <v>5.7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f aca="false">SUM(N203:S203)</f>
        <v>5.7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f aca="false">SUM(U203:Z203)</f>
        <v>0</v>
      </c>
      <c r="AB203" s="11" t="n">
        <v>0</v>
      </c>
      <c r="AC203" s="11" t="n">
        <v>0</v>
      </c>
      <c r="AD203" s="11" t="n">
        <v>0</v>
      </c>
      <c r="AE203" s="11" t="n">
        <v>0</v>
      </c>
      <c r="AF203" s="11" t="n">
        <v>0</v>
      </c>
      <c r="AG203" s="11" t="n">
        <v>0</v>
      </c>
      <c r="AH203" s="11" t="n">
        <f aca="false">SUM(AB203:AG203)</f>
        <v>0</v>
      </c>
      <c r="AI203" s="12" t="s">
        <v>71</v>
      </c>
    </row>
    <row r="204" customFormat="false" ht="15" hidden="false" customHeight="false" outlineLevel="0" collapsed="false">
      <c r="A204" s="8" t="s">
        <v>472</v>
      </c>
      <c r="B204" s="12" t="s">
        <v>473</v>
      </c>
      <c r="C204" s="8" t="s">
        <v>410</v>
      </c>
      <c r="D204" s="12" t="s">
        <v>411</v>
      </c>
      <c r="E204" s="10" t="str">
        <f aca="true">IFERROR(IF(INDEX(INDIRECT("'"&amp;$AI204&amp;"'!$E$2:$E$320"),MATCH($A204,INDIRECT("'"&amp;$AI204&amp;"'!$A$2:$A$320"),0))="","",INDEX(INDIRECT("'"&amp;$AI204&amp;"'!$E$2:$E$320"),MATCH($A204,INDIRECT("'"&amp;$AI204&amp;"'!$A$2:$A$320"),0))),"")</f>
        <v/>
      </c>
      <c r="F204" s="9" t="str">
        <f aca="false">IF($E204="","",IFERROR(INDEX(担当者マスタ!$B$2:$B$101,MATCH($E204,担当者マスタ!$A$2:$A$101,0)),"※マスタ未登録"))</f>
        <v/>
      </c>
      <c r="G204" s="11" t="n">
        <v>554.103</v>
      </c>
      <c r="H204" s="11" t="n">
        <v>726.334</v>
      </c>
      <c r="I204" s="11" t="n">
        <v>1762.983</v>
      </c>
      <c r="J204" s="11" t="n">
        <v>300.065</v>
      </c>
      <c r="K204" s="11" t="n">
        <v>269.775</v>
      </c>
      <c r="L204" s="11" t="n">
        <v>319.807</v>
      </c>
      <c r="M204" s="11" t="n">
        <f aca="false">SUM(G204:L204)</f>
        <v>3933.067</v>
      </c>
      <c r="N204" s="11" t="n">
        <v>144.335</v>
      </c>
      <c r="O204" s="11" t="n">
        <v>179.242</v>
      </c>
      <c r="P204" s="11" t="n">
        <v>459.8</v>
      </c>
      <c r="Q204" s="11" t="n">
        <v>89.284</v>
      </c>
      <c r="R204" s="11" t="n">
        <v>75.529</v>
      </c>
      <c r="S204" s="11" t="n">
        <v>90.022</v>
      </c>
      <c r="T204" s="11" t="n">
        <f aca="false">SUM(N204:S204)</f>
        <v>1038.212</v>
      </c>
      <c r="U204" s="11" t="n">
        <v>159.517</v>
      </c>
      <c r="V204" s="11" t="n">
        <v>198.117</v>
      </c>
      <c r="W204" s="11" t="n">
        <v>1713.259</v>
      </c>
      <c r="X204" s="11" t="n">
        <v>226.086</v>
      </c>
      <c r="Y204" s="11" t="n">
        <v>272.466</v>
      </c>
      <c r="Z204" s="11" t="n">
        <v>187.768</v>
      </c>
      <c r="AA204" s="11" t="n">
        <f aca="false">SUM(U204:Z204)</f>
        <v>2757.213</v>
      </c>
      <c r="AB204" s="11" t="n">
        <v>43.83</v>
      </c>
      <c r="AC204" s="11" t="n">
        <v>53.444</v>
      </c>
      <c r="AD204" s="11" t="n">
        <v>488.215</v>
      </c>
      <c r="AE204" s="11" t="n">
        <v>57.901</v>
      </c>
      <c r="AF204" s="11" t="n">
        <v>72.636</v>
      </c>
      <c r="AG204" s="11" t="n">
        <v>44.802</v>
      </c>
      <c r="AH204" s="11" t="n">
        <f aca="false">SUM(AB204:AG204)</f>
        <v>760.828</v>
      </c>
      <c r="AI204" s="12" t="s">
        <v>71</v>
      </c>
    </row>
    <row r="205" customFormat="false" ht="15" hidden="false" customHeight="false" outlineLevel="0" collapsed="false">
      <c r="A205" s="8" t="s">
        <v>474</v>
      </c>
      <c r="B205" s="12" t="s">
        <v>475</v>
      </c>
      <c r="C205" s="8" t="s">
        <v>410</v>
      </c>
      <c r="D205" s="12" t="s">
        <v>411</v>
      </c>
      <c r="E205" s="10" t="str">
        <f aca="true">IFERROR(IF(INDEX(INDIRECT("'"&amp;$AI205&amp;"'!$E$2:$E$320"),MATCH($A205,INDIRECT("'"&amp;$AI205&amp;"'!$A$2:$A$320"),0))="","",INDEX(INDIRECT("'"&amp;$AI205&amp;"'!$E$2:$E$320"),MATCH($A205,INDIRECT("'"&amp;$AI205&amp;"'!$A$2:$A$320"),0))),"")</f>
        <v/>
      </c>
      <c r="F205" s="9" t="str">
        <f aca="false">IF($E205="","",IFERROR(INDEX(担当者マスタ!$B$2:$B$101,MATCH($E205,担当者マスタ!$A$2:$A$101,0)),"※マスタ未登録"))</f>
        <v/>
      </c>
      <c r="G205" s="11" t="n">
        <v>117.972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f aca="false">SUM(G205:L205)</f>
        <v>117.972</v>
      </c>
      <c r="N205" s="11" t="n">
        <v>47.145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f aca="false">SUM(N205:S205)</f>
        <v>47.145</v>
      </c>
      <c r="U205" s="11" t="n">
        <v>88</v>
      </c>
      <c r="V205" s="11" t="n">
        <v>17.4</v>
      </c>
      <c r="W205" s="11" t="n">
        <v>6.2</v>
      </c>
      <c r="X205" s="11" t="n">
        <v>0</v>
      </c>
      <c r="Y205" s="11" t="n">
        <v>0</v>
      </c>
      <c r="Z205" s="11" t="n">
        <v>0</v>
      </c>
      <c r="AA205" s="11" t="n">
        <f aca="false">SUM(U205:Z205)</f>
        <v>111.6</v>
      </c>
      <c r="AB205" s="11" t="n">
        <v>27</v>
      </c>
      <c r="AC205" s="11" t="n">
        <v>7.02</v>
      </c>
      <c r="AD205" s="11" t="n">
        <v>3.04</v>
      </c>
      <c r="AE205" s="11" t="n">
        <v>0</v>
      </c>
      <c r="AF205" s="11" t="n">
        <v>0</v>
      </c>
      <c r="AG205" s="11" t="n">
        <v>0</v>
      </c>
      <c r="AH205" s="11" t="n">
        <f aca="false">SUM(AB205:AG205)</f>
        <v>37.06</v>
      </c>
      <c r="AI205" s="12" t="s">
        <v>71</v>
      </c>
    </row>
    <row r="206" customFormat="false" ht="15" hidden="false" customHeight="false" outlineLevel="0" collapsed="false">
      <c r="A206" s="8" t="s">
        <v>476</v>
      </c>
      <c r="B206" s="9" t="s">
        <v>477</v>
      </c>
      <c r="C206" s="8" t="s">
        <v>410</v>
      </c>
      <c r="D206" s="12" t="s">
        <v>411</v>
      </c>
      <c r="E206" s="10" t="str">
        <f aca="true">IFERROR(IF(INDEX(INDIRECT("'"&amp;$AI206&amp;"'!$E$2:$E$320"),MATCH($A206,INDIRECT("'"&amp;$AI206&amp;"'!$A$2:$A$320"),0))="","",INDEX(INDIRECT("'"&amp;$AI206&amp;"'!$E$2:$E$320"),MATCH($A206,INDIRECT("'"&amp;$AI206&amp;"'!$A$2:$A$320"),0))),"")</f>
        <v/>
      </c>
      <c r="F206" s="9" t="str">
        <f aca="false">IF($E206="","",IFERROR(INDEX(担当者マスタ!$B$2:$B$101,MATCH($E206,担当者マスタ!$A$2:$A$101,0)),"※マスタ未登録"))</f>
        <v/>
      </c>
      <c r="G206" s="11" t="n">
        <v>40.606</v>
      </c>
      <c r="H206" s="11" t="n">
        <v>0</v>
      </c>
      <c r="I206" s="11" t="n">
        <v>46.052</v>
      </c>
      <c r="J206" s="11" t="n">
        <v>20.44</v>
      </c>
      <c r="K206" s="11" t="n">
        <v>25.68</v>
      </c>
      <c r="L206" s="11" t="n">
        <v>0</v>
      </c>
      <c r="M206" s="11" t="n">
        <f aca="false">SUM(G206:L206)</f>
        <v>132.778</v>
      </c>
      <c r="N206" s="11" t="n">
        <v>10.232</v>
      </c>
      <c r="O206" s="11" t="n">
        <v>0</v>
      </c>
      <c r="P206" s="11" t="n">
        <v>8.484</v>
      </c>
      <c r="Q206" s="11" t="n">
        <v>5.147</v>
      </c>
      <c r="R206" s="11" t="n">
        <v>6.99</v>
      </c>
      <c r="S206" s="11" t="n">
        <v>0</v>
      </c>
      <c r="T206" s="11" t="n">
        <f aca="false">SUM(N206:S206)</f>
        <v>30.853</v>
      </c>
      <c r="U206" s="11" t="n">
        <v>29.8</v>
      </c>
      <c r="V206" s="11" t="n">
        <v>0</v>
      </c>
      <c r="W206" s="11" t="n">
        <v>12.975</v>
      </c>
      <c r="X206" s="11" t="n">
        <v>0</v>
      </c>
      <c r="Y206" s="11" t="n">
        <v>39</v>
      </c>
      <c r="Z206" s="11" t="n">
        <v>0</v>
      </c>
      <c r="AA206" s="11" t="n">
        <f aca="false">SUM(U206:Z206)</f>
        <v>81.775</v>
      </c>
      <c r="AB206" s="11" t="n">
        <v>5.4</v>
      </c>
      <c r="AC206" s="11" t="n">
        <v>0</v>
      </c>
      <c r="AD206" s="11" t="n">
        <v>2.109</v>
      </c>
      <c r="AE206" s="11" t="n">
        <v>0</v>
      </c>
      <c r="AF206" s="11" t="n">
        <v>6.452</v>
      </c>
      <c r="AG206" s="11" t="n">
        <v>0</v>
      </c>
      <c r="AH206" s="11" t="n">
        <f aca="false">SUM(AB206:AG206)</f>
        <v>13.961</v>
      </c>
      <c r="AI206" s="12" t="s">
        <v>71</v>
      </c>
    </row>
    <row r="207" customFormat="false" ht="15" hidden="false" customHeight="false" outlineLevel="0" collapsed="false">
      <c r="A207" s="8" t="s">
        <v>478</v>
      </c>
      <c r="B207" s="12" t="s">
        <v>479</v>
      </c>
      <c r="C207" s="8" t="s">
        <v>410</v>
      </c>
      <c r="D207" s="12" t="s">
        <v>411</v>
      </c>
      <c r="E207" s="10" t="str">
        <f aca="true">IFERROR(IF(INDEX(INDIRECT("'"&amp;$AI207&amp;"'!$E$2:$E$320"),MATCH($A207,INDIRECT("'"&amp;$AI207&amp;"'!$A$2:$A$320"),0))="","",INDEX(INDIRECT("'"&amp;$AI207&amp;"'!$E$2:$E$320"),MATCH($A207,INDIRECT("'"&amp;$AI207&amp;"'!$A$2:$A$320"),0))),"")</f>
        <v/>
      </c>
      <c r="F207" s="9" t="str">
        <f aca="false">IF($E207="","",IFERROR(INDEX(担当者マスタ!$B$2:$B$101,MATCH($E207,担当者マスタ!$A$2:$A$101,0)),"※マスタ未登録"))</f>
        <v/>
      </c>
      <c r="G207" s="11" t="n">
        <v>12.318</v>
      </c>
      <c r="H207" s="11" t="n">
        <v>26.465</v>
      </c>
      <c r="I207" s="11" t="n">
        <v>56.395</v>
      </c>
      <c r="J207" s="11" t="n">
        <v>39.9</v>
      </c>
      <c r="K207" s="11" t="n">
        <v>70.59</v>
      </c>
      <c r="L207" s="11" t="n">
        <v>0</v>
      </c>
      <c r="M207" s="11" t="n">
        <f aca="false">SUM(G207:L207)</f>
        <v>205.668</v>
      </c>
      <c r="N207" s="11" t="n">
        <v>4.288</v>
      </c>
      <c r="O207" s="11" t="n">
        <v>7.049</v>
      </c>
      <c r="P207" s="11" t="n">
        <v>28.615</v>
      </c>
      <c r="Q207" s="11" t="n">
        <v>9.99</v>
      </c>
      <c r="R207" s="11" t="n">
        <v>18.6</v>
      </c>
      <c r="S207" s="11" t="n">
        <v>0</v>
      </c>
      <c r="T207" s="11" t="n">
        <f aca="false">SUM(N207:S207)</f>
        <v>68.542</v>
      </c>
      <c r="U207" s="11" t="n">
        <v>0</v>
      </c>
      <c r="V207" s="11" t="n">
        <v>125.825</v>
      </c>
      <c r="W207" s="11" t="n">
        <v>40</v>
      </c>
      <c r="X207" s="11" t="n">
        <v>5.995</v>
      </c>
      <c r="Y207" s="11" t="n">
        <v>0</v>
      </c>
      <c r="Z207" s="11" t="n">
        <v>0</v>
      </c>
      <c r="AA207" s="11" t="n">
        <f aca="false">SUM(U207:Z207)</f>
        <v>171.82</v>
      </c>
      <c r="AB207" s="11" t="n">
        <v>0</v>
      </c>
      <c r="AC207" s="11" t="n">
        <v>33.155</v>
      </c>
      <c r="AD207" s="11" t="n">
        <v>10</v>
      </c>
      <c r="AE207" s="11" t="n">
        <v>2.215</v>
      </c>
      <c r="AF207" s="11" t="n">
        <v>0</v>
      </c>
      <c r="AG207" s="11" t="n">
        <v>0</v>
      </c>
      <c r="AH207" s="11" t="n">
        <f aca="false">SUM(AB207:AG207)</f>
        <v>45.37</v>
      </c>
      <c r="AI207" s="12" t="s">
        <v>71</v>
      </c>
    </row>
    <row r="208" customFormat="false" ht="15" hidden="false" customHeight="false" outlineLevel="0" collapsed="false">
      <c r="A208" s="8" t="s">
        <v>480</v>
      </c>
      <c r="B208" s="9" t="s">
        <v>481</v>
      </c>
      <c r="C208" s="8" t="s">
        <v>410</v>
      </c>
      <c r="D208" s="12" t="s">
        <v>411</v>
      </c>
      <c r="E208" s="10" t="str">
        <f aca="true">IFERROR(IF(INDEX(INDIRECT("'"&amp;$AI208&amp;"'!$E$2:$E$320"),MATCH($A208,INDIRECT("'"&amp;$AI208&amp;"'!$A$2:$A$320"),0))="","",INDEX(INDIRECT("'"&amp;$AI208&amp;"'!$E$2:$E$320"),MATCH($A208,INDIRECT("'"&amp;$AI208&amp;"'!$A$2:$A$320"),0))),"")</f>
        <v/>
      </c>
      <c r="F208" s="9" t="str">
        <f aca="false">IF($E208="","",IFERROR(INDEX(担当者マスタ!$B$2:$B$101,MATCH($E208,担当者マスタ!$A$2:$A$101,0)),"※マスタ未登録"))</f>
        <v/>
      </c>
      <c r="G208" s="11" t="n">
        <v>42.6</v>
      </c>
      <c r="H208" s="11" t="n">
        <v>0</v>
      </c>
      <c r="I208" s="11" t="n">
        <v>9.2</v>
      </c>
      <c r="J208" s="11" t="n">
        <v>28.6</v>
      </c>
      <c r="K208" s="11" t="n">
        <v>0</v>
      </c>
      <c r="L208" s="11" t="n">
        <v>0</v>
      </c>
      <c r="M208" s="11" t="n">
        <f aca="false">SUM(G208:L208)</f>
        <v>80.4</v>
      </c>
      <c r="N208" s="11" t="n">
        <v>15.6</v>
      </c>
      <c r="O208" s="11" t="n">
        <v>0</v>
      </c>
      <c r="P208" s="11" t="n">
        <v>2</v>
      </c>
      <c r="Q208" s="11" t="n">
        <v>9.6</v>
      </c>
      <c r="R208" s="11" t="n">
        <v>0</v>
      </c>
      <c r="S208" s="11" t="n">
        <v>0</v>
      </c>
      <c r="T208" s="11" t="n">
        <f aca="false">SUM(N208:S208)</f>
        <v>27.2</v>
      </c>
      <c r="U208" s="11" t="n">
        <v>0</v>
      </c>
      <c r="V208" s="11" t="n">
        <v>0</v>
      </c>
      <c r="W208" s="11" t="n">
        <v>0</v>
      </c>
      <c r="X208" s="11" t="n">
        <v>21.3</v>
      </c>
      <c r="Y208" s="11" t="n">
        <v>0</v>
      </c>
      <c r="Z208" s="11" t="n">
        <v>0</v>
      </c>
      <c r="AA208" s="11" t="n">
        <f aca="false">SUM(U208:Z208)</f>
        <v>21.3</v>
      </c>
      <c r="AB208" s="11" t="n">
        <v>0</v>
      </c>
      <c r="AC208" s="11" t="n">
        <v>0</v>
      </c>
      <c r="AD208" s="11" t="n">
        <v>0</v>
      </c>
      <c r="AE208" s="11" t="n">
        <v>7.8</v>
      </c>
      <c r="AF208" s="11" t="n">
        <v>0</v>
      </c>
      <c r="AG208" s="11" t="n">
        <v>0</v>
      </c>
      <c r="AH208" s="11" t="n">
        <f aca="false">SUM(AB208:AG208)</f>
        <v>7.8</v>
      </c>
      <c r="AI208" s="12" t="s">
        <v>71</v>
      </c>
    </row>
    <row r="209" customFormat="false" ht="15" hidden="false" customHeight="false" outlineLevel="0" collapsed="false">
      <c r="A209" s="8" t="s">
        <v>482</v>
      </c>
      <c r="B209" s="12" t="s">
        <v>483</v>
      </c>
      <c r="C209" s="8" t="s">
        <v>410</v>
      </c>
      <c r="D209" s="12" t="s">
        <v>411</v>
      </c>
      <c r="E209" s="10" t="str">
        <f aca="true">IFERROR(IF(INDEX(INDIRECT("'"&amp;$AI209&amp;"'!$E$2:$E$320"),MATCH($A209,INDIRECT("'"&amp;$AI209&amp;"'!$A$2:$A$320"),0))="","",INDEX(INDIRECT("'"&amp;$AI209&amp;"'!$E$2:$E$320"),MATCH($A209,INDIRECT("'"&amp;$AI209&amp;"'!$A$2:$A$320"),0))),"")</f>
        <v/>
      </c>
      <c r="F209" s="9" t="str">
        <f aca="false">IF($E209="","",IFERROR(INDEX(担当者マスタ!$B$2:$B$101,MATCH($E209,担当者マスタ!$A$2:$A$101,0)),"※マスタ未登録"))</f>
        <v/>
      </c>
      <c r="G209" s="11" t="n">
        <v>10.68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f aca="false">SUM(G209:L209)</f>
        <v>10.68</v>
      </c>
      <c r="N209" s="11" t="n">
        <v>2.68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f aca="false">SUM(N209:S209)</f>
        <v>2.68</v>
      </c>
      <c r="U209" s="11" t="n">
        <v>0</v>
      </c>
      <c r="V209" s="11" t="n">
        <v>9.01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f aca="false">SUM(U209:Z209)</f>
        <v>9.01</v>
      </c>
      <c r="AB209" s="11" t="n">
        <v>0</v>
      </c>
      <c r="AC209" s="11" t="n">
        <v>3.01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n">
        <f aca="false">SUM(AB209:AG209)</f>
        <v>3.01</v>
      </c>
      <c r="AI209" s="12" t="s">
        <v>71</v>
      </c>
    </row>
    <row r="210" customFormat="false" ht="15" hidden="false" customHeight="false" outlineLevel="0" collapsed="false">
      <c r="A210" s="8" t="s">
        <v>484</v>
      </c>
      <c r="B210" s="12" t="s">
        <v>485</v>
      </c>
      <c r="C210" s="8" t="s">
        <v>410</v>
      </c>
      <c r="D210" s="12" t="s">
        <v>411</v>
      </c>
      <c r="E210" s="10" t="str">
        <f aca="true">IFERROR(IF(INDEX(INDIRECT("'"&amp;$AI210&amp;"'!$E$2:$E$320"),MATCH($A210,INDIRECT("'"&amp;$AI210&amp;"'!$A$2:$A$320"),0))="","",INDEX(INDIRECT("'"&amp;$AI210&amp;"'!$E$2:$E$320"),MATCH($A210,INDIRECT("'"&amp;$AI210&amp;"'!$A$2:$A$320"),0))),"")</f>
        <v/>
      </c>
      <c r="F210" s="9" t="str">
        <f aca="false">IF($E210="","",IFERROR(INDEX(担当者マスタ!$B$2:$B$101,MATCH($E210,担当者マスタ!$A$2:$A$101,0)),"※マスタ未登録"))</f>
        <v/>
      </c>
      <c r="G210" s="11" t="n">
        <v>25.69</v>
      </c>
      <c r="H210" s="11" t="n">
        <v>30.8</v>
      </c>
      <c r="I210" s="11" t="n">
        <v>0</v>
      </c>
      <c r="J210" s="11" t="n">
        <v>120.746</v>
      </c>
      <c r="K210" s="11" t="n">
        <v>0</v>
      </c>
      <c r="L210" s="11" t="n">
        <v>0</v>
      </c>
      <c r="M210" s="11" t="n">
        <f aca="false">SUM(G210:L210)</f>
        <v>177.236</v>
      </c>
      <c r="N210" s="11" t="n">
        <v>9.22</v>
      </c>
      <c r="O210" s="11" t="n">
        <v>14.59</v>
      </c>
      <c r="P210" s="11" t="n">
        <v>0</v>
      </c>
      <c r="Q210" s="11" t="n">
        <v>34.326</v>
      </c>
      <c r="R210" s="11" t="n">
        <v>0</v>
      </c>
      <c r="S210" s="11" t="n">
        <v>0</v>
      </c>
      <c r="T210" s="11" t="n">
        <f aca="false">SUM(N210:S210)</f>
        <v>58.136</v>
      </c>
      <c r="U210" s="11" t="n">
        <v>0</v>
      </c>
      <c r="V210" s="11" t="n">
        <v>39.6</v>
      </c>
      <c r="W210" s="11" t="n">
        <v>0</v>
      </c>
      <c r="X210" s="11" t="n">
        <v>0</v>
      </c>
      <c r="Y210" s="11" t="n">
        <v>82.4</v>
      </c>
      <c r="Z210" s="11" t="n">
        <v>0</v>
      </c>
      <c r="AA210" s="11" t="n">
        <f aca="false">SUM(U210:Z210)</f>
        <v>122</v>
      </c>
      <c r="AB210" s="11" t="n">
        <v>0</v>
      </c>
      <c r="AC210" s="11" t="n">
        <v>17.52</v>
      </c>
      <c r="AD210" s="11" t="n">
        <v>0</v>
      </c>
      <c r="AE210" s="11" t="n">
        <v>0</v>
      </c>
      <c r="AF210" s="11" t="n">
        <v>20.6</v>
      </c>
      <c r="AG210" s="11" t="n">
        <v>0</v>
      </c>
      <c r="AH210" s="11" t="n">
        <f aca="false">SUM(AB210:AG210)</f>
        <v>38.12</v>
      </c>
      <c r="AI210" s="12" t="s">
        <v>71</v>
      </c>
    </row>
    <row r="211" customFormat="false" ht="15" hidden="false" customHeight="false" outlineLevel="0" collapsed="false">
      <c r="A211" s="8" t="s">
        <v>486</v>
      </c>
      <c r="B211" s="9" t="s">
        <v>487</v>
      </c>
      <c r="C211" s="8" t="s">
        <v>410</v>
      </c>
      <c r="D211" s="12" t="s">
        <v>411</v>
      </c>
      <c r="E211" s="10" t="str">
        <f aca="true">IFERROR(IF(INDEX(INDIRECT("'"&amp;$AI211&amp;"'!$E$2:$E$320"),MATCH($A211,INDIRECT("'"&amp;$AI211&amp;"'!$A$2:$A$320"),0))="","",INDEX(INDIRECT("'"&amp;$AI211&amp;"'!$E$2:$E$320"),MATCH($A211,INDIRECT("'"&amp;$AI211&amp;"'!$A$2:$A$320"),0))),"")</f>
        <v/>
      </c>
      <c r="F211" s="9" t="str">
        <f aca="false">IF($E211="","",IFERROR(INDEX(担当者マスタ!$B$2:$B$101,MATCH($E211,担当者マスタ!$A$2:$A$101,0)),"※マスタ未登録"))</f>
        <v/>
      </c>
      <c r="G211" s="11" t="n">
        <v>26.14</v>
      </c>
      <c r="H211" s="11" t="n">
        <v>18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f aca="false">SUM(G211:L211)</f>
        <v>44.14</v>
      </c>
      <c r="N211" s="11" t="n">
        <v>9.44</v>
      </c>
      <c r="O211" s="11" t="n">
        <v>6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f aca="false">SUM(N211:S211)</f>
        <v>15.44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f aca="false">SUM(U211:Z211)</f>
        <v>0</v>
      </c>
      <c r="AB211" s="11" t="n">
        <v>0</v>
      </c>
      <c r="AC211" s="11" t="n">
        <v>0</v>
      </c>
      <c r="AD211" s="11" t="n">
        <v>0</v>
      </c>
      <c r="AE211" s="11" t="n">
        <v>0</v>
      </c>
      <c r="AF211" s="11" t="n">
        <v>0</v>
      </c>
      <c r="AG211" s="11" t="n">
        <v>0</v>
      </c>
      <c r="AH211" s="11" t="n">
        <f aca="false">SUM(AB211:AG211)</f>
        <v>0</v>
      </c>
      <c r="AI211" s="12" t="s">
        <v>71</v>
      </c>
    </row>
    <row r="212" customFormat="false" ht="15" hidden="false" customHeight="false" outlineLevel="0" collapsed="false">
      <c r="A212" s="8" t="s">
        <v>488</v>
      </c>
      <c r="B212" s="12" t="s">
        <v>489</v>
      </c>
      <c r="C212" s="8" t="s">
        <v>410</v>
      </c>
      <c r="D212" s="12" t="s">
        <v>411</v>
      </c>
      <c r="E212" s="10" t="str">
        <f aca="true">IFERROR(IF(INDEX(INDIRECT("'"&amp;$AI212&amp;"'!$E$2:$E$320"),MATCH($A212,INDIRECT("'"&amp;$AI212&amp;"'!$A$2:$A$320"),0))="","",INDEX(INDIRECT("'"&amp;$AI212&amp;"'!$E$2:$E$320"),MATCH($A212,INDIRECT("'"&amp;$AI212&amp;"'!$A$2:$A$320"),0))),"")</f>
        <v/>
      </c>
      <c r="F212" s="9" t="str">
        <f aca="false">IF($E212="","",IFERROR(INDEX(担当者マスタ!$B$2:$B$101,MATCH($E212,担当者マスタ!$A$2:$A$101,0)),"※マスタ未登録"))</f>
        <v/>
      </c>
      <c r="G212" s="11" t="n">
        <v>0</v>
      </c>
      <c r="H212" s="11" t="n">
        <v>0</v>
      </c>
      <c r="I212" s="11" t="n">
        <v>16.8</v>
      </c>
      <c r="J212" s="11" t="n">
        <v>51.2</v>
      </c>
      <c r="K212" s="11" t="n">
        <v>0</v>
      </c>
      <c r="L212" s="11" t="n">
        <v>0</v>
      </c>
      <c r="M212" s="11" t="n">
        <f aca="false">SUM(G212:L212)</f>
        <v>68</v>
      </c>
      <c r="N212" s="11" t="n">
        <v>0</v>
      </c>
      <c r="O212" s="11" t="n">
        <v>0</v>
      </c>
      <c r="P212" s="11" t="n">
        <v>4.92</v>
      </c>
      <c r="Q212" s="11" t="n">
        <v>10.5</v>
      </c>
      <c r="R212" s="11" t="n">
        <v>0</v>
      </c>
      <c r="S212" s="11" t="n">
        <v>0</v>
      </c>
      <c r="T212" s="11" t="n">
        <f aca="false">SUM(N212:S212)</f>
        <v>15.42</v>
      </c>
      <c r="U212" s="11" t="n">
        <v>0</v>
      </c>
      <c r="V212" s="11" t="n">
        <v>0</v>
      </c>
      <c r="W212" s="11" t="n">
        <v>62.09</v>
      </c>
      <c r="X212" s="11" t="n">
        <v>0</v>
      </c>
      <c r="Y212" s="11" t="n">
        <v>0</v>
      </c>
      <c r="Z212" s="11" t="n">
        <v>29.7</v>
      </c>
      <c r="AA212" s="11" t="n">
        <f aca="false">SUM(U212:Z212)</f>
        <v>91.79</v>
      </c>
      <c r="AB212" s="11" t="n">
        <v>0</v>
      </c>
      <c r="AC212" s="11" t="n">
        <v>0</v>
      </c>
      <c r="AD212" s="11" t="n">
        <v>11.63</v>
      </c>
      <c r="AE212" s="11" t="n">
        <v>0</v>
      </c>
      <c r="AF212" s="11" t="n">
        <v>0</v>
      </c>
      <c r="AG212" s="11" t="n">
        <v>5.5</v>
      </c>
      <c r="AH212" s="11" t="n">
        <f aca="false">SUM(AB212:AG212)</f>
        <v>17.13</v>
      </c>
      <c r="AI212" s="12" t="s">
        <v>71</v>
      </c>
    </row>
    <row r="213" customFormat="false" ht="15" hidden="false" customHeight="false" outlineLevel="0" collapsed="false">
      <c r="A213" s="8" t="s">
        <v>490</v>
      </c>
      <c r="B213" s="12" t="s">
        <v>491</v>
      </c>
      <c r="C213" s="8" t="s">
        <v>410</v>
      </c>
      <c r="D213" s="12" t="s">
        <v>411</v>
      </c>
      <c r="E213" s="10" t="str">
        <f aca="true">IFERROR(IF(INDEX(INDIRECT("'"&amp;$AI213&amp;"'!$E$2:$E$320"),MATCH($A213,INDIRECT("'"&amp;$AI213&amp;"'!$A$2:$A$320"),0))="","",INDEX(INDIRECT("'"&amp;$AI213&amp;"'!$E$2:$E$320"),MATCH($A213,INDIRECT("'"&amp;$AI213&amp;"'!$A$2:$A$320"),0))),"")</f>
        <v/>
      </c>
      <c r="F213" s="9" t="str">
        <f aca="false">IF($E213="","",IFERROR(INDEX(担当者マスタ!$B$2:$B$101,MATCH($E213,担当者マスタ!$A$2:$A$101,0)),"※マスタ未登録"))</f>
        <v/>
      </c>
      <c r="G213" s="11" t="n">
        <v>20.145</v>
      </c>
      <c r="H213" s="11" t="n">
        <v>0</v>
      </c>
      <c r="I213" s="11" t="n">
        <v>0</v>
      </c>
      <c r="J213" s="11" t="n">
        <v>0</v>
      </c>
      <c r="K213" s="11" t="n">
        <v>12</v>
      </c>
      <c r="L213" s="11" t="n">
        <v>114.38</v>
      </c>
      <c r="M213" s="11" t="n">
        <f aca="false">SUM(G213:L213)</f>
        <v>146.525</v>
      </c>
      <c r="N213" s="11" t="n">
        <v>5.645</v>
      </c>
      <c r="O213" s="11" t="n">
        <v>0</v>
      </c>
      <c r="P213" s="11" t="n">
        <v>0</v>
      </c>
      <c r="Q213" s="11" t="n">
        <v>0</v>
      </c>
      <c r="R213" s="11" t="n">
        <v>2</v>
      </c>
      <c r="S213" s="11" t="n">
        <v>34.767</v>
      </c>
      <c r="T213" s="11" t="n">
        <f aca="false">SUM(N213:S213)</f>
        <v>42.412</v>
      </c>
      <c r="U213" s="11" t="n">
        <v>0</v>
      </c>
      <c r="V213" s="11" t="n">
        <v>0</v>
      </c>
      <c r="W213" s="11" t="n">
        <v>50</v>
      </c>
      <c r="X213" s="11" t="n">
        <v>20.145</v>
      </c>
      <c r="Y213" s="11" t="n">
        <v>23.12</v>
      </c>
      <c r="Z213" s="11" t="n">
        <v>10.4</v>
      </c>
      <c r="AA213" s="11" t="n">
        <f aca="false">SUM(U213:Z213)</f>
        <v>103.665</v>
      </c>
      <c r="AB213" s="11" t="n">
        <v>0</v>
      </c>
      <c r="AC213" s="11" t="n">
        <v>0</v>
      </c>
      <c r="AD213" s="11" t="n">
        <v>12.4</v>
      </c>
      <c r="AE213" s="11" t="n">
        <v>5.645</v>
      </c>
      <c r="AF213" s="11" t="n">
        <v>6.13</v>
      </c>
      <c r="AG213" s="11" t="n">
        <v>5.545</v>
      </c>
      <c r="AH213" s="11" t="n">
        <f aca="false">SUM(AB213:AG213)</f>
        <v>29.72</v>
      </c>
      <c r="AI213" s="12" t="s">
        <v>71</v>
      </c>
    </row>
    <row r="214" customFormat="false" ht="15" hidden="false" customHeight="false" outlineLevel="0" collapsed="false">
      <c r="A214" s="8" t="s">
        <v>492</v>
      </c>
      <c r="B214" s="12" t="s">
        <v>493</v>
      </c>
      <c r="C214" s="8" t="s">
        <v>410</v>
      </c>
      <c r="D214" s="12" t="s">
        <v>411</v>
      </c>
      <c r="E214" s="10" t="str">
        <f aca="true">IFERROR(IF(INDEX(INDIRECT("'"&amp;$AI214&amp;"'!$E$2:$E$320"),MATCH($A214,INDIRECT("'"&amp;$AI214&amp;"'!$A$2:$A$320"),0))="","",INDEX(INDIRECT("'"&amp;$AI214&amp;"'!$E$2:$E$320"),MATCH($A214,INDIRECT("'"&amp;$AI214&amp;"'!$A$2:$A$320"),0))),"")</f>
        <v/>
      </c>
      <c r="F214" s="9" t="str">
        <f aca="false">IF($E214="","",IFERROR(INDEX(担当者マスタ!$B$2:$B$101,MATCH($E214,担当者マスタ!$A$2:$A$101,0)),"※マスタ未登録"))</f>
        <v/>
      </c>
      <c r="G214" s="11" t="n">
        <v>0</v>
      </c>
      <c r="H214" s="11" t="n">
        <v>0</v>
      </c>
      <c r="I214" s="11" t="n">
        <v>5.232</v>
      </c>
      <c r="J214" s="11" t="n">
        <v>0</v>
      </c>
      <c r="K214" s="11" t="n">
        <v>0</v>
      </c>
      <c r="L214" s="11" t="n">
        <v>0</v>
      </c>
      <c r="M214" s="11" t="n">
        <f aca="false">SUM(G214:L214)</f>
        <v>5.232</v>
      </c>
      <c r="N214" s="11" t="n">
        <v>0</v>
      </c>
      <c r="O214" s="11" t="n">
        <v>0</v>
      </c>
      <c r="P214" s="11" t="n">
        <v>1.333</v>
      </c>
      <c r="Q214" s="11" t="n">
        <v>0</v>
      </c>
      <c r="R214" s="11" t="n">
        <v>0</v>
      </c>
      <c r="S214" s="11" t="n">
        <v>0</v>
      </c>
      <c r="T214" s="11" t="n">
        <f aca="false">SUM(N214:S214)</f>
        <v>1.333</v>
      </c>
      <c r="U214" s="11" t="n">
        <v>0</v>
      </c>
      <c r="V214" s="11" t="n">
        <v>0</v>
      </c>
      <c r="W214" s="11" t="n">
        <v>0</v>
      </c>
      <c r="X214" s="11" t="n">
        <v>1.565</v>
      </c>
      <c r="Y214" s="11" t="n">
        <v>2.092</v>
      </c>
      <c r="Z214" s="11" t="n">
        <v>0</v>
      </c>
      <c r="AA214" s="11" t="n">
        <f aca="false">SUM(U214:Z214)</f>
        <v>3.657</v>
      </c>
      <c r="AB214" s="11" t="n">
        <v>0</v>
      </c>
      <c r="AC214" s="11" t="n">
        <v>0</v>
      </c>
      <c r="AD214" s="11" t="n">
        <v>0</v>
      </c>
      <c r="AE214" s="11" t="n">
        <v>0.395</v>
      </c>
      <c r="AF214" s="11" t="n">
        <v>0.528</v>
      </c>
      <c r="AG214" s="11" t="n">
        <v>0</v>
      </c>
      <c r="AH214" s="11" t="n">
        <f aca="false">SUM(AB214:AG214)</f>
        <v>0.923</v>
      </c>
      <c r="AI214" s="12" t="s">
        <v>71</v>
      </c>
    </row>
    <row r="215" customFormat="false" ht="15" hidden="false" customHeight="false" outlineLevel="0" collapsed="false">
      <c r="A215" s="8" t="s">
        <v>494</v>
      </c>
      <c r="B215" s="12" t="s">
        <v>495</v>
      </c>
      <c r="C215" s="8" t="s">
        <v>410</v>
      </c>
      <c r="D215" s="12" t="s">
        <v>411</v>
      </c>
      <c r="E215" s="10" t="str">
        <f aca="true">IFERROR(IF(INDEX(INDIRECT("'"&amp;$AI215&amp;"'!$E$2:$E$320"),MATCH($A215,INDIRECT("'"&amp;$AI215&amp;"'!$A$2:$A$320"),0))="","",INDEX(INDIRECT("'"&amp;$AI215&amp;"'!$E$2:$E$320"),MATCH($A215,INDIRECT("'"&amp;$AI215&amp;"'!$A$2:$A$320"),0))),"")</f>
        <v/>
      </c>
      <c r="F215" s="9" t="str">
        <f aca="false">IF($E215="","",IFERROR(INDEX(担当者マスタ!$B$2:$B$101,MATCH($E215,担当者マスタ!$A$2:$A$101,0)),"※マスタ未登録"))</f>
        <v/>
      </c>
      <c r="G215" s="11" t="n">
        <v>19.93</v>
      </c>
      <c r="H215" s="11" t="n">
        <v>16.425</v>
      </c>
      <c r="I215" s="11" t="n">
        <v>30.025</v>
      </c>
      <c r="J215" s="11" t="n">
        <v>29.555</v>
      </c>
      <c r="K215" s="11" t="n">
        <v>16.39</v>
      </c>
      <c r="L215" s="11" t="n">
        <v>25.791</v>
      </c>
      <c r="M215" s="11" t="n">
        <f aca="false">SUM(G215:L215)</f>
        <v>138.116</v>
      </c>
      <c r="N215" s="11" t="n">
        <v>4.484</v>
      </c>
      <c r="O215" s="11" t="n">
        <v>3.848</v>
      </c>
      <c r="P215" s="11" t="n">
        <v>7.619</v>
      </c>
      <c r="Q215" s="11" t="n">
        <v>7.723</v>
      </c>
      <c r="R215" s="11" t="n">
        <v>4.323</v>
      </c>
      <c r="S215" s="11" t="n">
        <v>7.876</v>
      </c>
      <c r="T215" s="11" t="n">
        <f aca="false">SUM(N215:S215)</f>
        <v>35.873</v>
      </c>
      <c r="U215" s="11" t="n">
        <v>24.26</v>
      </c>
      <c r="V215" s="11" t="n">
        <v>22.178</v>
      </c>
      <c r="W215" s="11" t="n">
        <v>19.625</v>
      </c>
      <c r="X215" s="11" t="n">
        <v>27.59</v>
      </c>
      <c r="Y215" s="11" t="n">
        <v>25.372</v>
      </c>
      <c r="Z215" s="11" t="n">
        <v>11.51</v>
      </c>
      <c r="AA215" s="11" t="n">
        <f aca="false">SUM(U215:Z215)</f>
        <v>130.535</v>
      </c>
      <c r="AB215" s="11" t="n">
        <v>6.521</v>
      </c>
      <c r="AC215" s="11" t="n">
        <v>6.966</v>
      </c>
      <c r="AD215" s="11" t="n">
        <v>5.302</v>
      </c>
      <c r="AE215" s="11" t="n">
        <v>6.682</v>
      </c>
      <c r="AF215" s="11" t="n">
        <v>6.953</v>
      </c>
      <c r="AG215" s="11" t="n">
        <v>3.187</v>
      </c>
      <c r="AH215" s="11" t="n">
        <f aca="false">SUM(AB215:AG215)</f>
        <v>35.611</v>
      </c>
      <c r="AI215" s="12" t="s">
        <v>71</v>
      </c>
    </row>
    <row r="216" customFormat="false" ht="15" hidden="false" customHeight="false" outlineLevel="0" collapsed="false">
      <c r="A216" s="8" t="s">
        <v>496</v>
      </c>
      <c r="B216" s="12" t="s">
        <v>497</v>
      </c>
      <c r="C216" s="8" t="s">
        <v>410</v>
      </c>
      <c r="D216" s="12" t="s">
        <v>411</v>
      </c>
      <c r="E216" s="10" t="str">
        <f aca="true">IFERROR(IF(INDEX(INDIRECT("'"&amp;$AI216&amp;"'!$E$2:$E$320"),MATCH($A216,INDIRECT("'"&amp;$AI216&amp;"'!$A$2:$A$320"),0))="","",INDEX(INDIRECT("'"&amp;$AI216&amp;"'!$E$2:$E$320"),MATCH($A216,INDIRECT("'"&amp;$AI216&amp;"'!$A$2:$A$320"),0))),"")</f>
        <v/>
      </c>
      <c r="F216" s="9" t="str">
        <f aca="false">IF($E216="","",IFERROR(INDEX(担当者マスタ!$B$2:$B$101,MATCH($E216,担当者マスタ!$A$2:$A$101,0)),"※マスタ未登録"))</f>
        <v/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f aca="false">SUM(G216:L216)</f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f aca="false">SUM(N216:S216)</f>
        <v>0</v>
      </c>
      <c r="U216" s="11" t="n">
        <v>12.8</v>
      </c>
      <c r="V216" s="11" t="n">
        <v>0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f aca="false">SUM(U216:Z216)</f>
        <v>12.8</v>
      </c>
      <c r="AB216" s="11" t="n">
        <v>4.08</v>
      </c>
      <c r="AC216" s="11" t="n">
        <v>0</v>
      </c>
      <c r="AD216" s="11" t="n">
        <v>0</v>
      </c>
      <c r="AE216" s="11" t="n">
        <v>0</v>
      </c>
      <c r="AF216" s="11" t="n">
        <v>0</v>
      </c>
      <c r="AG216" s="11" t="n">
        <v>0</v>
      </c>
      <c r="AH216" s="11" t="n">
        <f aca="false">SUM(AB216:AG216)</f>
        <v>4.08</v>
      </c>
      <c r="AI216" s="12" t="s">
        <v>71</v>
      </c>
    </row>
    <row r="217" customFormat="false" ht="15" hidden="false" customHeight="false" outlineLevel="0" collapsed="false">
      <c r="A217" s="8" t="s">
        <v>498</v>
      </c>
      <c r="B217" s="12" t="s">
        <v>499</v>
      </c>
      <c r="C217" s="8" t="s">
        <v>410</v>
      </c>
      <c r="D217" s="12" t="s">
        <v>411</v>
      </c>
      <c r="E217" s="10" t="str">
        <f aca="true">IFERROR(IF(INDEX(INDIRECT("'"&amp;$AI217&amp;"'!$E$2:$E$320"),MATCH($A217,INDIRECT("'"&amp;$AI217&amp;"'!$A$2:$A$320"),0))="","",INDEX(INDIRECT("'"&amp;$AI217&amp;"'!$E$2:$E$320"),MATCH($A217,INDIRECT("'"&amp;$AI217&amp;"'!$A$2:$A$320"),0))),"")</f>
        <v/>
      </c>
      <c r="F217" s="9" t="str">
        <f aca="false">IF($E217="","",IFERROR(INDEX(担当者マスタ!$B$2:$B$101,MATCH($E217,担当者マスタ!$A$2:$A$101,0)),"※マスタ未登録"))</f>
        <v/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24.68</v>
      </c>
      <c r="L217" s="11" t="n">
        <v>0</v>
      </c>
      <c r="M217" s="11" t="n">
        <f aca="false">SUM(G217:L217)</f>
        <v>24.68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7.61</v>
      </c>
      <c r="S217" s="11" t="n">
        <v>0</v>
      </c>
      <c r="T217" s="11" t="n">
        <f aca="false">SUM(N217:S217)</f>
        <v>7.61</v>
      </c>
      <c r="U217" s="11" t="n">
        <v>0</v>
      </c>
      <c r="V217" s="11" t="n">
        <v>10.934</v>
      </c>
      <c r="W217" s="11" t="n">
        <v>0</v>
      </c>
      <c r="X217" s="11" t="n">
        <v>20.688</v>
      </c>
      <c r="Y217" s="11" t="n">
        <v>88.96</v>
      </c>
      <c r="Z217" s="11" t="n">
        <v>2.21</v>
      </c>
      <c r="AA217" s="11" t="n">
        <f aca="false">SUM(U217:Z217)</f>
        <v>122.792</v>
      </c>
      <c r="AB217" s="11" t="n">
        <v>0</v>
      </c>
      <c r="AC217" s="11" t="n">
        <v>2.466</v>
      </c>
      <c r="AD217" s="11" t="n">
        <v>0</v>
      </c>
      <c r="AE217" s="11" t="n">
        <v>7.284</v>
      </c>
      <c r="AF217" s="11" t="n">
        <v>23</v>
      </c>
      <c r="AG217" s="11" t="n">
        <v>0.664</v>
      </c>
      <c r="AH217" s="11" t="n">
        <f aca="false">SUM(AB217:AG217)</f>
        <v>33.414</v>
      </c>
      <c r="AI217" s="12" t="s">
        <v>71</v>
      </c>
    </row>
    <row r="218" customFormat="false" ht="15" hidden="false" customHeight="false" outlineLevel="0" collapsed="false">
      <c r="A218" s="8" t="s">
        <v>500</v>
      </c>
      <c r="B218" s="12" t="s">
        <v>501</v>
      </c>
      <c r="C218" s="8" t="s">
        <v>410</v>
      </c>
      <c r="D218" s="12" t="s">
        <v>411</v>
      </c>
      <c r="E218" s="10" t="str">
        <f aca="true">IFERROR(IF(INDEX(INDIRECT("'"&amp;$AI218&amp;"'!$E$2:$E$320"),MATCH($A218,INDIRECT("'"&amp;$AI218&amp;"'!$A$2:$A$320"),0))="","",INDEX(INDIRECT("'"&amp;$AI218&amp;"'!$E$2:$E$320"),MATCH($A218,INDIRECT("'"&amp;$AI218&amp;"'!$A$2:$A$320"),0))),"")</f>
        <v/>
      </c>
      <c r="F218" s="9" t="str">
        <f aca="false">IF($E218="","",IFERROR(INDEX(担当者マスタ!$B$2:$B$101,MATCH($E218,担当者マスタ!$A$2:$A$101,0)),"※マスタ未登録"))</f>
        <v/>
      </c>
      <c r="G218" s="11" t="n">
        <v>0</v>
      </c>
      <c r="H218" s="11" t="n">
        <v>45.54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f aca="false">SUM(G218:L218)</f>
        <v>45.54</v>
      </c>
      <c r="N218" s="11" t="n">
        <v>0</v>
      </c>
      <c r="O218" s="11" t="n">
        <v>13.845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f aca="false">SUM(N218:S218)</f>
        <v>13.845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f aca="false">SUM(U218:Z218)</f>
        <v>0</v>
      </c>
      <c r="AB218" s="11" t="n">
        <v>0</v>
      </c>
      <c r="AC218" s="11" t="n">
        <v>0</v>
      </c>
      <c r="AD218" s="11" t="n">
        <v>0</v>
      </c>
      <c r="AE218" s="11" t="n">
        <v>0</v>
      </c>
      <c r="AF218" s="11" t="n">
        <v>0</v>
      </c>
      <c r="AG218" s="11" t="n">
        <v>0</v>
      </c>
      <c r="AH218" s="11" t="n">
        <f aca="false">SUM(AB218:AG218)</f>
        <v>0</v>
      </c>
      <c r="AI218" s="12" t="s">
        <v>71</v>
      </c>
    </row>
    <row r="219" customFormat="false" ht="15" hidden="false" customHeight="false" outlineLevel="0" collapsed="false">
      <c r="A219" s="8" t="s">
        <v>502</v>
      </c>
      <c r="B219" s="12" t="s">
        <v>503</v>
      </c>
      <c r="C219" s="8" t="s">
        <v>410</v>
      </c>
      <c r="D219" s="12" t="s">
        <v>411</v>
      </c>
      <c r="E219" s="10" t="str">
        <f aca="true">IFERROR(IF(INDEX(INDIRECT("'"&amp;$AI219&amp;"'!$E$2:$E$320"),MATCH($A219,INDIRECT("'"&amp;$AI219&amp;"'!$A$2:$A$320"),0))="","",INDEX(INDIRECT("'"&amp;$AI219&amp;"'!$E$2:$E$320"),MATCH($A219,INDIRECT("'"&amp;$AI219&amp;"'!$A$2:$A$320"),0))),"")</f>
        <v/>
      </c>
      <c r="F219" s="9" t="str">
        <f aca="false">IF($E219="","",IFERROR(INDEX(担当者マスタ!$B$2:$B$101,MATCH($E219,担当者マスタ!$A$2:$A$101,0)),"※マスタ未登録"))</f>
        <v/>
      </c>
      <c r="G219" s="11" t="n">
        <v>0</v>
      </c>
      <c r="H219" s="11" t="n">
        <v>0</v>
      </c>
      <c r="I219" s="11" t="n">
        <v>0</v>
      </c>
      <c r="J219" s="11" t="n">
        <v>124.471</v>
      </c>
      <c r="K219" s="11" t="n">
        <v>0</v>
      </c>
      <c r="L219" s="11" t="n">
        <v>126.444</v>
      </c>
      <c r="M219" s="11" t="n">
        <f aca="false">SUM(G219:L219)</f>
        <v>250.915</v>
      </c>
      <c r="N219" s="11" t="n">
        <v>0</v>
      </c>
      <c r="O219" s="11" t="n">
        <v>0</v>
      </c>
      <c r="P219" s="11" t="n">
        <v>0</v>
      </c>
      <c r="Q219" s="11" t="n">
        <v>37.338</v>
      </c>
      <c r="R219" s="11" t="n">
        <v>0</v>
      </c>
      <c r="S219" s="11" t="n">
        <v>38.209</v>
      </c>
      <c r="T219" s="11" t="n">
        <f aca="false">SUM(N219:S219)</f>
        <v>75.547</v>
      </c>
      <c r="U219" s="11" t="n">
        <v>0</v>
      </c>
      <c r="V219" s="11" t="n">
        <v>8.214</v>
      </c>
      <c r="W219" s="11" t="n">
        <v>0</v>
      </c>
      <c r="X219" s="11" t="n">
        <v>4.493</v>
      </c>
      <c r="Y219" s="11" t="n">
        <v>20.6</v>
      </c>
      <c r="Z219" s="11" t="n">
        <v>4.781</v>
      </c>
      <c r="AA219" s="11" t="n">
        <f aca="false">SUM(U219:Z219)</f>
        <v>38.088</v>
      </c>
      <c r="AB219" s="11" t="n">
        <v>0</v>
      </c>
      <c r="AC219" s="11" t="n">
        <v>2.466</v>
      </c>
      <c r="AD219" s="11" t="n">
        <v>0</v>
      </c>
      <c r="AE219" s="11" t="n">
        <v>1.294</v>
      </c>
      <c r="AF219" s="11" t="n">
        <v>6.189</v>
      </c>
      <c r="AG219" s="11" t="n">
        <v>1.576</v>
      </c>
      <c r="AH219" s="11" t="n">
        <f aca="false">SUM(AB219:AG219)</f>
        <v>11.525</v>
      </c>
      <c r="AI219" s="12" t="s">
        <v>71</v>
      </c>
    </row>
    <row r="220" customFormat="false" ht="15" hidden="false" customHeight="false" outlineLevel="0" collapsed="false">
      <c r="A220" s="8" t="s">
        <v>504</v>
      </c>
      <c r="B220" s="12" t="s">
        <v>505</v>
      </c>
      <c r="C220" s="8" t="s">
        <v>410</v>
      </c>
      <c r="D220" s="12" t="s">
        <v>411</v>
      </c>
      <c r="E220" s="10" t="str">
        <f aca="true">IFERROR(IF(INDEX(INDIRECT("'"&amp;$AI220&amp;"'!$E$2:$E$320"),MATCH($A220,INDIRECT("'"&amp;$AI220&amp;"'!$A$2:$A$320"),0))="","",INDEX(INDIRECT("'"&amp;$AI220&amp;"'!$E$2:$E$320"),MATCH($A220,INDIRECT("'"&amp;$AI220&amp;"'!$A$2:$A$320"),0))),"")</f>
        <v/>
      </c>
      <c r="F220" s="9" t="str">
        <f aca="false">IF($E220="","",IFERROR(INDEX(担当者マスタ!$B$2:$B$101,MATCH($E220,担当者マスタ!$A$2:$A$101,0)),"※マスタ未登録"))</f>
        <v/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f aca="false">SUM(G220:L220)</f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f aca="false">SUM(N220:S220)</f>
        <v>0</v>
      </c>
      <c r="U220" s="11" t="n">
        <v>3.37</v>
      </c>
      <c r="V220" s="11" t="n">
        <v>1.83</v>
      </c>
      <c r="W220" s="11" t="n">
        <v>3.42</v>
      </c>
      <c r="X220" s="11" t="n">
        <v>3.37</v>
      </c>
      <c r="Y220" s="11" t="n">
        <v>10.75</v>
      </c>
      <c r="Z220" s="11" t="n">
        <v>3.66</v>
      </c>
      <c r="AA220" s="11" t="n">
        <f aca="false">SUM(U220:Z220)</f>
        <v>26.4</v>
      </c>
      <c r="AB220" s="11" t="n">
        <v>1.007</v>
      </c>
      <c r="AC220" s="11" t="n">
        <v>0.545</v>
      </c>
      <c r="AD220" s="11" t="n">
        <v>1.016</v>
      </c>
      <c r="AE220" s="11" t="n">
        <v>1.007</v>
      </c>
      <c r="AF220" s="11" t="n">
        <v>3.018</v>
      </c>
      <c r="AG220" s="11" t="n">
        <v>1.09</v>
      </c>
      <c r="AH220" s="11" t="n">
        <f aca="false">SUM(AB220:AG220)</f>
        <v>7.683</v>
      </c>
      <c r="AI220" s="12" t="s">
        <v>71</v>
      </c>
    </row>
    <row r="221" customFormat="false" ht="15" hidden="false" customHeight="false" outlineLevel="0" collapsed="false">
      <c r="A221" s="8" t="s">
        <v>506</v>
      </c>
      <c r="B221" s="12" t="s">
        <v>507</v>
      </c>
      <c r="C221" s="8" t="s">
        <v>410</v>
      </c>
      <c r="D221" s="12" t="s">
        <v>411</v>
      </c>
      <c r="E221" s="10" t="str">
        <f aca="true">IFERROR(IF(INDEX(INDIRECT("'"&amp;$AI221&amp;"'!$E$2:$E$320"),MATCH($A221,INDIRECT("'"&amp;$AI221&amp;"'!$A$2:$A$320"),0))="","",INDEX(INDIRECT("'"&amp;$AI221&amp;"'!$E$2:$E$320"),MATCH($A221,INDIRECT("'"&amp;$AI221&amp;"'!$A$2:$A$320"),0))),"")</f>
        <v/>
      </c>
      <c r="F221" s="9" t="str">
        <f aca="false">IF($E221="","",IFERROR(INDEX(担当者マスタ!$B$2:$B$101,MATCH($E221,担当者マスタ!$A$2:$A$101,0)),"※マスタ未登録"))</f>
        <v/>
      </c>
      <c r="G221" s="11" t="n">
        <v>43.516</v>
      </c>
      <c r="H221" s="11" t="n">
        <v>75.199</v>
      </c>
      <c r="I221" s="11" t="n">
        <v>140.454</v>
      </c>
      <c r="J221" s="11" t="n">
        <v>98.919</v>
      </c>
      <c r="K221" s="11" t="n">
        <v>82.03</v>
      </c>
      <c r="L221" s="11" t="n">
        <v>65.41</v>
      </c>
      <c r="M221" s="11" t="n">
        <f aca="false">SUM(G221:L221)</f>
        <v>505.528</v>
      </c>
      <c r="N221" s="11" t="n">
        <v>17.409</v>
      </c>
      <c r="O221" s="11" t="n">
        <v>23.563</v>
      </c>
      <c r="P221" s="11" t="n">
        <v>53.586</v>
      </c>
      <c r="Q221" s="11" t="n">
        <v>34.053</v>
      </c>
      <c r="R221" s="11" t="n">
        <v>25.605</v>
      </c>
      <c r="S221" s="11" t="n">
        <v>25.116</v>
      </c>
      <c r="T221" s="11" t="n">
        <f aca="false">SUM(N221:S221)</f>
        <v>179.332</v>
      </c>
      <c r="U221" s="11" t="n">
        <v>25.366</v>
      </c>
      <c r="V221" s="11" t="n">
        <v>116.719</v>
      </c>
      <c r="W221" s="11" t="n">
        <v>221.124</v>
      </c>
      <c r="X221" s="11" t="n">
        <v>64.695</v>
      </c>
      <c r="Y221" s="11" t="n">
        <v>77.11</v>
      </c>
      <c r="Z221" s="11" t="n">
        <v>47.564</v>
      </c>
      <c r="AA221" s="11" t="n">
        <f aca="false">SUM(U221:Z221)</f>
        <v>552.578</v>
      </c>
      <c r="AB221" s="11" t="n">
        <v>9.017</v>
      </c>
      <c r="AC221" s="11" t="n">
        <v>37.518</v>
      </c>
      <c r="AD221" s="11" t="n">
        <v>78.747</v>
      </c>
      <c r="AE221" s="11" t="n">
        <v>22.921</v>
      </c>
      <c r="AF221" s="11" t="n">
        <v>21.969</v>
      </c>
      <c r="AG221" s="11" t="n">
        <v>14.467</v>
      </c>
      <c r="AH221" s="11" t="n">
        <f aca="false">SUM(AB221:AG221)</f>
        <v>184.639</v>
      </c>
      <c r="AI221" s="12" t="s">
        <v>71</v>
      </c>
    </row>
    <row r="222" customFormat="false" ht="15" hidden="false" customHeight="false" outlineLevel="0" collapsed="false">
      <c r="A222" s="8" t="s">
        <v>508</v>
      </c>
      <c r="B222" s="12" t="s">
        <v>509</v>
      </c>
      <c r="C222" s="8" t="s">
        <v>410</v>
      </c>
      <c r="D222" s="12" t="s">
        <v>411</v>
      </c>
      <c r="E222" s="10" t="str">
        <f aca="true">IFERROR(IF(INDEX(INDIRECT("'"&amp;$AI222&amp;"'!$E$2:$E$320"),MATCH($A222,INDIRECT("'"&amp;$AI222&amp;"'!$A$2:$A$320"),0))="","",INDEX(INDIRECT("'"&amp;$AI222&amp;"'!$E$2:$E$320"),MATCH($A222,INDIRECT("'"&amp;$AI222&amp;"'!$A$2:$A$320"),0))),"")</f>
        <v/>
      </c>
      <c r="F222" s="9" t="str">
        <f aca="false">IF($E222="","",IFERROR(INDEX(担当者マスタ!$B$2:$B$101,MATCH($E222,担当者マスタ!$A$2:$A$101,0)),"※マスタ未登録"))</f>
        <v/>
      </c>
      <c r="G222" s="11" t="n">
        <v>53.703</v>
      </c>
      <c r="H222" s="11" t="n">
        <v>66.1</v>
      </c>
      <c r="I222" s="11" t="n">
        <v>74.498</v>
      </c>
      <c r="J222" s="11" t="n">
        <v>46.268</v>
      </c>
      <c r="K222" s="11" t="n">
        <v>20.177</v>
      </c>
      <c r="L222" s="11" t="n">
        <v>67.365</v>
      </c>
      <c r="M222" s="11" t="n">
        <f aca="false">SUM(G222:L222)</f>
        <v>328.111</v>
      </c>
      <c r="N222" s="11" t="n">
        <v>13.166</v>
      </c>
      <c r="O222" s="11" t="n">
        <v>15.13</v>
      </c>
      <c r="P222" s="11" t="n">
        <v>20.588</v>
      </c>
      <c r="Q222" s="11" t="n">
        <v>11.978</v>
      </c>
      <c r="R222" s="11" t="n">
        <v>4.862</v>
      </c>
      <c r="S222" s="11" t="n">
        <v>21.45</v>
      </c>
      <c r="T222" s="11" t="n">
        <f aca="false">SUM(N222:S222)</f>
        <v>87.174</v>
      </c>
      <c r="U222" s="11" t="n">
        <v>45.218</v>
      </c>
      <c r="V222" s="11" t="n">
        <v>89.954</v>
      </c>
      <c r="W222" s="11" t="n">
        <v>20.208</v>
      </c>
      <c r="X222" s="11" t="n">
        <v>113.548</v>
      </c>
      <c r="Y222" s="11" t="n">
        <v>32.652</v>
      </c>
      <c r="Z222" s="11" t="n">
        <v>25.16</v>
      </c>
      <c r="AA222" s="11" t="n">
        <f aca="false">SUM(U222:Z222)</f>
        <v>326.74</v>
      </c>
      <c r="AB222" s="11" t="n">
        <v>13.688</v>
      </c>
      <c r="AC222" s="11" t="n">
        <v>25.324</v>
      </c>
      <c r="AD222" s="11" t="n">
        <v>6.098</v>
      </c>
      <c r="AE222" s="11" t="n">
        <v>35.568</v>
      </c>
      <c r="AF222" s="11" t="n">
        <v>10.392</v>
      </c>
      <c r="AG222" s="11" t="n">
        <v>9.56</v>
      </c>
      <c r="AH222" s="11" t="n">
        <f aca="false">SUM(AB222:AG222)</f>
        <v>100.63</v>
      </c>
      <c r="AI222" s="12" t="s">
        <v>71</v>
      </c>
    </row>
    <row r="223" customFormat="false" ht="15" hidden="false" customHeight="false" outlineLevel="0" collapsed="false">
      <c r="A223" s="8" t="s">
        <v>510</v>
      </c>
      <c r="B223" s="12" t="s">
        <v>511</v>
      </c>
      <c r="C223" s="8" t="s">
        <v>410</v>
      </c>
      <c r="D223" s="12" t="s">
        <v>411</v>
      </c>
      <c r="E223" s="10" t="str">
        <f aca="true">IFERROR(IF(INDEX(INDIRECT("'"&amp;$AI223&amp;"'!$E$2:$E$320"),MATCH($A223,INDIRECT("'"&amp;$AI223&amp;"'!$A$2:$A$320"),0))="","",INDEX(INDIRECT("'"&amp;$AI223&amp;"'!$E$2:$E$320"),MATCH($A223,INDIRECT("'"&amp;$AI223&amp;"'!$A$2:$A$320"),0))),"")</f>
        <v/>
      </c>
      <c r="F223" s="9" t="str">
        <f aca="false">IF($E223="","",IFERROR(INDEX(担当者マスタ!$B$2:$B$101,MATCH($E223,担当者マスタ!$A$2:$A$101,0)),"※マスタ未登録"))</f>
        <v/>
      </c>
      <c r="G223" s="11" t="n">
        <v>22.648</v>
      </c>
      <c r="H223" s="11" t="n">
        <v>0</v>
      </c>
      <c r="I223" s="11" t="n">
        <v>0</v>
      </c>
      <c r="J223" s="11" t="n">
        <v>0</v>
      </c>
      <c r="K223" s="11" t="n">
        <v>52.146</v>
      </c>
      <c r="L223" s="11" t="n">
        <v>0</v>
      </c>
      <c r="M223" s="11" t="n">
        <f aca="false">SUM(G223:L223)</f>
        <v>74.794</v>
      </c>
      <c r="N223" s="11" t="n">
        <v>5.056</v>
      </c>
      <c r="O223" s="11" t="n">
        <v>0</v>
      </c>
      <c r="P223" s="11" t="n">
        <v>0</v>
      </c>
      <c r="Q223" s="11" t="n">
        <v>0</v>
      </c>
      <c r="R223" s="11" t="n">
        <v>12.241</v>
      </c>
      <c r="S223" s="11" t="n">
        <v>0</v>
      </c>
      <c r="T223" s="11" t="n">
        <f aca="false">SUM(N223:S223)</f>
        <v>17.297</v>
      </c>
      <c r="U223" s="11" t="n">
        <v>0</v>
      </c>
      <c r="V223" s="11" t="n">
        <v>10.39</v>
      </c>
      <c r="W223" s="11" t="n">
        <v>0</v>
      </c>
      <c r="X223" s="11" t="n">
        <v>0</v>
      </c>
      <c r="Y223" s="11" t="n">
        <v>22.648</v>
      </c>
      <c r="Z223" s="11" t="n">
        <v>8.28</v>
      </c>
      <c r="AA223" s="11" t="n">
        <f aca="false">SUM(U223:Z223)</f>
        <v>41.318</v>
      </c>
      <c r="AB223" s="11" t="n">
        <v>0</v>
      </c>
      <c r="AC223" s="11" t="n">
        <v>3.445</v>
      </c>
      <c r="AD223" s="11" t="n">
        <v>0</v>
      </c>
      <c r="AE223" s="11" t="n">
        <v>0</v>
      </c>
      <c r="AF223" s="11" t="n">
        <v>5.056</v>
      </c>
      <c r="AG223" s="11" t="n">
        <v>2.07</v>
      </c>
      <c r="AH223" s="11" t="n">
        <f aca="false">SUM(AB223:AG223)</f>
        <v>10.571</v>
      </c>
      <c r="AI223" s="12" t="s">
        <v>71</v>
      </c>
    </row>
    <row r="224" customFormat="false" ht="15" hidden="false" customHeight="false" outlineLevel="0" collapsed="false">
      <c r="A224" s="8" t="s">
        <v>512</v>
      </c>
      <c r="B224" s="12" t="s">
        <v>513</v>
      </c>
      <c r="C224" s="8" t="s">
        <v>410</v>
      </c>
      <c r="D224" s="12" t="s">
        <v>411</v>
      </c>
      <c r="E224" s="10" t="str">
        <f aca="true">IFERROR(IF(INDEX(INDIRECT("'"&amp;$AI224&amp;"'!$E$2:$E$320"),MATCH($A224,INDIRECT("'"&amp;$AI224&amp;"'!$A$2:$A$320"),0))="","",INDEX(INDIRECT("'"&amp;$AI224&amp;"'!$E$2:$E$320"),MATCH($A224,INDIRECT("'"&amp;$AI224&amp;"'!$A$2:$A$320"),0))),"")</f>
        <v/>
      </c>
      <c r="F224" s="9" t="str">
        <f aca="false">IF($E224="","",IFERROR(INDEX(担当者マスタ!$B$2:$B$101,MATCH($E224,担当者マスタ!$A$2:$A$101,0)),"※マスタ未登録"))</f>
        <v/>
      </c>
      <c r="G224" s="11" t="n">
        <v>30.919</v>
      </c>
      <c r="H224" s="11" t="n">
        <v>34.099</v>
      </c>
      <c r="I224" s="11" t="n">
        <v>90.431</v>
      </c>
      <c r="J224" s="11" t="n">
        <v>9.192</v>
      </c>
      <c r="K224" s="11" t="n">
        <v>13.414</v>
      </c>
      <c r="L224" s="11" t="n">
        <v>1.857</v>
      </c>
      <c r="M224" s="11" t="n">
        <f aca="false">SUM(G224:L224)</f>
        <v>179.912</v>
      </c>
      <c r="N224" s="11" t="n">
        <v>7.718</v>
      </c>
      <c r="O224" s="11" t="n">
        <v>8.794</v>
      </c>
      <c r="P224" s="11" t="n">
        <v>18.719</v>
      </c>
      <c r="Q224" s="11" t="n">
        <v>2.297</v>
      </c>
      <c r="R224" s="11" t="n">
        <v>3.377</v>
      </c>
      <c r="S224" s="11" t="n">
        <v>0.417</v>
      </c>
      <c r="T224" s="11" t="n">
        <f aca="false">SUM(N224:S224)</f>
        <v>41.322</v>
      </c>
      <c r="U224" s="11" t="n">
        <v>24.183</v>
      </c>
      <c r="V224" s="11" t="n">
        <v>16.116</v>
      </c>
      <c r="W224" s="11" t="n">
        <v>150.251</v>
      </c>
      <c r="X224" s="11" t="n">
        <v>2.322</v>
      </c>
      <c r="Y224" s="11" t="n">
        <v>12.89</v>
      </c>
      <c r="Z224" s="11" t="n">
        <v>4.55</v>
      </c>
      <c r="AA224" s="11" t="n">
        <f aca="false">SUM(U224:Z224)</f>
        <v>210.312</v>
      </c>
      <c r="AB224" s="11" t="n">
        <v>5.298</v>
      </c>
      <c r="AC224" s="11" t="n">
        <v>3.476</v>
      </c>
      <c r="AD224" s="11" t="n">
        <v>31.745</v>
      </c>
      <c r="AE224" s="11" t="n">
        <v>0.582</v>
      </c>
      <c r="AF224" s="11" t="n">
        <v>2.959</v>
      </c>
      <c r="AG224" s="11" t="n">
        <v>0.874</v>
      </c>
      <c r="AH224" s="11" t="n">
        <f aca="false">SUM(AB224:AG224)</f>
        <v>44.934</v>
      </c>
      <c r="AI224" s="12" t="s">
        <v>71</v>
      </c>
    </row>
    <row r="225" customFormat="false" ht="15" hidden="false" customHeight="false" outlineLevel="0" collapsed="false">
      <c r="A225" s="8" t="s">
        <v>514</v>
      </c>
      <c r="B225" s="12" t="s">
        <v>515</v>
      </c>
      <c r="C225" s="8" t="s">
        <v>410</v>
      </c>
      <c r="D225" s="12" t="s">
        <v>411</v>
      </c>
      <c r="E225" s="10" t="str">
        <f aca="true">IFERROR(IF(INDEX(INDIRECT("'"&amp;$AI225&amp;"'!$E$2:$E$320"),MATCH($A225,INDIRECT("'"&amp;$AI225&amp;"'!$A$2:$A$320"),0))="","",INDEX(INDIRECT("'"&amp;$AI225&amp;"'!$E$2:$E$320"),MATCH($A225,INDIRECT("'"&amp;$AI225&amp;"'!$A$2:$A$320"),0))),"")</f>
        <v/>
      </c>
      <c r="F225" s="9" t="str">
        <f aca="false">IF($E225="","",IFERROR(INDEX(担当者マスタ!$B$2:$B$101,MATCH($E225,担当者マスタ!$A$2:$A$101,0)),"※マスタ未登録"))</f>
        <v/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f aca="false">SUM(G225:L225)</f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f aca="false">SUM(N225:S225)</f>
        <v>0</v>
      </c>
      <c r="U225" s="11" t="n">
        <v>0</v>
      </c>
      <c r="V225" s="11" t="n">
        <v>0</v>
      </c>
      <c r="W225" s="11" t="n">
        <v>4.65</v>
      </c>
      <c r="X225" s="11" t="n">
        <v>0</v>
      </c>
      <c r="Y225" s="11" t="n">
        <v>4.65</v>
      </c>
      <c r="Z225" s="11" t="n">
        <v>0</v>
      </c>
      <c r="AA225" s="11" t="n">
        <f aca="false">SUM(U225:Z225)</f>
        <v>9.3</v>
      </c>
      <c r="AB225" s="11" t="n">
        <v>0</v>
      </c>
      <c r="AC225" s="11" t="n">
        <v>0</v>
      </c>
      <c r="AD225" s="11" t="n">
        <v>0.72</v>
      </c>
      <c r="AE225" s="11" t="n">
        <v>0</v>
      </c>
      <c r="AF225" s="11" t="n">
        <v>0.72</v>
      </c>
      <c r="AG225" s="11" t="n">
        <v>0</v>
      </c>
      <c r="AH225" s="11" t="n">
        <f aca="false">SUM(AB225:AG225)</f>
        <v>1.44</v>
      </c>
      <c r="AI225" s="12" t="s">
        <v>71</v>
      </c>
    </row>
    <row r="226" customFormat="false" ht="15" hidden="false" customHeight="false" outlineLevel="0" collapsed="false">
      <c r="A226" s="8" t="s">
        <v>516</v>
      </c>
      <c r="B226" s="12" t="s">
        <v>517</v>
      </c>
      <c r="C226" s="8" t="s">
        <v>410</v>
      </c>
      <c r="D226" s="12" t="s">
        <v>411</v>
      </c>
      <c r="E226" s="10" t="str">
        <f aca="true">IFERROR(IF(INDEX(INDIRECT("'"&amp;$AI226&amp;"'!$E$2:$E$320"),MATCH($A226,INDIRECT("'"&amp;$AI226&amp;"'!$A$2:$A$320"),0))="","",INDEX(INDIRECT("'"&amp;$AI226&amp;"'!$E$2:$E$320"),MATCH($A226,INDIRECT("'"&amp;$AI226&amp;"'!$A$2:$A$320"),0))),"")</f>
        <v/>
      </c>
      <c r="F226" s="9" t="str">
        <f aca="false">IF($E226="","",IFERROR(INDEX(担当者マスタ!$B$2:$B$101,MATCH($E226,担当者マスタ!$A$2:$A$101,0)),"※マスタ未登録"))</f>
        <v/>
      </c>
      <c r="G226" s="11" t="n">
        <v>377.761</v>
      </c>
      <c r="H226" s="11" t="n">
        <v>279.066</v>
      </c>
      <c r="I226" s="11" t="n">
        <v>433.027</v>
      </c>
      <c r="J226" s="11" t="n">
        <v>285.277</v>
      </c>
      <c r="K226" s="11" t="n">
        <v>230.753</v>
      </c>
      <c r="L226" s="11" t="n">
        <v>395.09</v>
      </c>
      <c r="M226" s="11" t="n">
        <f aca="false">SUM(G226:L226)</f>
        <v>2000.974</v>
      </c>
      <c r="N226" s="11" t="n">
        <v>104.801</v>
      </c>
      <c r="O226" s="11" t="n">
        <v>78.158</v>
      </c>
      <c r="P226" s="11" t="n">
        <v>128.825</v>
      </c>
      <c r="Q226" s="11" t="n">
        <v>79.767</v>
      </c>
      <c r="R226" s="11" t="n">
        <v>64.646</v>
      </c>
      <c r="S226" s="11" t="n">
        <v>112.147</v>
      </c>
      <c r="T226" s="11" t="n">
        <f aca="false">SUM(N226:S226)</f>
        <v>568.344</v>
      </c>
      <c r="U226" s="11" t="n">
        <v>125.876</v>
      </c>
      <c r="V226" s="11" t="n">
        <v>144.277</v>
      </c>
      <c r="W226" s="11" t="n">
        <v>131.544</v>
      </c>
      <c r="X226" s="11" t="n">
        <v>126.693</v>
      </c>
      <c r="Y226" s="11" t="n">
        <v>100.303</v>
      </c>
      <c r="Z226" s="11" t="n">
        <v>113.373</v>
      </c>
      <c r="AA226" s="11" t="n">
        <f aca="false">SUM(U226:Z226)</f>
        <v>742.066</v>
      </c>
      <c r="AB226" s="11" t="n">
        <v>29.038</v>
      </c>
      <c r="AC226" s="11" t="n">
        <v>37.162</v>
      </c>
      <c r="AD226" s="11" t="n">
        <v>31.99</v>
      </c>
      <c r="AE226" s="11" t="n">
        <v>36.8</v>
      </c>
      <c r="AF226" s="11" t="n">
        <v>22.424</v>
      </c>
      <c r="AG226" s="11" t="n">
        <v>29.566</v>
      </c>
      <c r="AH226" s="11" t="n">
        <f aca="false">SUM(AB226:AG226)</f>
        <v>186.98</v>
      </c>
      <c r="AI226" s="12" t="s">
        <v>71</v>
      </c>
    </row>
    <row r="227" customFormat="false" ht="15" hidden="false" customHeight="false" outlineLevel="0" collapsed="false">
      <c r="A227" s="8" t="s">
        <v>518</v>
      </c>
      <c r="B227" s="12" t="s">
        <v>519</v>
      </c>
      <c r="C227" s="8" t="s">
        <v>410</v>
      </c>
      <c r="D227" s="12" t="s">
        <v>411</v>
      </c>
      <c r="E227" s="10" t="str">
        <f aca="true">IFERROR(IF(INDEX(INDIRECT("'"&amp;$AI227&amp;"'!$E$2:$E$320"),MATCH($A227,INDIRECT("'"&amp;$AI227&amp;"'!$A$2:$A$320"),0))="","",INDEX(INDIRECT("'"&amp;$AI227&amp;"'!$E$2:$E$320"),MATCH($A227,INDIRECT("'"&amp;$AI227&amp;"'!$A$2:$A$320"),0))),"")</f>
        <v/>
      </c>
      <c r="F227" s="9" t="str">
        <f aca="false">IF($E227="","",IFERROR(INDEX(担当者マスタ!$B$2:$B$101,MATCH($E227,担当者マスタ!$A$2:$A$101,0)),"※マスタ未登録"))</f>
        <v/>
      </c>
      <c r="G227" s="11" t="n">
        <v>47.108</v>
      </c>
      <c r="H227" s="11" t="n">
        <v>44.561</v>
      </c>
      <c r="I227" s="11" t="n">
        <v>88.362</v>
      </c>
      <c r="J227" s="11" t="n">
        <v>6.091</v>
      </c>
      <c r="K227" s="11" t="n">
        <v>22.222</v>
      </c>
      <c r="L227" s="11" t="n">
        <v>42.353</v>
      </c>
      <c r="M227" s="11" t="n">
        <f aca="false">SUM(G227:L227)</f>
        <v>250.697</v>
      </c>
      <c r="N227" s="11" t="n">
        <v>10.067</v>
      </c>
      <c r="O227" s="11" t="n">
        <v>9.925</v>
      </c>
      <c r="P227" s="11" t="n">
        <v>19.166</v>
      </c>
      <c r="Q227" s="11" t="n">
        <v>1.305</v>
      </c>
      <c r="R227" s="11" t="n">
        <v>4.813</v>
      </c>
      <c r="S227" s="11" t="n">
        <v>9.312</v>
      </c>
      <c r="T227" s="11" t="n">
        <f aca="false">SUM(N227:S227)</f>
        <v>54.588</v>
      </c>
      <c r="U227" s="11" t="n">
        <v>35.221</v>
      </c>
      <c r="V227" s="11" t="n">
        <v>35.732</v>
      </c>
      <c r="W227" s="11" t="n">
        <v>34.28</v>
      </c>
      <c r="X227" s="11" t="n">
        <v>26.334</v>
      </c>
      <c r="Y227" s="11" t="n">
        <v>40.541</v>
      </c>
      <c r="Z227" s="11" t="n">
        <v>35.344</v>
      </c>
      <c r="AA227" s="11" t="n">
        <f aca="false">SUM(U227:Z227)</f>
        <v>207.452</v>
      </c>
      <c r="AB227" s="11" t="n">
        <v>7.824</v>
      </c>
      <c r="AC227" s="11" t="n">
        <v>7.906</v>
      </c>
      <c r="AD227" s="11" t="n">
        <v>7.244</v>
      </c>
      <c r="AE227" s="11" t="n">
        <v>5.6</v>
      </c>
      <c r="AF227" s="11" t="n">
        <v>9.085</v>
      </c>
      <c r="AG227" s="11" t="n">
        <v>7.744</v>
      </c>
      <c r="AH227" s="11" t="n">
        <f aca="false">SUM(AB227:AG227)</f>
        <v>45.403</v>
      </c>
      <c r="AI227" s="12" t="s">
        <v>71</v>
      </c>
    </row>
    <row r="228" customFormat="false" ht="15" hidden="false" customHeight="false" outlineLevel="0" collapsed="false">
      <c r="A228" s="8" t="s">
        <v>520</v>
      </c>
      <c r="B228" s="12" t="s">
        <v>521</v>
      </c>
      <c r="C228" s="8" t="s">
        <v>410</v>
      </c>
      <c r="D228" s="12" t="s">
        <v>411</v>
      </c>
      <c r="E228" s="10" t="str">
        <f aca="true">IFERROR(IF(INDEX(INDIRECT("'"&amp;$AI228&amp;"'!$E$2:$E$320"),MATCH($A228,INDIRECT("'"&amp;$AI228&amp;"'!$A$2:$A$320"),0))="","",INDEX(INDIRECT("'"&amp;$AI228&amp;"'!$E$2:$E$320"),MATCH($A228,INDIRECT("'"&amp;$AI228&amp;"'!$A$2:$A$320"),0))),"")</f>
        <v/>
      </c>
      <c r="F228" s="9" t="str">
        <f aca="false">IF($E228="","",IFERROR(INDEX(担当者マスタ!$B$2:$B$101,MATCH($E228,担当者マスタ!$A$2:$A$101,0)),"※マスタ未登録"))</f>
        <v/>
      </c>
      <c r="G228" s="11" t="n">
        <v>26.617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f aca="false">SUM(G228:L228)</f>
        <v>26.617</v>
      </c>
      <c r="N228" s="11" t="n">
        <v>5.468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f aca="false">SUM(N228:S228)</f>
        <v>5.468</v>
      </c>
      <c r="U228" s="11" t="n">
        <v>0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f aca="false">SUM(U228:Z228)</f>
        <v>0</v>
      </c>
      <c r="AB228" s="11" t="n">
        <v>0</v>
      </c>
      <c r="AC228" s="11" t="n">
        <v>0</v>
      </c>
      <c r="AD228" s="11" t="n">
        <v>0</v>
      </c>
      <c r="AE228" s="11" t="n">
        <v>0</v>
      </c>
      <c r="AF228" s="11" t="n">
        <v>0</v>
      </c>
      <c r="AG228" s="11" t="n">
        <v>0</v>
      </c>
      <c r="AH228" s="11" t="n">
        <f aca="false">SUM(AB228:AG228)</f>
        <v>0</v>
      </c>
      <c r="AI228" s="12" t="s">
        <v>71</v>
      </c>
    </row>
    <row r="229" customFormat="false" ht="15" hidden="false" customHeight="false" outlineLevel="0" collapsed="false">
      <c r="A229" s="8" t="s">
        <v>522</v>
      </c>
      <c r="B229" s="12" t="s">
        <v>523</v>
      </c>
      <c r="C229" s="8" t="s">
        <v>410</v>
      </c>
      <c r="D229" s="12" t="s">
        <v>411</v>
      </c>
      <c r="E229" s="10" t="str">
        <f aca="true">IFERROR(IF(INDEX(INDIRECT("'"&amp;$AI229&amp;"'!$E$2:$E$320"),MATCH($A229,INDIRECT("'"&amp;$AI229&amp;"'!$A$2:$A$320"),0))="","",INDEX(INDIRECT("'"&amp;$AI229&amp;"'!$E$2:$E$320"),MATCH($A229,INDIRECT("'"&amp;$AI229&amp;"'!$A$2:$A$320"),0))),"")</f>
        <v/>
      </c>
      <c r="F229" s="9" t="str">
        <f aca="false">IF($E229="","",IFERROR(INDEX(担当者マスタ!$B$2:$B$101,MATCH($E229,担当者マスタ!$A$2:$A$101,0)),"※マスタ未登録"))</f>
        <v/>
      </c>
      <c r="G229" s="11" t="n">
        <v>33.835</v>
      </c>
      <c r="H229" s="11" t="n">
        <v>34.627</v>
      </c>
      <c r="I229" s="11" t="n">
        <v>79.634</v>
      </c>
      <c r="J229" s="11" t="n">
        <v>41.634</v>
      </c>
      <c r="K229" s="11" t="n">
        <v>45.154</v>
      </c>
      <c r="L229" s="11" t="n">
        <v>37.557</v>
      </c>
      <c r="M229" s="11" t="n">
        <f aca="false">SUM(G229:L229)</f>
        <v>272.441</v>
      </c>
      <c r="N229" s="11" t="n">
        <v>6.955</v>
      </c>
      <c r="O229" s="11" t="n">
        <v>7.483</v>
      </c>
      <c r="P229" s="11" t="n">
        <v>19.157</v>
      </c>
      <c r="Q229" s="11" t="n">
        <v>8.957</v>
      </c>
      <c r="R229" s="11" t="n">
        <v>10.047</v>
      </c>
      <c r="S229" s="11" t="n">
        <v>8.296</v>
      </c>
      <c r="T229" s="11" t="n">
        <f aca="false">SUM(N229:S229)</f>
        <v>60.895</v>
      </c>
      <c r="U229" s="11" t="n">
        <v>29.882</v>
      </c>
      <c r="V229" s="11" t="n">
        <v>32.664</v>
      </c>
      <c r="W229" s="11" t="n">
        <v>36.201</v>
      </c>
      <c r="X229" s="11" t="n">
        <v>45.788</v>
      </c>
      <c r="Y229" s="11" t="n">
        <v>38.709</v>
      </c>
      <c r="Z229" s="11" t="n">
        <v>113.252</v>
      </c>
      <c r="AA229" s="11" t="n">
        <f aca="false">SUM(U229:Z229)</f>
        <v>296.496</v>
      </c>
      <c r="AB229" s="11" t="n">
        <v>6.507</v>
      </c>
      <c r="AC229" s="11" t="n">
        <v>6.879</v>
      </c>
      <c r="AD229" s="11" t="n">
        <v>9.644</v>
      </c>
      <c r="AE229" s="11" t="n">
        <v>10.027</v>
      </c>
      <c r="AF229" s="11" t="n">
        <v>9.037</v>
      </c>
      <c r="AG229" s="11" t="n">
        <v>23.32</v>
      </c>
      <c r="AH229" s="11" t="n">
        <f aca="false">SUM(AB229:AG229)</f>
        <v>65.414</v>
      </c>
      <c r="AI229" s="12" t="s">
        <v>71</v>
      </c>
    </row>
    <row r="230" customFormat="false" ht="15" hidden="false" customHeight="false" outlineLevel="0" collapsed="false">
      <c r="A230" s="8" t="s">
        <v>524</v>
      </c>
      <c r="B230" s="12" t="s">
        <v>525</v>
      </c>
      <c r="C230" s="8" t="s">
        <v>410</v>
      </c>
      <c r="D230" s="12" t="s">
        <v>411</v>
      </c>
      <c r="E230" s="10" t="str">
        <f aca="true">IFERROR(IF(INDEX(INDIRECT("'"&amp;$AI230&amp;"'!$E$2:$E$320"),MATCH($A230,INDIRECT("'"&amp;$AI230&amp;"'!$A$2:$A$320"),0))="","",INDEX(INDIRECT("'"&amp;$AI230&amp;"'!$E$2:$E$320"),MATCH($A230,INDIRECT("'"&amp;$AI230&amp;"'!$A$2:$A$320"),0))),"")</f>
        <v/>
      </c>
      <c r="F230" s="9" t="str">
        <f aca="false">IF($E230="","",IFERROR(INDEX(担当者マスタ!$B$2:$B$101,MATCH($E230,担当者マスタ!$A$2:$A$101,0)),"※マスタ未登録"))</f>
        <v/>
      </c>
      <c r="G230" s="11" t="n">
        <v>194.83</v>
      </c>
      <c r="H230" s="11" t="n">
        <v>125.934</v>
      </c>
      <c r="I230" s="11" t="n">
        <v>136.892</v>
      </c>
      <c r="J230" s="11" t="n">
        <v>136.844</v>
      </c>
      <c r="K230" s="11" t="n">
        <v>172.54</v>
      </c>
      <c r="L230" s="11" t="n">
        <v>96.702</v>
      </c>
      <c r="M230" s="11" t="n">
        <f aca="false">SUM(G230:L230)</f>
        <v>863.742</v>
      </c>
      <c r="N230" s="11" t="n">
        <v>67.624</v>
      </c>
      <c r="O230" s="11" t="n">
        <v>40.846</v>
      </c>
      <c r="P230" s="11" t="n">
        <v>49.304</v>
      </c>
      <c r="Q230" s="11" t="n">
        <v>46.432</v>
      </c>
      <c r="R230" s="11" t="n">
        <v>56.976</v>
      </c>
      <c r="S230" s="11" t="n">
        <v>34.454</v>
      </c>
      <c r="T230" s="11" t="n">
        <f aca="false">SUM(N230:S230)</f>
        <v>295.636</v>
      </c>
      <c r="U230" s="11" t="n">
        <v>166.588</v>
      </c>
      <c r="V230" s="11" t="n">
        <v>67.406</v>
      </c>
      <c r="W230" s="11" t="n">
        <v>132.282</v>
      </c>
      <c r="X230" s="11" t="n">
        <v>161.569</v>
      </c>
      <c r="Y230" s="11" t="n">
        <v>123.802</v>
      </c>
      <c r="Z230" s="11" t="n">
        <v>171.382</v>
      </c>
      <c r="AA230" s="11" t="n">
        <f aca="false">SUM(U230:Z230)</f>
        <v>823.029</v>
      </c>
      <c r="AB230" s="11" t="n">
        <v>57.68</v>
      </c>
      <c r="AC230" s="11" t="n">
        <v>25.266</v>
      </c>
      <c r="AD230" s="11" t="n">
        <v>47.414</v>
      </c>
      <c r="AE230" s="11" t="n">
        <v>61.784</v>
      </c>
      <c r="AF230" s="11" t="n">
        <v>47.286</v>
      </c>
      <c r="AG230" s="11" t="n">
        <v>64.582</v>
      </c>
      <c r="AH230" s="11" t="n">
        <f aca="false">SUM(AB230:AG230)</f>
        <v>304.012</v>
      </c>
      <c r="AI230" s="12" t="s">
        <v>71</v>
      </c>
    </row>
    <row r="231" customFormat="false" ht="15" hidden="false" customHeight="false" outlineLevel="0" collapsed="false">
      <c r="A231" s="8" t="s">
        <v>526</v>
      </c>
      <c r="B231" s="9" t="s">
        <v>527</v>
      </c>
      <c r="C231" s="8" t="s">
        <v>410</v>
      </c>
      <c r="D231" s="12" t="s">
        <v>411</v>
      </c>
      <c r="E231" s="10" t="str">
        <f aca="true">IFERROR(IF(INDEX(INDIRECT("'"&amp;$AI231&amp;"'!$E$2:$E$320"),MATCH($A231,INDIRECT("'"&amp;$AI231&amp;"'!$A$2:$A$320"),0))="","",INDEX(INDIRECT("'"&amp;$AI231&amp;"'!$E$2:$E$320"),MATCH($A231,INDIRECT("'"&amp;$AI231&amp;"'!$A$2:$A$320"),0))),"")</f>
        <v/>
      </c>
      <c r="F231" s="9" t="str">
        <f aca="false">IF($E231="","",IFERROR(INDEX(担当者マスタ!$B$2:$B$101,MATCH($E231,担当者マスタ!$A$2:$A$101,0)),"※マスタ未登録"))</f>
        <v/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282</v>
      </c>
      <c r="L231" s="11" t="n">
        <v>0</v>
      </c>
      <c r="M231" s="11" t="n">
        <f aca="false">SUM(G231:L231)</f>
        <v>282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63</v>
      </c>
      <c r="S231" s="11" t="n">
        <v>0</v>
      </c>
      <c r="T231" s="11" t="n">
        <f aca="false">SUM(N231:S231)</f>
        <v>63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f aca="false">SUM(U231:Z231)</f>
        <v>0</v>
      </c>
      <c r="AB231" s="11" t="n">
        <v>0</v>
      </c>
      <c r="AC231" s="11" t="n">
        <v>0</v>
      </c>
      <c r="AD231" s="11" t="n">
        <v>0</v>
      </c>
      <c r="AE231" s="11" t="n">
        <v>0</v>
      </c>
      <c r="AF231" s="11" t="n">
        <v>0</v>
      </c>
      <c r="AG231" s="11" t="n">
        <v>0</v>
      </c>
      <c r="AH231" s="11" t="n">
        <f aca="false">SUM(AB231:AG231)</f>
        <v>0</v>
      </c>
      <c r="AI231" s="12" t="s">
        <v>71</v>
      </c>
    </row>
    <row r="232" customFormat="false" ht="15" hidden="false" customHeight="false" outlineLevel="0" collapsed="false">
      <c r="A232" s="8" t="s">
        <v>528</v>
      </c>
      <c r="B232" s="12" t="s">
        <v>529</v>
      </c>
      <c r="C232" s="8" t="s">
        <v>410</v>
      </c>
      <c r="D232" s="12" t="s">
        <v>411</v>
      </c>
      <c r="E232" s="10" t="str">
        <f aca="true">IFERROR(IF(INDEX(INDIRECT("'"&amp;$AI232&amp;"'!$E$2:$E$320"),MATCH($A232,INDIRECT("'"&amp;$AI232&amp;"'!$A$2:$A$320"),0))="","",INDEX(INDIRECT("'"&amp;$AI232&amp;"'!$E$2:$E$320"),MATCH($A232,INDIRECT("'"&amp;$AI232&amp;"'!$A$2:$A$320"),0))),"")</f>
        <v/>
      </c>
      <c r="F232" s="9" t="str">
        <f aca="false">IF($E232="","",IFERROR(INDEX(担当者マスタ!$B$2:$B$101,MATCH($E232,担当者マスタ!$A$2:$A$101,0)),"※マスタ未登録"))</f>
        <v/>
      </c>
      <c r="G232" s="11" t="n">
        <v>0</v>
      </c>
      <c r="H232" s="11" t="n">
        <v>0</v>
      </c>
      <c r="I232" s="11" t="n">
        <v>18.4</v>
      </c>
      <c r="J232" s="11" t="n">
        <v>0</v>
      </c>
      <c r="K232" s="11" t="n">
        <v>0</v>
      </c>
      <c r="L232" s="11" t="n">
        <v>0</v>
      </c>
      <c r="M232" s="11" t="n">
        <f aca="false">SUM(G232:L232)</f>
        <v>18.4</v>
      </c>
      <c r="N232" s="11" t="n">
        <v>0</v>
      </c>
      <c r="O232" s="11" t="n">
        <v>0</v>
      </c>
      <c r="P232" s="11" t="n">
        <v>5.6</v>
      </c>
      <c r="Q232" s="11" t="n">
        <v>0</v>
      </c>
      <c r="R232" s="11" t="n">
        <v>0</v>
      </c>
      <c r="S232" s="11" t="n">
        <v>0</v>
      </c>
      <c r="T232" s="11" t="n">
        <f aca="false">SUM(N232:S232)</f>
        <v>5.6</v>
      </c>
      <c r="U232" s="11" t="n">
        <v>0</v>
      </c>
      <c r="V232" s="11" t="n">
        <v>0</v>
      </c>
      <c r="W232" s="11" t="n">
        <v>12.24</v>
      </c>
      <c r="X232" s="11" t="n">
        <v>0</v>
      </c>
      <c r="Y232" s="11" t="n">
        <v>0</v>
      </c>
      <c r="Z232" s="11" t="n">
        <v>0</v>
      </c>
      <c r="AA232" s="11" t="n">
        <f aca="false">SUM(U232:Z232)</f>
        <v>12.24</v>
      </c>
      <c r="AB232" s="11" t="n">
        <v>0</v>
      </c>
      <c r="AC232" s="11" t="n">
        <v>0</v>
      </c>
      <c r="AD232" s="11" t="n">
        <v>3.13</v>
      </c>
      <c r="AE232" s="11" t="n">
        <v>0</v>
      </c>
      <c r="AF232" s="11" t="n">
        <v>0</v>
      </c>
      <c r="AG232" s="11" t="n">
        <v>0</v>
      </c>
      <c r="AH232" s="11" t="n">
        <f aca="false">SUM(AB232:AG232)</f>
        <v>3.13</v>
      </c>
      <c r="AI232" s="12" t="s">
        <v>71</v>
      </c>
    </row>
    <row r="233" customFormat="false" ht="15" hidden="false" customHeight="false" outlineLevel="0" collapsed="false">
      <c r="A233" s="8" t="s">
        <v>530</v>
      </c>
      <c r="B233" s="12" t="s">
        <v>531</v>
      </c>
      <c r="C233" s="8" t="s">
        <v>410</v>
      </c>
      <c r="D233" s="12" t="s">
        <v>411</v>
      </c>
      <c r="E233" s="10" t="str">
        <f aca="true">IFERROR(IF(INDEX(INDIRECT("'"&amp;$AI233&amp;"'!$E$2:$E$320"),MATCH($A233,INDIRECT("'"&amp;$AI233&amp;"'!$A$2:$A$320"),0))="","",INDEX(INDIRECT("'"&amp;$AI233&amp;"'!$E$2:$E$320"),MATCH($A233,INDIRECT("'"&amp;$AI233&amp;"'!$A$2:$A$320"),0))),"")</f>
        <v/>
      </c>
      <c r="F233" s="9" t="str">
        <f aca="false">IF($E233="","",IFERROR(INDEX(担当者マスタ!$B$2:$B$101,MATCH($E233,担当者マスタ!$A$2:$A$101,0)),"※マスタ未登録"))</f>
        <v/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f aca="false">SUM(G233:L233)</f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f aca="false">SUM(N233:S233)</f>
        <v>0</v>
      </c>
      <c r="U233" s="11" t="n">
        <v>0</v>
      </c>
      <c r="V233" s="11" t="n">
        <v>0</v>
      </c>
      <c r="W233" s="11" t="n">
        <v>34.5</v>
      </c>
      <c r="X233" s="11" t="n">
        <v>0</v>
      </c>
      <c r="Y233" s="11" t="n">
        <v>0</v>
      </c>
      <c r="Z233" s="11" t="n">
        <v>0</v>
      </c>
      <c r="AA233" s="11" t="n">
        <f aca="false">SUM(U233:Z233)</f>
        <v>34.5</v>
      </c>
      <c r="AB233" s="11" t="n">
        <v>0</v>
      </c>
      <c r="AC233" s="11" t="n">
        <v>0</v>
      </c>
      <c r="AD233" s="11" t="n">
        <v>6.9</v>
      </c>
      <c r="AE233" s="11" t="n">
        <v>0</v>
      </c>
      <c r="AF233" s="11" t="n">
        <v>0</v>
      </c>
      <c r="AG233" s="11" t="n">
        <v>0</v>
      </c>
      <c r="AH233" s="11" t="n">
        <f aca="false">SUM(AB233:AG233)</f>
        <v>6.9</v>
      </c>
      <c r="AI233" s="12" t="s">
        <v>71</v>
      </c>
    </row>
    <row r="234" customFormat="false" ht="15" hidden="false" customHeight="false" outlineLevel="0" collapsed="false">
      <c r="A234" s="8" t="s">
        <v>532</v>
      </c>
      <c r="B234" s="12" t="s">
        <v>533</v>
      </c>
      <c r="C234" s="8" t="s">
        <v>410</v>
      </c>
      <c r="D234" s="12" t="s">
        <v>411</v>
      </c>
      <c r="E234" s="10" t="str">
        <f aca="true">IFERROR(IF(INDEX(INDIRECT("'"&amp;$AI234&amp;"'!$E$2:$E$320"),MATCH($A234,INDIRECT("'"&amp;$AI234&amp;"'!$A$2:$A$320"),0))="","",INDEX(INDIRECT("'"&amp;$AI234&amp;"'!$E$2:$E$320"),MATCH($A234,INDIRECT("'"&amp;$AI234&amp;"'!$A$2:$A$320"),0))),"")</f>
        <v/>
      </c>
      <c r="F234" s="9" t="str">
        <f aca="false">IF($E234="","",IFERROR(INDEX(担当者マスタ!$B$2:$B$101,MATCH($E234,担当者マスタ!$A$2:$A$101,0)),"※マスタ未登録"))</f>
        <v/>
      </c>
      <c r="G234" s="11" t="n">
        <v>1634.29</v>
      </c>
      <c r="H234" s="11" t="n">
        <v>1473.74</v>
      </c>
      <c r="I234" s="11" t="n">
        <v>1527.486</v>
      </c>
      <c r="J234" s="11" t="n">
        <v>1696.4</v>
      </c>
      <c r="K234" s="11" t="n">
        <v>1422.15</v>
      </c>
      <c r="L234" s="11" t="n">
        <v>1994.15</v>
      </c>
      <c r="M234" s="11" t="n">
        <f aca="false">SUM(G234:L234)</f>
        <v>9748.216</v>
      </c>
      <c r="N234" s="11" t="n">
        <v>281.09</v>
      </c>
      <c r="O234" s="11" t="n">
        <v>237.02</v>
      </c>
      <c r="P234" s="11" t="n">
        <v>256.83</v>
      </c>
      <c r="Q234" s="11" t="n">
        <v>301.58</v>
      </c>
      <c r="R234" s="11" t="n">
        <v>237.52</v>
      </c>
      <c r="S234" s="11" t="n">
        <v>373.75</v>
      </c>
      <c r="T234" s="11" t="n">
        <f aca="false">SUM(N234:S234)</f>
        <v>1687.79</v>
      </c>
      <c r="U234" s="11" t="n">
        <v>2169.8</v>
      </c>
      <c r="V234" s="11" t="n">
        <v>1443.95</v>
      </c>
      <c r="W234" s="11" t="n">
        <v>1929.98</v>
      </c>
      <c r="X234" s="11" t="n">
        <v>1460.94</v>
      </c>
      <c r="Y234" s="11" t="n">
        <v>1558.82</v>
      </c>
      <c r="Z234" s="11" t="n">
        <v>1399.09</v>
      </c>
      <c r="AA234" s="11" t="n">
        <f aca="false">SUM(U234:Z234)</f>
        <v>9962.58</v>
      </c>
      <c r="AB234" s="11" t="n">
        <v>373.24</v>
      </c>
      <c r="AC234" s="11" t="n">
        <v>269.02</v>
      </c>
      <c r="AD234" s="11" t="n">
        <v>349.32</v>
      </c>
      <c r="AE234" s="11" t="n">
        <v>259.14</v>
      </c>
      <c r="AF234" s="11" t="n">
        <v>284.97</v>
      </c>
      <c r="AG234" s="11" t="n">
        <v>265.76</v>
      </c>
      <c r="AH234" s="11" t="n">
        <f aca="false">SUM(AB234:AG234)</f>
        <v>1801.45</v>
      </c>
      <c r="AI234" s="12" t="s">
        <v>71</v>
      </c>
    </row>
    <row r="235" customFormat="false" ht="15" hidden="false" customHeight="false" outlineLevel="0" collapsed="false">
      <c r="A235" s="8" t="s">
        <v>534</v>
      </c>
      <c r="B235" s="12" t="s">
        <v>535</v>
      </c>
      <c r="C235" s="8" t="s">
        <v>410</v>
      </c>
      <c r="D235" s="12" t="s">
        <v>411</v>
      </c>
      <c r="E235" s="10" t="str">
        <f aca="true">IFERROR(IF(INDEX(INDIRECT("'"&amp;$AI235&amp;"'!$E$2:$E$320"),MATCH($A235,INDIRECT("'"&amp;$AI235&amp;"'!$A$2:$A$320"),0))="","",INDEX(INDIRECT("'"&amp;$AI235&amp;"'!$E$2:$E$320"),MATCH($A235,INDIRECT("'"&amp;$AI235&amp;"'!$A$2:$A$320"),0))),"")</f>
        <v/>
      </c>
      <c r="F235" s="9" t="str">
        <f aca="false">IF($E235="","",IFERROR(INDEX(担当者マスタ!$B$2:$B$101,MATCH($E235,担当者マスタ!$A$2:$A$101,0)),"※マスタ未登録"))</f>
        <v/>
      </c>
      <c r="G235" s="11" t="n">
        <v>471.793</v>
      </c>
      <c r="H235" s="11" t="n">
        <v>329.77</v>
      </c>
      <c r="I235" s="11" t="n">
        <v>524.674</v>
      </c>
      <c r="J235" s="11" t="n">
        <v>420.218</v>
      </c>
      <c r="K235" s="11" t="n">
        <v>411.488</v>
      </c>
      <c r="L235" s="11" t="n">
        <v>582.727</v>
      </c>
      <c r="M235" s="11" t="n">
        <f aca="false">SUM(G235:L235)</f>
        <v>2740.67</v>
      </c>
      <c r="N235" s="11" t="n">
        <v>122.15</v>
      </c>
      <c r="O235" s="11" t="n">
        <v>70.145</v>
      </c>
      <c r="P235" s="11" t="n">
        <v>85.044</v>
      </c>
      <c r="Q235" s="11" t="n">
        <v>110.655</v>
      </c>
      <c r="R235" s="11" t="n">
        <v>62.278</v>
      </c>
      <c r="S235" s="11" t="n">
        <v>132.173</v>
      </c>
      <c r="T235" s="11" t="n">
        <f aca="false">SUM(N235:S235)</f>
        <v>582.445</v>
      </c>
      <c r="U235" s="11" t="n">
        <v>508.54</v>
      </c>
      <c r="V235" s="11" t="n">
        <v>486.644</v>
      </c>
      <c r="W235" s="11" t="n">
        <v>531.698</v>
      </c>
      <c r="X235" s="11" t="n">
        <v>520.003</v>
      </c>
      <c r="Y235" s="11" t="n">
        <v>722.116</v>
      </c>
      <c r="Z235" s="11" t="n">
        <v>742.618</v>
      </c>
      <c r="AA235" s="11" t="n">
        <f aca="false">SUM(U235:Z235)</f>
        <v>3511.619</v>
      </c>
      <c r="AB235" s="11" t="n">
        <v>110.672</v>
      </c>
      <c r="AC235" s="11" t="n">
        <v>99.223</v>
      </c>
      <c r="AD235" s="11" t="n">
        <v>130.428</v>
      </c>
      <c r="AE235" s="11" t="n">
        <v>139.568</v>
      </c>
      <c r="AF235" s="11" t="n">
        <v>160.846</v>
      </c>
      <c r="AG235" s="11" t="n">
        <v>145.507</v>
      </c>
      <c r="AH235" s="11" t="n">
        <f aca="false">SUM(AB235:AG235)</f>
        <v>786.244</v>
      </c>
      <c r="AI235" s="12" t="s">
        <v>71</v>
      </c>
    </row>
    <row r="236" customFormat="false" ht="15" hidden="false" customHeight="false" outlineLevel="0" collapsed="false">
      <c r="A236" s="8" t="s">
        <v>536</v>
      </c>
      <c r="B236" s="12" t="s">
        <v>537</v>
      </c>
      <c r="C236" s="8" t="s">
        <v>410</v>
      </c>
      <c r="D236" s="12" t="s">
        <v>411</v>
      </c>
      <c r="E236" s="10" t="str">
        <f aca="true">IFERROR(IF(INDEX(INDIRECT("'"&amp;$AI236&amp;"'!$E$2:$E$320"),MATCH($A236,INDIRECT("'"&amp;$AI236&amp;"'!$A$2:$A$320"),0))="","",INDEX(INDIRECT("'"&amp;$AI236&amp;"'!$E$2:$E$320"),MATCH($A236,INDIRECT("'"&amp;$AI236&amp;"'!$A$2:$A$320"),0))),"")</f>
        <v/>
      </c>
      <c r="F236" s="9" t="str">
        <f aca="false">IF($E236="","",IFERROR(INDEX(担当者マスタ!$B$2:$B$101,MATCH($E236,担当者マスタ!$A$2:$A$101,0)),"※マスタ未登録"))</f>
        <v/>
      </c>
      <c r="G236" s="11" t="n">
        <v>87.175</v>
      </c>
      <c r="H236" s="11" t="n">
        <v>79.024</v>
      </c>
      <c r="I236" s="11" t="n">
        <v>179.738</v>
      </c>
      <c r="J236" s="11" t="n">
        <v>119.708</v>
      </c>
      <c r="K236" s="11" t="n">
        <v>141.496</v>
      </c>
      <c r="L236" s="11" t="n">
        <v>144.642</v>
      </c>
      <c r="M236" s="11" t="n">
        <f aca="false">SUM(G236:L236)</f>
        <v>751.783</v>
      </c>
      <c r="N236" s="11" t="n">
        <v>18.218</v>
      </c>
      <c r="O236" s="11" t="n">
        <v>15.032</v>
      </c>
      <c r="P236" s="11" t="n">
        <v>33.131</v>
      </c>
      <c r="Q236" s="11" t="n">
        <v>23.47</v>
      </c>
      <c r="R236" s="11" t="n">
        <v>22.666</v>
      </c>
      <c r="S236" s="11" t="n">
        <v>28.095</v>
      </c>
      <c r="T236" s="11" t="n">
        <f aca="false">SUM(N236:S236)</f>
        <v>140.612</v>
      </c>
      <c r="U236" s="11" t="n">
        <v>344.273</v>
      </c>
      <c r="V236" s="11" t="n">
        <v>217.413</v>
      </c>
      <c r="W236" s="11" t="n">
        <v>181.76</v>
      </c>
      <c r="X236" s="11" t="n">
        <v>191.476</v>
      </c>
      <c r="Y236" s="11" t="n">
        <v>130.718</v>
      </c>
      <c r="Z236" s="11" t="n">
        <v>187.013</v>
      </c>
      <c r="AA236" s="11" t="n">
        <f aca="false">SUM(U236:Z236)</f>
        <v>1252.653</v>
      </c>
      <c r="AB236" s="11" t="n">
        <v>56.022</v>
      </c>
      <c r="AC236" s="11" t="n">
        <v>35.497</v>
      </c>
      <c r="AD236" s="11" t="n">
        <v>32.462</v>
      </c>
      <c r="AE236" s="11" t="n">
        <v>33.353</v>
      </c>
      <c r="AF236" s="11" t="n">
        <v>22.28</v>
      </c>
      <c r="AG236" s="11" t="n">
        <v>34.821</v>
      </c>
      <c r="AH236" s="11" t="n">
        <f aca="false">SUM(AB236:AG236)</f>
        <v>214.435</v>
      </c>
      <c r="AI236" s="12" t="s">
        <v>71</v>
      </c>
    </row>
    <row r="237" customFormat="false" ht="15" hidden="false" customHeight="false" outlineLevel="0" collapsed="false">
      <c r="A237" s="8" t="s">
        <v>538</v>
      </c>
      <c r="B237" s="12" t="s">
        <v>539</v>
      </c>
      <c r="C237" s="8" t="s">
        <v>410</v>
      </c>
      <c r="D237" s="12" t="s">
        <v>411</v>
      </c>
      <c r="E237" s="10" t="str">
        <f aca="true">IFERROR(IF(INDEX(INDIRECT("'"&amp;$AI237&amp;"'!$E$2:$E$320"),MATCH($A237,INDIRECT("'"&amp;$AI237&amp;"'!$A$2:$A$320"),0))="","",INDEX(INDIRECT("'"&amp;$AI237&amp;"'!$E$2:$E$320"),MATCH($A237,INDIRECT("'"&amp;$AI237&amp;"'!$A$2:$A$320"),0))),"")</f>
        <v/>
      </c>
      <c r="F237" s="9" t="str">
        <f aca="false">IF($E237="","",IFERROR(INDEX(担当者マスタ!$B$2:$B$101,MATCH($E237,担当者マスタ!$A$2:$A$101,0)),"※マスタ未登録"))</f>
        <v/>
      </c>
      <c r="G237" s="11" t="n">
        <v>0</v>
      </c>
      <c r="H237" s="11" t="n">
        <v>0</v>
      </c>
      <c r="I237" s="11" t="n">
        <v>0</v>
      </c>
      <c r="J237" s="11" t="n">
        <v>128.04</v>
      </c>
      <c r="K237" s="11" t="n">
        <v>0</v>
      </c>
      <c r="L237" s="11" t="n">
        <v>0</v>
      </c>
      <c r="M237" s="11" t="n">
        <f aca="false">SUM(G237:L237)</f>
        <v>128.04</v>
      </c>
      <c r="N237" s="11" t="n">
        <v>0</v>
      </c>
      <c r="O237" s="11" t="n">
        <v>0</v>
      </c>
      <c r="P237" s="11" t="n">
        <v>0</v>
      </c>
      <c r="Q237" s="11" t="n">
        <v>47.16</v>
      </c>
      <c r="R237" s="11" t="n">
        <v>0</v>
      </c>
      <c r="S237" s="11" t="n">
        <v>0</v>
      </c>
      <c r="T237" s="11" t="n">
        <f aca="false">SUM(N237:S237)</f>
        <v>47.16</v>
      </c>
      <c r="U237" s="11" t="n">
        <v>0</v>
      </c>
      <c r="V237" s="11" t="n">
        <v>0</v>
      </c>
      <c r="W237" s="11" t="n">
        <v>128.04</v>
      </c>
      <c r="X237" s="11" t="n">
        <v>0</v>
      </c>
      <c r="Y237" s="11" t="n">
        <v>0</v>
      </c>
      <c r="Z237" s="11" t="n">
        <v>0</v>
      </c>
      <c r="AA237" s="11" t="n">
        <f aca="false">SUM(U237:Z237)</f>
        <v>128.04</v>
      </c>
      <c r="AB237" s="11" t="n">
        <v>0</v>
      </c>
      <c r="AC237" s="11" t="n">
        <v>0</v>
      </c>
      <c r="AD237" s="11" t="n">
        <v>47.16</v>
      </c>
      <c r="AE237" s="11" t="n">
        <v>0</v>
      </c>
      <c r="AF237" s="11" t="n">
        <v>0</v>
      </c>
      <c r="AG237" s="11" t="n">
        <v>0</v>
      </c>
      <c r="AH237" s="11" t="n">
        <f aca="false">SUM(AB237:AG237)</f>
        <v>47.16</v>
      </c>
      <c r="AI237" s="12" t="s">
        <v>71</v>
      </c>
    </row>
    <row r="238" customFormat="false" ht="15" hidden="false" customHeight="false" outlineLevel="0" collapsed="false">
      <c r="A238" s="8" t="s">
        <v>540</v>
      </c>
      <c r="B238" s="12" t="s">
        <v>541</v>
      </c>
      <c r="C238" s="8" t="s">
        <v>410</v>
      </c>
      <c r="D238" s="12" t="s">
        <v>411</v>
      </c>
      <c r="E238" s="10" t="str">
        <f aca="true">IFERROR(IF(INDEX(INDIRECT("'"&amp;$AI238&amp;"'!$E$2:$E$320"),MATCH($A238,INDIRECT("'"&amp;$AI238&amp;"'!$A$2:$A$320"),0))="","",INDEX(INDIRECT("'"&amp;$AI238&amp;"'!$E$2:$E$320"),MATCH($A238,INDIRECT("'"&amp;$AI238&amp;"'!$A$2:$A$320"),0))),"")</f>
        <v/>
      </c>
      <c r="F238" s="9" t="str">
        <f aca="false">IF($E238="","",IFERROR(INDEX(担当者マスタ!$B$2:$B$101,MATCH($E238,担当者マスタ!$A$2:$A$101,0)),"※マスタ未登録"))</f>
        <v/>
      </c>
      <c r="G238" s="11" t="n">
        <v>0</v>
      </c>
      <c r="H238" s="11" t="n">
        <v>0</v>
      </c>
      <c r="I238" s="11" t="n">
        <v>22.6</v>
      </c>
      <c r="J238" s="11" t="n">
        <v>0</v>
      </c>
      <c r="K238" s="11" t="n">
        <v>1.72</v>
      </c>
      <c r="L238" s="11" t="n">
        <v>0</v>
      </c>
      <c r="M238" s="11" t="n">
        <f aca="false">SUM(G238:L238)</f>
        <v>24.32</v>
      </c>
      <c r="N238" s="11" t="n">
        <v>0</v>
      </c>
      <c r="O238" s="11" t="n">
        <v>0</v>
      </c>
      <c r="P238" s="11" t="n">
        <v>7.58</v>
      </c>
      <c r="Q238" s="11" t="n">
        <v>0</v>
      </c>
      <c r="R238" s="11" t="n">
        <v>0.503</v>
      </c>
      <c r="S238" s="11" t="n">
        <v>0</v>
      </c>
      <c r="T238" s="11" t="n">
        <f aca="false">SUM(N238:S238)</f>
        <v>8.083</v>
      </c>
      <c r="U238" s="11" t="n">
        <v>2.845</v>
      </c>
      <c r="V238" s="11" t="n">
        <v>27.288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f aca="false">SUM(U238:Z238)</f>
        <v>30.133</v>
      </c>
      <c r="AB238" s="11" t="n">
        <v>1.091</v>
      </c>
      <c r="AC238" s="11" t="n">
        <v>6.906</v>
      </c>
      <c r="AD238" s="11" t="n">
        <v>0</v>
      </c>
      <c r="AE238" s="11" t="n">
        <v>0</v>
      </c>
      <c r="AF238" s="11" t="n">
        <v>0</v>
      </c>
      <c r="AG238" s="11" t="n">
        <v>0</v>
      </c>
      <c r="AH238" s="11" t="n">
        <f aca="false">SUM(AB238:AG238)</f>
        <v>7.997</v>
      </c>
      <c r="AI238" s="12" t="s">
        <v>71</v>
      </c>
    </row>
    <row r="239" customFormat="false" ht="15" hidden="false" customHeight="false" outlineLevel="0" collapsed="false">
      <c r="A239" s="8" t="s">
        <v>542</v>
      </c>
      <c r="B239" s="12" t="s">
        <v>543</v>
      </c>
      <c r="C239" s="8" t="s">
        <v>410</v>
      </c>
      <c r="D239" s="12" t="s">
        <v>411</v>
      </c>
      <c r="E239" s="10" t="str">
        <f aca="true">IFERROR(IF(INDEX(INDIRECT("'"&amp;$AI239&amp;"'!$E$2:$E$320"),MATCH($A239,INDIRECT("'"&amp;$AI239&amp;"'!$A$2:$A$320"),0))="","",INDEX(INDIRECT("'"&amp;$AI239&amp;"'!$E$2:$E$320"),MATCH($A239,INDIRECT("'"&amp;$AI239&amp;"'!$A$2:$A$320"),0))),"")</f>
        <v/>
      </c>
      <c r="F239" s="9" t="str">
        <f aca="false">IF($E239="","",IFERROR(INDEX(担当者マスタ!$B$2:$B$101,MATCH($E239,担当者マスタ!$A$2:$A$101,0)),"※マスタ未登録"))</f>
        <v/>
      </c>
      <c r="G239" s="11" t="n">
        <v>0</v>
      </c>
      <c r="H239" s="11" t="n">
        <v>9.66</v>
      </c>
      <c r="I239" s="11" t="n">
        <v>11.58</v>
      </c>
      <c r="J239" s="11" t="n">
        <v>0</v>
      </c>
      <c r="K239" s="11" t="n">
        <v>0</v>
      </c>
      <c r="L239" s="11" t="n">
        <v>0</v>
      </c>
      <c r="M239" s="11" t="n">
        <f aca="false">SUM(G239:L239)</f>
        <v>21.24</v>
      </c>
      <c r="N239" s="11" t="n">
        <v>0</v>
      </c>
      <c r="O239" s="11" t="n">
        <v>3.42</v>
      </c>
      <c r="P239" s="11" t="n">
        <v>5.106</v>
      </c>
      <c r="Q239" s="11" t="n">
        <v>0</v>
      </c>
      <c r="R239" s="11" t="n">
        <v>0</v>
      </c>
      <c r="S239" s="11" t="n">
        <v>0</v>
      </c>
      <c r="T239" s="11" t="n">
        <f aca="false">SUM(N239:S239)</f>
        <v>8.526</v>
      </c>
      <c r="U239" s="11" t="n">
        <v>3.91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f aca="false">SUM(U239:Z239)</f>
        <v>3.91</v>
      </c>
      <c r="AB239" s="11" t="n">
        <v>1.36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0</v>
      </c>
      <c r="AH239" s="11" t="n">
        <f aca="false">SUM(AB239:AG239)</f>
        <v>1.36</v>
      </c>
      <c r="AI239" s="12" t="s">
        <v>71</v>
      </c>
    </row>
    <row r="240" customFormat="false" ht="15" hidden="false" customHeight="false" outlineLevel="0" collapsed="false">
      <c r="A240" s="8" t="s">
        <v>544</v>
      </c>
      <c r="B240" s="12" t="s">
        <v>545</v>
      </c>
      <c r="C240" s="8" t="s">
        <v>410</v>
      </c>
      <c r="D240" s="12" t="s">
        <v>411</v>
      </c>
      <c r="E240" s="10" t="str">
        <f aca="true">IFERROR(IF(INDEX(INDIRECT("'"&amp;$AI240&amp;"'!$E$2:$E$320"),MATCH($A240,INDIRECT("'"&amp;$AI240&amp;"'!$A$2:$A$320"),0))="","",INDEX(INDIRECT("'"&amp;$AI240&amp;"'!$E$2:$E$320"),MATCH($A240,INDIRECT("'"&amp;$AI240&amp;"'!$A$2:$A$320"),0))),"")</f>
        <v/>
      </c>
      <c r="F240" s="9" t="str">
        <f aca="false">IF($E240="","",IFERROR(INDEX(担当者マスタ!$B$2:$B$101,MATCH($E240,担当者マスタ!$A$2:$A$101,0)),"※マスタ未登録"))</f>
        <v/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40.2</v>
      </c>
      <c r="L240" s="11" t="n">
        <v>126.756</v>
      </c>
      <c r="M240" s="11" t="n">
        <f aca="false">SUM(G240:L240)</f>
        <v>166.956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11.2</v>
      </c>
      <c r="S240" s="11" t="n">
        <v>31.5</v>
      </c>
      <c r="T240" s="11" t="n">
        <f aca="false">SUM(N240:S240)</f>
        <v>42.7</v>
      </c>
      <c r="U240" s="11" t="n">
        <v>0</v>
      </c>
      <c r="V240" s="11" t="n">
        <v>31.689</v>
      </c>
      <c r="W240" s="11" t="n">
        <v>0</v>
      </c>
      <c r="X240" s="11" t="n">
        <v>142.746</v>
      </c>
      <c r="Y240" s="11" t="n">
        <v>0</v>
      </c>
      <c r="Z240" s="11" t="n">
        <v>126.756</v>
      </c>
      <c r="AA240" s="11" t="n">
        <f aca="false">SUM(U240:Z240)</f>
        <v>301.191</v>
      </c>
      <c r="AB240" s="11" t="n">
        <v>0</v>
      </c>
      <c r="AC240" s="11" t="n">
        <v>7.875</v>
      </c>
      <c r="AD240" s="11" t="n">
        <v>0</v>
      </c>
      <c r="AE240" s="11" t="n">
        <v>35.49</v>
      </c>
      <c r="AF240" s="11" t="n">
        <v>0</v>
      </c>
      <c r="AG240" s="11" t="n">
        <v>31.5</v>
      </c>
      <c r="AH240" s="11" t="n">
        <f aca="false">SUM(AB240:AG240)</f>
        <v>74.865</v>
      </c>
      <c r="AI240" s="12" t="s">
        <v>71</v>
      </c>
    </row>
    <row r="241" customFormat="false" ht="15" hidden="false" customHeight="false" outlineLevel="0" collapsed="false">
      <c r="A241" s="8" t="s">
        <v>546</v>
      </c>
      <c r="B241" s="12" t="s">
        <v>547</v>
      </c>
      <c r="C241" s="8" t="s">
        <v>410</v>
      </c>
      <c r="D241" s="12" t="s">
        <v>411</v>
      </c>
      <c r="E241" s="10" t="str">
        <f aca="true">IFERROR(IF(INDEX(INDIRECT("'"&amp;$AI241&amp;"'!$E$2:$E$320"),MATCH($A241,INDIRECT("'"&amp;$AI241&amp;"'!$A$2:$A$320"),0))="","",INDEX(INDIRECT("'"&amp;$AI241&amp;"'!$E$2:$E$320"),MATCH($A241,INDIRECT("'"&amp;$AI241&amp;"'!$A$2:$A$320"),0))),"")</f>
        <v/>
      </c>
      <c r="F241" s="9" t="str">
        <f aca="false">IF($E241="","",IFERROR(INDEX(担当者マスタ!$B$2:$B$101,MATCH($E241,担当者マスタ!$A$2:$A$101,0)),"※マスタ未登録"))</f>
        <v/>
      </c>
      <c r="G241" s="11" t="n">
        <v>12.88</v>
      </c>
      <c r="H241" s="11" t="n">
        <v>13.941</v>
      </c>
      <c r="I241" s="11" t="n">
        <v>3.664</v>
      </c>
      <c r="J241" s="11" t="n">
        <v>12.604</v>
      </c>
      <c r="K241" s="11" t="n">
        <v>1.98</v>
      </c>
      <c r="L241" s="11" t="n">
        <v>2.64</v>
      </c>
      <c r="M241" s="11" t="n">
        <f aca="false">SUM(G241:L241)</f>
        <v>47.709</v>
      </c>
      <c r="N241" s="11" t="n">
        <v>3.28</v>
      </c>
      <c r="O241" s="11" t="n">
        <v>3.545</v>
      </c>
      <c r="P241" s="11" t="n">
        <v>0.976</v>
      </c>
      <c r="Q241" s="11" t="n">
        <v>3.196</v>
      </c>
      <c r="R241" s="11" t="n">
        <v>0.54</v>
      </c>
      <c r="S241" s="11" t="n">
        <v>0.72</v>
      </c>
      <c r="T241" s="11" t="n">
        <f aca="false">SUM(N241:S241)</f>
        <v>12.257</v>
      </c>
      <c r="U241" s="11" t="n">
        <v>37.36</v>
      </c>
      <c r="V241" s="11" t="n">
        <v>12.88</v>
      </c>
      <c r="W241" s="11" t="n">
        <v>12.22</v>
      </c>
      <c r="X241" s="11" t="n">
        <v>0</v>
      </c>
      <c r="Y241" s="11" t="n">
        <v>12.88</v>
      </c>
      <c r="Z241" s="11" t="n">
        <v>33.13</v>
      </c>
      <c r="AA241" s="11" t="n">
        <f aca="false">SUM(U241:Z241)</f>
        <v>108.47</v>
      </c>
      <c r="AB241" s="11" t="n">
        <v>9.388</v>
      </c>
      <c r="AC241" s="11" t="n">
        <v>3.28</v>
      </c>
      <c r="AD241" s="11" t="n">
        <v>3.1</v>
      </c>
      <c r="AE241" s="11" t="n">
        <v>0</v>
      </c>
      <c r="AF241" s="11" t="n">
        <v>3.28</v>
      </c>
      <c r="AG241" s="11" t="n">
        <v>8.33</v>
      </c>
      <c r="AH241" s="11" t="n">
        <f aca="false">SUM(AB241:AG241)</f>
        <v>27.378</v>
      </c>
      <c r="AI241" s="12" t="s">
        <v>71</v>
      </c>
    </row>
    <row r="242" customFormat="false" ht="15" hidden="false" customHeight="false" outlineLevel="0" collapsed="false">
      <c r="A242" s="8" t="s">
        <v>548</v>
      </c>
      <c r="B242" s="12" t="s">
        <v>549</v>
      </c>
      <c r="C242" s="8" t="s">
        <v>410</v>
      </c>
      <c r="D242" s="12" t="s">
        <v>411</v>
      </c>
      <c r="E242" s="10" t="str">
        <f aca="true">IFERROR(IF(INDEX(INDIRECT("'"&amp;$AI242&amp;"'!$E$2:$E$320"),MATCH($A242,INDIRECT("'"&amp;$AI242&amp;"'!$A$2:$A$320"),0))="","",INDEX(INDIRECT("'"&amp;$AI242&amp;"'!$E$2:$E$320"),MATCH($A242,INDIRECT("'"&amp;$AI242&amp;"'!$A$2:$A$320"),0))),"")</f>
        <v/>
      </c>
      <c r="F242" s="9" t="str">
        <f aca="false">IF($E242="","",IFERROR(INDEX(担当者マスタ!$B$2:$B$101,MATCH($E242,担当者マスタ!$A$2:$A$101,0)),"※マスタ未登録"))</f>
        <v/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f aca="false">SUM(G242:L242)</f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f aca="false">SUM(N242:S242)</f>
        <v>0</v>
      </c>
      <c r="U242" s="11" t="n">
        <v>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7.5</v>
      </c>
      <c r="AA242" s="11" t="n">
        <f aca="false">SUM(U242:Z242)</f>
        <v>7.5</v>
      </c>
      <c r="AB242" s="11" t="n">
        <v>0</v>
      </c>
      <c r="AC242" s="11" t="n">
        <v>0</v>
      </c>
      <c r="AD242" s="11" t="n">
        <v>0</v>
      </c>
      <c r="AE242" s="11" t="n">
        <v>0</v>
      </c>
      <c r="AF242" s="11" t="n">
        <v>0</v>
      </c>
      <c r="AG242" s="11" t="n">
        <v>1.1</v>
      </c>
      <c r="AH242" s="11" t="n">
        <f aca="false">SUM(AB242:AG242)</f>
        <v>1.1</v>
      </c>
      <c r="AI242" s="12" t="s">
        <v>71</v>
      </c>
    </row>
    <row r="243" customFormat="false" ht="15" hidden="false" customHeight="false" outlineLevel="0" collapsed="false">
      <c r="A243" s="8" t="s">
        <v>550</v>
      </c>
      <c r="B243" s="12" t="s">
        <v>551</v>
      </c>
      <c r="C243" s="8" t="s">
        <v>410</v>
      </c>
      <c r="D243" s="12" t="s">
        <v>411</v>
      </c>
      <c r="E243" s="10" t="str">
        <f aca="true">IFERROR(IF(INDEX(INDIRECT("'"&amp;$AI243&amp;"'!$E$2:$E$320"),MATCH($A243,INDIRECT("'"&amp;$AI243&amp;"'!$A$2:$A$320"),0))="","",INDEX(INDIRECT("'"&amp;$AI243&amp;"'!$E$2:$E$320"),MATCH($A243,INDIRECT("'"&amp;$AI243&amp;"'!$A$2:$A$320"),0))),"")</f>
        <v/>
      </c>
      <c r="F243" s="9" t="str">
        <f aca="false">IF($E243="","",IFERROR(INDEX(担当者マスタ!$B$2:$B$101,MATCH($E243,担当者マスタ!$A$2:$A$101,0)),"※マスタ未登録"))</f>
        <v/>
      </c>
      <c r="G243" s="11" t="n">
        <v>110.858</v>
      </c>
      <c r="H243" s="11" t="n">
        <v>73.788</v>
      </c>
      <c r="I243" s="11" t="n">
        <v>306.331</v>
      </c>
      <c r="J243" s="11" t="n">
        <v>135.297</v>
      </c>
      <c r="K243" s="11" t="n">
        <v>30.79</v>
      </c>
      <c r="L243" s="11" t="n">
        <v>42.355</v>
      </c>
      <c r="M243" s="11" t="n">
        <f aca="false">SUM(G243:L243)</f>
        <v>699.419</v>
      </c>
      <c r="N243" s="11" t="n">
        <v>34.163</v>
      </c>
      <c r="O243" s="11" t="n">
        <v>22.512</v>
      </c>
      <c r="P243" s="11" t="n">
        <v>102.82</v>
      </c>
      <c r="Q243" s="11" t="n">
        <v>50.345</v>
      </c>
      <c r="R243" s="11" t="n">
        <v>10.027</v>
      </c>
      <c r="S243" s="11" t="n">
        <v>11.964</v>
      </c>
      <c r="T243" s="11" t="n">
        <f aca="false">SUM(N243:S243)</f>
        <v>231.831</v>
      </c>
      <c r="U243" s="11" t="n">
        <v>159.159</v>
      </c>
      <c r="V243" s="11" t="n">
        <v>66.192</v>
      </c>
      <c r="W243" s="11" t="n">
        <v>105.232</v>
      </c>
      <c r="X243" s="11" t="n">
        <v>20.193</v>
      </c>
      <c r="Y243" s="11" t="n">
        <v>25.669</v>
      </c>
      <c r="Z243" s="11" t="n">
        <v>99.548</v>
      </c>
      <c r="AA243" s="11" t="n">
        <f aca="false">SUM(U243:Z243)</f>
        <v>475.993</v>
      </c>
      <c r="AB243" s="11" t="n">
        <v>60.65</v>
      </c>
      <c r="AC243" s="11" t="n">
        <v>23.349</v>
      </c>
      <c r="AD243" s="11" t="n">
        <v>36.761</v>
      </c>
      <c r="AE243" s="11" t="n">
        <v>4.988</v>
      </c>
      <c r="AF243" s="11" t="n">
        <v>7.704</v>
      </c>
      <c r="AG243" s="11" t="n">
        <v>33.953</v>
      </c>
      <c r="AH243" s="11" t="n">
        <f aca="false">SUM(AB243:AG243)</f>
        <v>167.405</v>
      </c>
      <c r="AI243" s="12" t="s">
        <v>71</v>
      </c>
    </row>
    <row r="244" customFormat="false" ht="15" hidden="false" customHeight="false" outlineLevel="0" collapsed="false">
      <c r="A244" s="8" t="s">
        <v>552</v>
      </c>
      <c r="B244" s="12" t="s">
        <v>553</v>
      </c>
      <c r="C244" s="8" t="s">
        <v>410</v>
      </c>
      <c r="D244" s="12" t="s">
        <v>411</v>
      </c>
      <c r="E244" s="10" t="str">
        <f aca="true">IFERROR(IF(INDEX(INDIRECT("'"&amp;$AI244&amp;"'!$E$2:$E$320"),MATCH($A244,INDIRECT("'"&amp;$AI244&amp;"'!$A$2:$A$320"),0))="","",INDEX(INDIRECT("'"&amp;$AI244&amp;"'!$E$2:$E$320"),MATCH($A244,INDIRECT("'"&amp;$AI244&amp;"'!$A$2:$A$320"),0))),"")</f>
        <v/>
      </c>
      <c r="F244" s="9" t="str">
        <f aca="false">IF($E244="","",IFERROR(INDEX(担当者マスタ!$B$2:$B$101,MATCH($E244,担当者マスタ!$A$2:$A$101,0)),"※マスタ未登録"))</f>
        <v/>
      </c>
      <c r="G244" s="11" t="n">
        <v>179.42</v>
      </c>
      <c r="H244" s="11" t="n">
        <v>158.02</v>
      </c>
      <c r="I244" s="11" t="n">
        <v>223.66</v>
      </c>
      <c r="J244" s="11" t="n">
        <v>0</v>
      </c>
      <c r="K244" s="11" t="n">
        <v>243.82</v>
      </c>
      <c r="L244" s="11" t="n">
        <v>300.6</v>
      </c>
      <c r="M244" s="11" t="n">
        <f aca="false">SUM(G244:L244)</f>
        <v>1105.52</v>
      </c>
      <c r="N244" s="11" t="n">
        <v>47.2</v>
      </c>
      <c r="O244" s="11" t="n">
        <v>37.4</v>
      </c>
      <c r="P244" s="11" t="n">
        <v>55.52</v>
      </c>
      <c r="Q244" s="11" t="n">
        <v>0</v>
      </c>
      <c r="R244" s="11" t="n">
        <v>68.6</v>
      </c>
      <c r="S244" s="11" t="n">
        <v>97.2</v>
      </c>
      <c r="T244" s="11" t="n">
        <f aca="false">SUM(N244:S244)</f>
        <v>305.92</v>
      </c>
      <c r="U244" s="11" t="n">
        <v>126.32</v>
      </c>
      <c r="V244" s="11" t="n">
        <v>385.25</v>
      </c>
      <c r="W244" s="11" t="n">
        <v>171.525</v>
      </c>
      <c r="X244" s="11" t="n">
        <v>53.1</v>
      </c>
      <c r="Y244" s="11" t="n">
        <v>0</v>
      </c>
      <c r="Z244" s="11" t="n">
        <v>270.995</v>
      </c>
      <c r="AA244" s="11" t="n">
        <f aca="false">SUM(U244:Z244)</f>
        <v>1007.19</v>
      </c>
      <c r="AB244" s="11" t="n">
        <v>33.4</v>
      </c>
      <c r="AC244" s="11" t="n">
        <v>116.2</v>
      </c>
      <c r="AD244" s="11" t="n">
        <v>40.65</v>
      </c>
      <c r="AE244" s="11" t="n">
        <v>13.8</v>
      </c>
      <c r="AF244" s="11" t="n">
        <v>0</v>
      </c>
      <c r="AG244" s="11" t="n">
        <v>74.8</v>
      </c>
      <c r="AH244" s="11" t="n">
        <f aca="false">SUM(AB244:AG244)</f>
        <v>278.85</v>
      </c>
      <c r="AI244" s="12" t="s">
        <v>71</v>
      </c>
    </row>
    <row r="245" customFormat="false" ht="15" hidden="false" customHeight="false" outlineLevel="0" collapsed="false">
      <c r="A245" s="8" t="s">
        <v>554</v>
      </c>
      <c r="B245" s="12" t="s">
        <v>555</v>
      </c>
      <c r="C245" s="8" t="s">
        <v>410</v>
      </c>
      <c r="D245" s="12" t="s">
        <v>411</v>
      </c>
      <c r="E245" s="10" t="str">
        <f aca="true">IFERROR(IF(INDEX(INDIRECT("'"&amp;$AI245&amp;"'!$E$2:$E$320"),MATCH($A245,INDIRECT("'"&amp;$AI245&amp;"'!$A$2:$A$320"),0))="","",INDEX(INDIRECT("'"&amp;$AI245&amp;"'!$E$2:$E$320"),MATCH($A245,INDIRECT("'"&amp;$AI245&amp;"'!$A$2:$A$320"),0))),"")</f>
        <v/>
      </c>
      <c r="F245" s="9" t="str">
        <f aca="false">IF($E245="","",IFERROR(INDEX(担当者マスタ!$B$2:$B$101,MATCH($E245,担当者マスタ!$A$2:$A$101,0)),"※マスタ未登録"))</f>
        <v/>
      </c>
      <c r="G245" s="11" t="n">
        <v>70.241</v>
      </c>
      <c r="H245" s="11" t="n">
        <v>74.136</v>
      </c>
      <c r="I245" s="11" t="n">
        <v>133.903</v>
      </c>
      <c r="J245" s="11" t="n">
        <v>32.986</v>
      </c>
      <c r="K245" s="11" t="n">
        <v>47.743</v>
      </c>
      <c r="L245" s="11" t="n">
        <v>80.943</v>
      </c>
      <c r="M245" s="11" t="n">
        <f aca="false">SUM(G245:L245)</f>
        <v>439.952</v>
      </c>
      <c r="N245" s="11" t="n">
        <v>15.12</v>
      </c>
      <c r="O245" s="11" t="n">
        <v>16.857</v>
      </c>
      <c r="P245" s="11" t="n">
        <v>30.645</v>
      </c>
      <c r="Q245" s="11" t="n">
        <v>6.894</v>
      </c>
      <c r="R245" s="11" t="n">
        <v>10.523</v>
      </c>
      <c r="S245" s="11" t="n">
        <v>17.185</v>
      </c>
      <c r="T245" s="11" t="n">
        <f aca="false">SUM(N245:S245)</f>
        <v>97.224</v>
      </c>
      <c r="U245" s="11" t="n">
        <v>83.743</v>
      </c>
      <c r="V245" s="11" t="n">
        <v>52.576</v>
      </c>
      <c r="W245" s="11" t="n">
        <v>77.396</v>
      </c>
      <c r="X245" s="11" t="n">
        <v>47.805</v>
      </c>
      <c r="Y245" s="11" t="n">
        <v>48.075</v>
      </c>
      <c r="Z245" s="11" t="n">
        <v>51.95</v>
      </c>
      <c r="AA245" s="11" t="n">
        <f aca="false">SUM(U245:Z245)</f>
        <v>361.545</v>
      </c>
      <c r="AB245" s="11" t="n">
        <v>18.114</v>
      </c>
      <c r="AC245" s="11" t="n">
        <v>11.065</v>
      </c>
      <c r="AD245" s="11" t="n">
        <v>17.425</v>
      </c>
      <c r="AE245" s="11" t="n">
        <v>10.496</v>
      </c>
      <c r="AF245" s="11" t="n">
        <v>11.082</v>
      </c>
      <c r="AG245" s="11" t="n">
        <v>10.79</v>
      </c>
      <c r="AH245" s="11" t="n">
        <f aca="false">SUM(AB245:AG245)</f>
        <v>78.972</v>
      </c>
      <c r="AI245" s="12" t="s">
        <v>71</v>
      </c>
    </row>
    <row r="246" customFormat="false" ht="15" hidden="false" customHeight="false" outlineLevel="0" collapsed="false">
      <c r="A246" s="8" t="s">
        <v>556</v>
      </c>
      <c r="B246" s="12" t="s">
        <v>557</v>
      </c>
      <c r="C246" s="8" t="s">
        <v>410</v>
      </c>
      <c r="D246" s="12" t="s">
        <v>411</v>
      </c>
      <c r="E246" s="10" t="str">
        <f aca="true">IFERROR(IF(INDEX(INDIRECT("'"&amp;$AI246&amp;"'!$E$2:$E$320"),MATCH($A246,INDIRECT("'"&amp;$AI246&amp;"'!$A$2:$A$320"),0))="","",INDEX(INDIRECT("'"&amp;$AI246&amp;"'!$E$2:$E$320"),MATCH($A246,INDIRECT("'"&amp;$AI246&amp;"'!$A$2:$A$320"),0))),"")</f>
        <v/>
      </c>
      <c r="F246" s="9" t="str">
        <f aca="false">IF($E246="","",IFERROR(INDEX(担当者マスタ!$B$2:$B$101,MATCH($E246,担当者マスタ!$A$2:$A$101,0)),"※マスタ未登録"))</f>
        <v/>
      </c>
      <c r="G246" s="11" t="n">
        <v>36.566</v>
      </c>
      <c r="H246" s="11" t="n">
        <v>40.794</v>
      </c>
      <c r="I246" s="11" t="n">
        <v>70.6</v>
      </c>
      <c r="J246" s="11" t="n">
        <v>25.357</v>
      </c>
      <c r="K246" s="11" t="n">
        <v>35.4</v>
      </c>
      <c r="L246" s="11" t="n">
        <v>45.811</v>
      </c>
      <c r="M246" s="11" t="n">
        <f aca="false">SUM(G246:L246)</f>
        <v>254.528</v>
      </c>
      <c r="N246" s="11" t="n">
        <v>7.586</v>
      </c>
      <c r="O246" s="11" t="n">
        <v>9.206</v>
      </c>
      <c r="P246" s="11" t="n">
        <v>15.972</v>
      </c>
      <c r="Q246" s="11" t="n">
        <v>5.431</v>
      </c>
      <c r="R246" s="11" t="n">
        <v>7.7</v>
      </c>
      <c r="S246" s="11" t="n">
        <v>10.409</v>
      </c>
      <c r="T246" s="11" t="n">
        <f aca="false">SUM(N246:S246)</f>
        <v>56.304</v>
      </c>
      <c r="U246" s="11" t="n">
        <v>55.471</v>
      </c>
      <c r="V246" s="11" t="n">
        <v>29.584</v>
      </c>
      <c r="W246" s="11" t="n">
        <v>45.706</v>
      </c>
      <c r="X246" s="11" t="n">
        <v>32.284</v>
      </c>
      <c r="Y246" s="11" t="n">
        <v>31.066</v>
      </c>
      <c r="Z246" s="11" t="n">
        <v>42.522</v>
      </c>
      <c r="AA246" s="11" t="n">
        <f aca="false">SUM(U246:Z246)</f>
        <v>236.633</v>
      </c>
      <c r="AB246" s="11" t="n">
        <v>12.34</v>
      </c>
      <c r="AC246" s="11" t="n">
        <v>6.604</v>
      </c>
      <c r="AD246" s="11" t="n">
        <v>10.895</v>
      </c>
      <c r="AE246" s="11" t="n">
        <v>7.116</v>
      </c>
      <c r="AF246" s="11" t="n">
        <v>6.739</v>
      </c>
      <c r="AG246" s="11" t="n">
        <v>10.115</v>
      </c>
      <c r="AH246" s="11" t="n">
        <f aca="false">SUM(AB246:AG246)</f>
        <v>53.809</v>
      </c>
      <c r="AI246" s="12" t="s">
        <v>71</v>
      </c>
    </row>
    <row r="247" customFormat="false" ht="15" hidden="false" customHeight="false" outlineLevel="0" collapsed="false">
      <c r="A247" s="8" t="s">
        <v>558</v>
      </c>
      <c r="B247" s="12" t="s">
        <v>559</v>
      </c>
      <c r="C247" s="8" t="s">
        <v>410</v>
      </c>
      <c r="D247" s="12" t="s">
        <v>411</v>
      </c>
      <c r="E247" s="10" t="str">
        <f aca="true">IFERROR(IF(INDEX(INDIRECT("'"&amp;$AI247&amp;"'!$E$2:$E$320"),MATCH($A247,INDIRECT("'"&amp;$AI247&amp;"'!$A$2:$A$320"),0))="","",INDEX(INDIRECT("'"&amp;$AI247&amp;"'!$E$2:$E$320"),MATCH($A247,INDIRECT("'"&amp;$AI247&amp;"'!$A$2:$A$320"),0))),"")</f>
        <v/>
      </c>
      <c r="F247" s="9" t="str">
        <f aca="false">IF($E247="","",IFERROR(INDEX(担当者マスタ!$B$2:$B$101,MATCH($E247,担当者マスタ!$A$2:$A$101,0)),"※マスタ未登録"))</f>
        <v/>
      </c>
      <c r="G247" s="11" t="n">
        <v>97.558</v>
      </c>
      <c r="H247" s="11" t="n">
        <v>85.285</v>
      </c>
      <c r="I247" s="11" t="n">
        <v>134.569</v>
      </c>
      <c r="J247" s="11" t="n">
        <v>78.603</v>
      </c>
      <c r="K247" s="11" t="n">
        <v>68.517</v>
      </c>
      <c r="L247" s="11" t="n">
        <v>75.553</v>
      </c>
      <c r="M247" s="11" t="n">
        <f aca="false">SUM(G247:L247)</f>
        <v>540.085</v>
      </c>
      <c r="N247" s="11" t="n">
        <v>22.341</v>
      </c>
      <c r="O247" s="11" t="n">
        <v>19.64</v>
      </c>
      <c r="P247" s="11" t="n">
        <v>32.019</v>
      </c>
      <c r="Q247" s="11" t="n">
        <v>17.609</v>
      </c>
      <c r="R247" s="11" t="n">
        <v>16.535</v>
      </c>
      <c r="S247" s="11" t="n">
        <v>16.949</v>
      </c>
      <c r="T247" s="11" t="n">
        <f aca="false">SUM(N247:S247)</f>
        <v>125.093</v>
      </c>
      <c r="U247" s="11" t="n">
        <v>88.423</v>
      </c>
      <c r="V247" s="11" t="n">
        <v>66.499</v>
      </c>
      <c r="W247" s="11" t="n">
        <v>88.562</v>
      </c>
      <c r="X247" s="11" t="n">
        <v>67.098</v>
      </c>
      <c r="Y247" s="11" t="n">
        <v>58.187</v>
      </c>
      <c r="Z247" s="11" t="n">
        <v>76.848</v>
      </c>
      <c r="AA247" s="11" t="n">
        <f aca="false">SUM(U247:Z247)</f>
        <v>445.617</v>
      </c>
      <c r="AB247" s="11" t="n">
        <v>23.25</v>
      </c>
      <c r="AC247" s="11" t="n">
        <v>15.093</v>
      </c>
      <c r="AD247" s="11" t="n">
        <v>20.988</v>
      </c>
      <c r="AE247" s="11" t="n">
        <v>15.3</v>
      </c>
      <c r="AF247" s="11" t="n">
        <v>13.702</v>
      </c>
      <c r="AG247" s="11" t="n">
        <v>18.229</v>
      </c>
      <c r="AH247" s="11" t="n">
        <f aca="false">SUM(AB247:AG247)</f>
        <v>106.562</v>
      </c>
      <c r="AI247" s="12" t="s">
        <v>71</v>
      </c>
    </row>
    <row r="248" customFormat="false" ht="15" hidden="false" customHeight="false" outlineLevel="0" collapsed="false">
      <c r="A248" s="8" t="s">
        <v>560</v>
      </c>
      <c r="B248" s="12" t="s">
        <v>561</v>
      </c>
      <c r="C248" s="8" t="s">
        <v>410</v>
      </c>
      <c r="D248" s="12" t="s">
        <v>411</v>
      </c>
      <c r="E248" s="10" t="str">
        <f aca="true">IFERROR(IF(INDEX(INDIRECT("'"&amp;$AI248&amp;"'!$E$2:$E$320"),MATCH($A248,INDIRECT("'"&amp;$AI248&amp;"'!$A$2:$A$320"),0))="","",INDEX(INDIRECT("'"&amp;$AI248&amp;"'!$E$2:$E$320"),MATCH($A248,INDIRECT("'"&amp;$AI248&amp;"'!$A$2:$A$320"),0))),"")</f>
        <v/>
      </c>
      <c r="F248" s="9" t="str">
        <f aca="false">IF($E248="","",IFERROR(INDEX(担当者マスタ!$B$2:$B$101,MATCH($E248,担当者マスタ!$A$2:$A$101,0)),"※マスタ未登録"))</f>
        <v/>
      </c>
      <c r="G248" s="11" t="n">
        <v>975.274</v>
      </c>
      <c r="H248" s="11" t="n">
        <v>230.405</v>
      </c>
      <c r="I248" s="11" t="n">
        <v>512.926</v>
      </c>
      <c r="J248" s="11" t="n">
        <v>4559.8</v>
      </c>
      <c r="K248" s="11" t="n">
        <v>575.761</v>
      </c>
      <c r="L248" s="11" t="n">
        <v>141.91</v>
      </c>
      <c r="M248" s="11" t="n">
        <f aca="false">SUM(G248:L248)</f>
        <v>6996.076</v>
      </c>
      <c r="N248" s="11" t="n">
        <v>284.052</v>
      </c>
      <c r="O248" s="11" t="n">
        <v>91.68</v>
      </c>
      <c r="P248" s="11" t="n">
        <v>167.386</v>
      </c>
      <c r="Q248" s="11" t="n">
        <v>1012.5</v>
      </c>
      <c r="R248" s="11" t="n">
        <v>128.547</v>
      </c>
      <c r="S248" s="11" t="n">
        <v>44.32</v>
      </c>
      <c r="T248" s="11" t="n">
        <f aca="false">SUM(N248:S248)</f>
        <v>1728.485</v>
      </c>
      <c r="U248" s="11" t="n">
        <v>489.31</v>
      </c>
      <c r="V248" s="11" t="n">
        <v>533.426</v>
      </c>
      <c r="W248" s="11" t="n">
        <v>143.412</v>
      </c>
      <c r="X248" s="11" t="n">
        <v>694.283</v>
      </c>
      <c r="Y248" s="11" t="n">
        <v>215.378</v>
      </c>
      <c r="Z248" s="11" t="n">
        <v>108.05</v>
      </c>
      <c r="AA248" s="11" t="n">
        <f aca="false">SUM(U248:Z248)</f>
        <v>2183.859</v>
      </c>
      <c r="AB248" s="11" t="n">
        <v>185.498</v>
      </c>
      <c r="AC248" s="11" t="n">
        <v>163.097</v>
      </c>
      <c r="AD248" s="11" t="n">
        <v>41.768</v>
      </c>
      <c r="AE248" s="11" t="n">
        <v>196.028</v>
      </c>
      <c r="AF248" s="11" t="n">
        <v>45.648</v>
      </c>
      <c r="AG248" s="11" t="n">
        <v>32</v>
      </c>
      <c r="AH248" s="11" t="n">
        <f aca="false">SUM(AB248:AG248)</f>
        <v>664.039</v>
      </c>
      <c r="AI248" s="12" t="s">
        <v>71</v>
      </c>
    </row>
    <row r="249" customFormat="false" ht="15" hidden="false" customHeight="false" outlineLevel="0" collapsed="false">
      <c r="A249" s="8" t="s">
        <v>562</v>
      </c>
      <c r="B249" s="9" t="s">
        <v>563</v>
      </c>
      <c r="C249" s="8" t="s">
        <v>410</v>
      </c>
      <c r="D249" s="12" t="s">
        <v>411</v>
      </c>
      <c r="E249" s="10" t="str">
        <f aca="true">IFERROR(IF(INDEX(INDIRECT("'"&amp;$AI249&amp;"'!$E$2:$E$320"),MATCH($A249,INDIRECT("'"&amp;$AI249&amp;"'!$A$2:$A$320"),0))="","",INDEX(INDIRECT("'"&amp;$AI249&amp;"'!$E$2:$E$320"),MATCH($A249,INDIRECT("'"&amp;$AI249&amp;"'!$A$2:$A$320"),0))),"")</f>
        <v/>
      </c>
      <c r="F249" s="9" t="str">
        <f aca="false">IF($E249="","",IFERROR(INDEX(担当者マスタ!$B$2:$B$101,MATCH($E249,担当者マスタ!$A$2:$A$101,0)),"※マスタ未登録"))</f>
        <v/>
      </c>
      <c r="G249" s="11" t="n">
        <v>7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f aca="false">SUM(G249:L249)</f>
        <v>7</v>
      </c>
      <c r="N249" s="11" t="n">
        <v>2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f aca="false">SUM(N249:S249)</f>
        <v>2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f aca="false">SUM(U249:Z249)</f>
        <v>0</v>
      </c>
      <c r="AB249" s="11" t="n">
        <v>0</v>
      </c>
      <c r="AC249" s="11" t="n">
        <v>0</v>
      </c>
      <c r="AD249" s="11" t="n">
        <v>0</v>
      </c>
      <c r="AE249" s="11" t="n">
        <v>0</v>
      </c>
      <c r="AF249" s="11" t="n">
        <v>0</v>
      </c>
      <c r="AG249" s="11" t="n">
        <v>0</v>
      </c>
      <c r="AH249" s="11" t="n">
        <f aca="false">SUM(AB249:AG249)</f>
        <v>0</v>
      </c>
      <c r="AI249" s="12" t="s">
        <v>71</v>
      </c>
    </row>
    <row r="250" customFormat="false" ht="15" hidden="false" customHeight="false" outlineLevel="0" collapsed="false">
      <c r="A250" s="8" t="s">
        <v>564</v>
      </c>
      <c r="B250" s="12" t="s">
        <v>565</v>
      </c>
      <c r="C250" s="8" t="s">
        <v>410</v>
      </c>
      <c r="D250" s="12" t="s">
        <v>411</v>
      </c>
      <c r="E250" s="10" t="str">
        <f aca="true">IFERROR(IF(INDEX(INDIRECT("'"&amp;$AI250&amp;"'!$E$2:$E$320"),MATCH($A250,INDIRECT("'"&amp;$AI250&amp;"'!$A$2:$A$320"),0))="","",INDEX(INDIRECT("'"&amp;$AI250&amp;"'!$E$2:$E$320"),MATCH($A250,INDIRECT("'"&amp;$AI250&amp;"'!$A$2:$A$320"),0))),"")</f>
        <v/>
      </c>
      <c r="F250" s="9" t="str">
        <f aca="false">IF($E250="","",IFERROR(INDEX(担当者マスタ!$B$2:$B$101,MATCH($E250,担当者マスタ!$A$2:$A$101,0)),"※マスタ未登録"))</f>
        <v/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38.72</v>
      </c>
      <c r="L250" s="11" t="n">
        <v>0</v>
      </c>
      <c r="M250" s="11" t="n">
        <f aca="false">SUM(G250:L250)</f>
        <v>38.72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7.568</v>
      </c>
      <c r="S250" s="11" t="n">
        <v>0</v>
      </c>
      <c r="T250" s="11" t="n">
        <f aca="false">SUM(N250:S250)</f>
        <v>7.568</v>
      </c>
      <c r="U250" s="11" t="n">
        <v>0</v>
      </c>
      <c r="V250" s="11" t="n">
        <v>0</v>
      </c>
      <c r="W250" s="11" t="n">
        <v>0</v>
      </c>
      <c r="X250" s="11" t="n">
        <v>0</v>
      </c>
      <c r="Y250" s="11" t="n">
        <v>24.8</v>
      </c>
      <c r="Z250" s="11" t="n">
        <v>0</v>
      </c>
      <c r="AA250" s="11" t="n">
        <f aca="false">SUM(U250:Z250)</f>
        <v>24.8</v>
      </c>
      <c r="AB250" s="11" t="n">
        <v>0</v>
      </c>
      <c r="AC250" s="11" t="n">
        <v>0</v>
      </c>
      <c r="AD250" s="11" t="n">
        <v>0</v>
      </c>
      <c r="AE250" s="11" t="n">
        <v>0</v>
      </c>
      <c r="AF250" s="11" t="n">
        <v>6.624</v>
      </c>
      <c r="AG250" s="11" t="n">
        <v>0</v>
      </c>
      <c r="AH250" s="11" t="n">
        <f aca="false">SUM(AB250:AG250)</f>
        <v>6.624</v>
      </c>
      <c r="AI250" s="12" t="s">
        <v>71</v>
      </c>
    </row>
    <row r="251" customFormat="false" ht="15" hidden="false" customHeight="false" outlineLevel="0" collapsed="false">
      <c r="A251" s="8" t="s">
        <v>566</v>
      </c>
      <c r="B251" s="12" t="s">
        <v>567</v>
      </c>
      <c r="C251" s="8" t="s">
        <v>410</v>
      </c>
      <c r="D251" s="12" t="s">
        <v>411</v>
      </c>
      <c r="E251" s="10" t="str">
        <f aca="true">IFERROR(IF(INDEX(INDIRECT("'"&amp;$AI251&amp;"'!$E$2:$E$320"),MATCH($A251,INDIRECT("'"&amp;$AI251&amp;"'!$A$2:$A$320"),0))="","",INDEX(INDIRECT("'"&amp;$AI251&amp;"'!$E$2:$E$320"),MATCH($A251,INDIRECT("'"&amp;$AI251&amp;"'!$A$2:$A$320"),0))),"")</f>
        <v/>
      </c>
      <c r="F251" s="9" t="str">
        <f aca="false">IF($E251="","",IFERROR(INDEX(担当者マスタ!$B$2:$B$101,MATCH($E251,担当者マスタ!$A$2:$A$101,0)),"※マスタ未登録"))</f>
        <v/>
      </c>
      <c r="G251" s="11" t="n">
        <v>0</v>
      </c>
      <c r="H251" s="11" t="n">
        <v>7.82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f aca="false">SUM(G251:L251)</f>
        <v>7.82</v>
      </c>
      <c r="N251" s="11" t="n">
        <v>0</v>
      </c>
      <c r="O251" s="11" t="n">
        <v>2.625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f aca="false">SUM(N251:S251)</f>
        <v>2.625</v>
      </c>
      <c r="U251" s="11" t="n">
        <v>24</v>
      </c>
      <c r="V251" s="11" t="n">
        <v>0</v>
      </c>
      <c r="W251" s="11" t="n">
        <v>0</v>
      </c>
      <c r="X251" s="11" t="n">
        <v>0</v>
      </c>
      <c r="Y251" s="11" t="n">
        <v>4.085</v>
      </c>
      <c r="Z251" s="11" t="n">
        <v>0</v>
      </c>
      <c r="AA251" s="11" t="n">
        <f aca="false">SUM(U251:Z251)</f>
        <v>28.085</v>
      </c>
      <c r="AB251" s="11" t="n">
        <v>5.72</v>
      </c>
      <c r="AC251" s="11" t="n">
        <v>0</v>
      </c>
      <c r="AD251" s="11" t="n">
        <v>0</v>
      </c>
      <c r="AE251" s="11" t="n">
        <v>0</v>
      </c>
      <c r="AF251" s="11" t="n">
        <v>0.654</v>
      </c>
      <c r="AG251" s="11" t="n">
        <v>0</v>
      </c>
      <c r="AH251" s="11" t="n">
        <f aca="false">SUM(AB251:AG251)</f>
        <v>6.374</v>
      </c>
      <c r="AI251" s="12" t="s">
        <v>71</v>
      </c>
    </row>
    <row r="252" customFormat="false" ht="15" hidden="false" customHeight="false" outlineLevel="0" collapsed="false">
      <c r="A252" s="8" t="s">
        <v>568</v>
      </c>
      <c r="B252" s="12" t="s">
        <v>569</v>
      </c>
      <c r="C252" s="8" t="s">
        <v>410</v>
      </c>
      <c r="D252" s="12" t="s">
        <v>411</v>
      </c>
      <c r="E252" s="10" t="str">
        <f aca="true">IFERROR(IF(INDEX(INDIRECT("'"&amp;$AI252&amp;"'!$E$2:$E$320"),MATCH($A252,INDIRECT("'"&amp;$AI252&amp;"'!$A$2:$A$320"),0))="","",INDEX(INDIRECT("'"&amp;$AI252&amp;"'!$E$2:$E$320"),MATCH($A252,INDIRECT("'"&amp;$AI252&amp;"'!$A$2:$A$320"),0))),"")</f>
        <v/>
      </c>
      <c r="F252" s="9" t="str">
        <f aca="false">IF($E252="","",IFERROR(INDEX(担当者マスタ!$B$2:$B$101,MATCH($E252,担当者マスタ!$A$2:$A$101,0)),"※マスタ未登録"))</f>
        <v/>
      </c>
      <c r="G252" s="11" t="n">
        <v>0</v>
      </c>
      <c r="H252" s="11" t="n">
        <v>2.116</v>
      </c>
      <c r="I252" s="11" t="n">
        <v>0</v>
      </c>
      <c r="J252" s="11" t="n">
        <v>0</v>
      </c>
      <c r="K252" s="11" t="n">
        <v>2.116</v>
      </c>
      <c r="L252" s="11" t="n">
        <v>0</v>
      </c>
      <c r="M252" s="11" t="n">
        <f aca="false">SUM(G252:L252)</f>
        <v>4.232</v>
      </c>
      <c r="N252" s="11" t="n">
        <v>0</v>
      </c>
      <c r="O252" s="11" t="n">
        <v>1.132</v>
      </c>
      <c r="P252" s="11" t="n">
        <v>0</v>
      </c>
      <c r="Q252" s="11" t="n">
        <v>0</v>
      </c>
      <c r="R252" s="11" t="n">
        <v>1.132</v>
      </c>
      <c r="S252" s="11" t="n">
        <v>0</v>
      </c>
      <c r="T252" s="11" t="n">
        <f aca="false">SUM(N252:S252)</f>
        <v>2.264</v>
      </c>
      <c r="U252" s="11" t="n">
        <v>0</v>
      </c>
      <c r="V252" s="11" t="n">
        <v>4.439</v>
      </c>
      <c r="W252" s="11" t="n">
        <v>0.95</v>
      </c>
      <c r="X252" s="11" t="n">
        <v>4.232</v>
      </c>
      <c r="Y252" s="11" t="n">
        <v>0</v>
      </c>
      <c r="Z252" s="11" t="n">
        <v>0.906</v>
      </c>
      <c r="AA252" s="11" t="n">
        <f aca="false">SUM(U252:Z252)</f>
        <v>10.527</v>
      </c>
      <c r="AB252" s="11" t="n">
        <v>0</v>
      </c>
      <c r="AC252" s="11" t="n">
        <v>1.925</v>
      </c>
      <c r="AD252" s="11" t="n">
        <v>0.665</v>
      </c>
      <c r="AE252" s="11" t="n">
        <v>2.264</v>
      </c>
      <c r="AF252" s="11" t="n">
        <v>0</v>
      </c>
      <c r="AG252" s="11" t="n">
        <v>0.453</v>
      </c>
      <c r="AH252" s="11" t="n">
        <f aca="false">SUM(AB252:AG252)</f>
        <v>5.307</v>
      </c>
      <c r="AI252" s="12" t="s">
        <v>71</v>
      </c>
    </row>
    <row r="253" customFormat="false" ht="15" hidden="false" customHeight="false" outlineLevel="0" collapsed="false">
      <c r="A253" s="8" t="s">
        <v>570</v>
      </c>
      <c r="B253" s="12" t="s">
        <v>571</v>
      </c>
      <c r="C253" s="8" t="s">
        <v>410</v>
      </c>
      <c r="D253" s="12" t="s">
        <v>411</v>
      </c>
      <c r="E253" s="10" t="str">
        <f aca="true">IFERROR(IF(INDEX(INDIRECT("'"&amp;$AI253&amp;"'!$E$2:$E$320"),MATCH($A253,INDIRECT("'"&amp;$AI253&amp;"'!$A$2:$A$320"),0))="","",INDEX(INDIRECT("'"&amp;$AI253&amp;"'!$E$2:$E$320"),MATCH($A253,INDIRECT("'"&amp;$AI253&amp;"'!$A$2:$A$320"),0))),"")</f>
        <v/>
      </c>
      <c r="F253" s="9" t="str">
        <f aca="false">IF($E253="","",IFERROR(INDEX(担当者マスタ!$B$2:$B$101,MATCH($E253,担当者マスタ!$A$2:$A$101,0)),"※マスタ未登録"))</f>
        <v/>
      </c>
      <c r="G253" s="11" t="n">
        <v>35.8</v>
      </c>
      <c r="H253" s="11" t="n">
        <v>431.928</v>
      </c>
      <c r="I253" s="11" t="n">
        <v>623.979</v>
      </c>
      <c r="J253" s="11" t="n">
        <v>348.008</v>
      </c>
      <c r="K253" s="11" t="n">
        <v>365.27</v>
      </c>
      <c r="L253" s="11" t="n">
        <v>589.34</v>
      </c>
      <c r="M253" s="11" t="n">
        <f aca="false">SUM(G253:L253)</f>
        <v>2394.325</v>
      </c>
      <c r="N253" s="11" t="n">
        <v>6.125</v>
      </c>
      <c r="O253" s="11" t="n">
        <v>94.968</v>
      </c>
      <c r="P253" s="11" t="n">
        <v>138.274</v>
      </c>
      <c r="Q253" s="11" t="n">
        <v>71.288</v>
      </c>
      <c r="R253" s="11" t="n">
        <v>75.55</v>
      </c>
      <c r="S253" s="11" t="n">
        <v>127.29</v>
      </c>
      <c r="T253" s="11" t="n">
        <f aca="false">SUM(N253:S253)</f>
        <v>513.495</v>
      </c>
      <c r="U253" s="11" t="n">
        <v>701.478</v>
      </c>
      <c r="V253" s="11" t="n">
        <v>212.92</v>
      </c>
      <c r="W253" s="11" t="n">
        <v>1017.505</v>
      </c>
      <c r="X253" s="11" t="n">
        <v>389.498</v>
      </c>
      <c r="Y253" s="11" t="n">
        <v>179.69</v>
      </c>
      <c r="Z253" s="11" t="n">
        <v>716.998</v>
      </c>
      <c r="AA253" s="11" t="n">
        <f aca="false">SUM(U253:Z253)</f>
        <v>3218.089</v>
      </c>
      <c r="AB253" s="11" t="n">
        <v>146.538</v>
      </c>
      <c r="AC253" s="11" t="n">
        <v>58.98</v>
      </c>
      <c r="AD253" s="11" t="n">
        <v>214.039</v>
      </c>
      <c r="AE253" s="11" t="n">
        <v>94.983</v>
      </c>
      <c r="AF253" s="11" t="n">
        <v>35.51</v>
      </c>
      <c r="AG253" s="11" t="n">
        <v>176.308</v>
      </c>
      <c r="AH253" s="11" t="n">
        <f aca="false">SUM(AB253:AG253)</f>
        <v>726.358</v>
      </c>
      <c r="AI253" s="12" t="s">
        <v>71</v>
      </c>
    </row>
    <row r="254" customFormat="false" ht="15" hidden="false" customHeight="false" outlineLevel="0" collapsed="false">
      <c r="A254" s="8" t="s">
        <v>572</v>
      </c>
      <c r="B254" s="12" t="s">
        <v>573</v>
      </c>
      <c r="C254" s="8" t="s">
        <v>410</v>
      </c>
      <c r="D254" s="12" t="s">
        <v>411</v>
      </c>
      <c r="E254" s="10" t="str">
        <f aca="true">IFERROR(IF(INDEX(INDIRECT("'"&amp;$AI254&amp;"'!$E$2:$E$320"),MATCH($A254,INDIRECT("'"&amp;$AI254&amp;"'!$A$2:$A$320"),0))="","",INDEX(INDIRECT("'"&amp;$AI254&amp;"'!$E$2:$E$320"),MATCH($A254,INDIRECT("'"&amp;$AI254&amp;"'!$A$2:$A$320"),0))),"")</f>
        <v/>
      </c>
      <c r="F254" s="9" t="str">
        <f aca="false">IF($E254="","",IFERROR(INDEX(担当者マスタ!$B$2:$B$101,MATCH($E254,担当者マスタ!$A$2:$A$101,0)),"※マスタ未登録"))</f>
        <v/>
      </c>
      <c r="G254" s="11" t="n">
        <v>23.13</v>
      </c>
      <c r="H254" s="11" t="n">
        <v>1304.9</v>
      </c>
      <c r="I254" s="11" t="n">
        <v>19.59</v>
      </c>
      <c r="J254" s="11" t="n">
        <v>42.33</v>
      </c>
      <c r="K254" s="11" t="n">
        <v>55.56</v>
      </c>
      <c r="L254" s="11" t="n">
        <v>80.66</v>
      </c>
      <c r="M254" s="11" t="n">
        <f aca="false">SUM(G254:L254)</f>
        <v>1526.17</v>
      </c>
      <c r="N254" s="11" t="n">
        <v>8.328</v>
      </c>
      <c r="O254" s="11" t="n">
        <v>215.92</v>
      </c>
      <c r="P254" s="11" t="n">
        <v>8.296</v>
      </c>
      <c r="Q254" s="11" t="n">
        <v>9.288</v>
      </c>
      <c r="R254" s="11" t="n">
        <v>12.6</v>
      </c>
      <c r="S254" s="11" t="n">
        <v>22.31</v>
      </c>
      <c r="T254" s="11" t="n">
        <f aca="false">SUM(N254:S254)</f>
        <v>276.742</v>
      </c>
      <c r="U254" s="11" t="n">
        <v>66.824</v>
      </c>
      <c r="V254" s="11" t="n">
        <v>977.19</v>
      </c>
      <c r="W254" s="11" t="n">
        <v>1313.88</v>
      </c>
      <c r="X254" s="11" t="n">
        <v>8.89</v>
      </c>
      <c r="Y254" s="11" t="n">
        <v>539.2</v>
      </c>
      <c r="Z254" s="11" t="n">
        <v>9.6</v>
      </c>
      <c r="AA254" s="11" t="n">
        <f aca="false">SUM(U254:Z254)</f>
        <v>2915.584</v>
      </c>
      <c r="AB254" s="11" t="n">
        <v>19.556</v>
      </c>
      <c r="AC254" s="11" t="n">
        <v>268.78</v>
      </c>
      <c r="AD254" s="11" t="n">
        <v>222.388</v>
      </c>
      <c r="AE254" s="11" t="n">
        <v>2.248</v>
      </c>
      <c r="AF254" s="11" t="n">
        <v>116.88</v>
      </c>
      <c r="AG254" s="11" t="n">
        <v>3.44</v>
      </c>
      <c r="AH254" s="11" t="n">
        <f aca="false">SUM(AB254:AG254)</f>
        <v>633.292</v>
      </c>
      <c r="AI254" s="12" t="s">
        <v>71</v>
      </c>
    </row>
    <row r="255" customFormat="false" ht="15" hidden="false" customHeight="false" outlineLevel="0" collapsed="false">
      <c r="A255" s="8" t="s">
        <v>574</v>
      </c>
      <c r="B255" s="12" t="s">
        <v>575</v>
      </c>
      <c r="C255" s="8" t="s">
        <v>410</v>
      </c>
      <c r="D255" s="12" t="s">
        <v>411</v>
      </c>
      <c r="E255" s="10" t="str">
        <f aca="true">IFERROR(IF(INDEX(INDIRECT("'"&amp;$AI255&amp;"'!$E$2:$E$320"),MATCH($A255,INDIRECT("'"&amp;$AI255&amp;"'!$A$2:$A$320"),0))="","",INDEX(INDIRECT("'"&amp;$AI255&amp;"'!$E$2:$E$320"),MATCH($A255,INDIRECT("'"&amp;$AI255&amp;"'!$A$2:$A$320"),0))),"")</f>
        <v/>
      </c>
      <c r="F255" s="9" t="str">
        <f aca="false">IF($E255="","",IFERROR(INDEX(担当者マスタ!$B$2:$B$101,MATCH($E255,担当者マスタ!$A$2:$A$101,0)),"※マスタ未登録"))</f>
        <v/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f aca="false">SUM(G255:L255)</f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f aca="false">SUM(N255:S255)</f>
        <v>0</v>
      </c>
      <c r="U255" s="11" t="n">
        <v>0</v>
      </c>
      <c r="V255" s="11" t="n">
        <v>0</v>
      </c>
      <c r="W255" s="11" t="n">
        <v>0</v>
      </c>
      <c r="X255" s="11" t="n">
        <v>5.16</v>
      </c>
      <c r="Y255" s="11" t="n">
        <v>0</v>
      </c>
      <c r="Z255" s="11" t="n">
        <v>0</v>
      </c>
      <c r="AA255" s="11" t="n">
        <f aca="false">SUM(U255:Z255)</f>
        <v>5.16</v>
      </c>
      <c r="AB255" s="11" t="n">
        <v>0</v>
      </c>
      <c r="AC255" s="11" t="n">
        <v>0</v>
      </c>
      <c r="AD255" s="11" t="n">
        <v>0</v>
      </c>
      <c r="AE255" s="11" t="n">
        <v>1.968</v>
      </c>
      <c r="AF255" s="11" t="n">
        <v>0</v>
      </c>
      <c r="AG255" s="11" t="n">
        <v>0</v>
      </c>
      <c r="AH255" s="11" t="n">
        <f aca="false">SUM(AB255:AG255)</f>
        <v>1.968</v>
      </c>
      <c r="AI255" s="12" t="s">
        <v>71</v>
      </c>
    </row>
    <row r="256" customFormat="false" ht="15" hidden="false" customHeight="false" outlineLevel="0" collapsed="false">
      <c r="A256" s="8" t="s">
        <v>576</v>
      </c>
      <c r="B256" s="12" t="s">
        <v>577</v>
      </c>
      <c r="C256" s="8" t="s">
        <v>410</v>
      </c>
      <c r="D256" s="12" t="s">
        <v>411</v>
      </c>
      <c r="E256" s="10" t="str">
        <f aca="true">IFERROR(IF(INDEX(INDIRECT("'"&amp;$AI256&amp;"'!$E$2:$E$320"),MATCH($A256,INDIRECT("'"&amp;$AI256&amp;"'!$A$2:$A$320"),0))="","",INDEX(INDIRECT("'"&amp;$AI256&amp;"'!$E$2:$E$320"),MATCH($A256,INDIRECT("'"&amp;$AI256&amp;"'!$A$2:$A$320"),0))),"")</f>
        <v/>
      </c>
      <c r="F256" s="9" t="str">
        <f aca="false">IF($E256="","",IFERROR(INDEX(担当者マスタ!$B$2:$B$101,MATCH($E256,担当者マスタ!$A$2:$A$101,0)),"※マスタ未登録"))</f>
        <v/>
      </c>
      <c r="G256" s="11" t="n">
        <v>10.95</v>
      </c>
      <c r="H256" s="11" t="n">
        <v>49.4</v>
      </c>
      <c r="I256" s="11" t="n">
        <v>12.1</v>
      </c>
      <c r="J256" s="11" t="n">
        <v>0</v>
      </c>
      <c r="K256" s="11" t="n">
        <v>12.6</v>
      </c>
      <c r="L256" s="11" t="n">
        <v>0</v>
      </c>
      <c r="M256" s="11" t="n">
        <f aca="false">SUM(G256:L256)</f>
        <v>85.05</v>
      </c>
      <c r="N256" s="11" t="n">
        <v>3.63</v>
      </c>
      <c r="O256" s="11" t="n">
        <v>23.5</v>
      </c>
      <c r="P256" s="11" t="n">
        <v>5.88</v>
      </c>
      <c r="Q256" s="11" t="n">
        <v>0</v>
      </c>
      <c r="R256" s="11" t="n">
        <v>5.28</v>
      </c>
      <c r="S256" s="11" t="n">
        <v>0</v>
      </c>
      <c r="T256" s="11" t="n">
        <f aca="false">SUM(N256:S256)</f>
        <v>38.29</v>
      </c>
      <c r="U256" s="11" t="n">
        <v>0</v>
      </c>
      <c r="V256" s="11" t="n">
        <v>0</v>
      </c>
      <c r="W256" s="11" t="n">
        <v>62.13</v>
      </c>
      <c r="X256" s="11" t="n">
        <v>76.74</v>
      </c>
      <c r="Y256" s="11" t="n">
        <v>0</v>
      </c>
      <c r="Z256" s="11" t="n">
        <v>0</v>
      </c>
      <c r="AA256" s="11" t="n">
        <f aca="false">SUM(U256:Z256)</f>
        <v>138.87</v>
      </c>
      <c r="AB256" s="11" t="n">
        <v>0</v>
      </c>
      <c r="AC256" s="11" t="n">
        <v>0</v>
      </c>
      <c r="AD256" s="11" t="n">
        <v>28.058</v>
      </c>
      <c r="AE256" s="11" t="n">
        <v>34.88</v>
      </c>
      <c r="AF256" s="11" t="n">
        <v>0</v>
      </c>
      <c r="AG256" s="11" t="n">
        <v>0</v>
      </c>
      <c r="AH256" s="11" t="n">
        <f aca="false">SUM(AB256:AG256)</f>
        <v>62.938</v>
      </c>
      <c r="AI256" s="12" t="s">
        <v>71</v>
      </c>
    </row>
    <row r="257" customFormat="false" ht="15" hidden="false" customHeight="false" outlineLevel="0" collapsed="false">
      <c r="A257" s="8" t="s">
        <v>578</v>
      </c>
      <c r="B257" s="12" t="s">
        <v>579</v>
      </c>
      <c r="C257" s="8" t="s">
        <v>410</v>
      </c>
      <c r="D257" s="12" t="s">
        <v>411</v>
      </c>
      <c r="E257" s="10" t="str">
        <f aca="true">IFERROR(IF(INDEX(INDIRECT("'"&amp;$AI257&amp;"'!$E$2:$E$320"),MATCH($A257,INDIRECT("'"&amp;$AI257&amp;"'!$A$2:$A$320"),0))="","",INDEX(INDIRECT("'"&amp;$AI257&amp;"'!$E$2:$E$320"),MATCH($A257,INDIRECT("'"&amp;$AI257&amp;"'!$A$2:$A$320"),0))),"")</f>
        <v/>
      </c>
      <c r="F257" s="9" t="str">
        <f aca="false">IF($E257="","",IFERROR(INDEX(担当者マスタ!$B$2:$B$101,MATCH($E257,担当者マスタ!$A$2:$A$101,0)),"※マスタ未登録"))</f>
        <v/>
      </c>
      <c r="G257" s="11" t="n">
        <v>64.82</v>
      </c>
      <c r="H257" s="11" t="n">
        <v>7.5</v>
      </c>
      <c r="I257" s="11" t="n">
        <v>46.772</v>
      </c>
      <c r="J257" s="11" t="n">
        <v>6.2</v>
      </c>
      <c r="K257" s="11" t="n">
        <v>0</v>
      </c>
      <c r="L257" s="11" t="n">
        <v>0</v>
      </c>
      <c r="M257" s="11" t="n">
        <f aca="false">SUM(G257:L257)</f>
        <v>125.292</v>
      </c>
      <c r="N257" s="11" t="n">
        <v>17.004</v>
      </c>
      <c r="O257" s="11" t="n">
        <v>1.8</v>
      </c>
      <c r="P257" s="11" t="n">
        <v>13.496</v>
      </c>
      <c r="Q257" s="11" t="n">
        <v>1</v>
      </c>
      <c r="R257" s="11" t="n">
        <v>0</v>
      </c>
      <c r="S257" s="11" t="n">
        <v>0</v>
      </c>
      <c r="T257" s="11" t="n">
        <f aca="false">SUM(N257:S257)</f>
        <v>33.3</v>
      </c>
      <c r="U257" s="11" t="n">
        <v>36.9</v>
      </c>
      <c r="V257" s="11" t="n">
        <v>26.7</v>
      </c>
      <c r="W257" s="11" t="n">
        <v>9.3</v>
      </c>
      <c r="X257" s="11" t="n">
        <v>9.6</v>
      </c>
      <c r="Y257" s="11" t="n">
        <v>0</v>
      </c>
      <c r="Z257" s="11" t="n">
        <v>0</v>
      </c>
      <c r="AA257" s="11" t="n">
        <f aca="false">SUM(U257:Z257)</f>
        <v>82.5</v>
      </c>
      <c r="AB257" s="11" t="n">
        <v>9.84</v>
      </c>
      <c r="AC257" s="11" t="n">
        <v>7.469</v>
      </c>
      <c r="AD257" s="11" t="n">
        <v>2.4</v>
      </c>
      <c r="AE257" s="11" t="n">
        <v>2.37</v>
      </c>
      <c r="AF257" s="11" t="n">
        <v>0</v>
      </c>
      <c r="AG257" s="11" t="n">
        <v>0</v>
      </c>
      <c r="AH257" s="11" t="n">
        <f aca="false">SUM(AB257:AG257)</f>
        <v>22.079</v>
      </c>
      <c r="AI257" s="12" t="s">
        <v>71</v>
      </c>
    </row>
    <row r="258" customFormat="false" ht="15" hidden="false" customHeight="false" outlineLevel="0" collapsed="false">
      <c r="A258" s="8" t="s">
        <v>580</v>
      </c>
      <c r="B258" s="12" t="s">
        <v>581</v>
      </c>
      <c r="C258" s="8" t="s">
        <v>410</v>
      </c>
      <c r="D258" s="12" t="s">
        <v>411</v>
      </c>
      <c r="E258" s="10" t="str">
        <f aca="true">IFERROR(IF(INDEX(INDIRECT("'"&amp;$AI258&amp;"'!$E$2:$E$320"),MATCH($A258,INDIRECT("'"&amp;$AI258&amp;"'!$A$2:$A$320"),0))="","",INDEX(INDIRECT("'"&amp;$AI258&amp;"'!$E$2:$E$320"),MATCH($A258,INDIRECT("'"&amp;$AI258&amp;"'!$A$2:$A$320"),0))),"")</f>
        <v/>
      </c>
      <c r="F258" s="9" t="str">
        <f aca="false">IF($E258="","",IFERROR(INDEX(担当者マスタ!$B$2:$B$101,MATCH($E258,担当者マスタ!$A$2:$A$101,0)),"※マスタ未登録"))</f>
        <v/>
      </c>
      <c r="G258" s="11" t="n">
        <v>9.6</v>
      </c>
      <c r="H258" s="11" t="n">
        <v>87.2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f aca="false">SUM(G258:L258)</f>
        <v>96.8</v>
      </c>
      <c r="N258" s="11" t="n">
        <v>2.4</v>
      </c>
      <c r="O258" s="11" t="n">
        <v>21.82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f aca="false">SUM(N258:S258)</f>
        <v>24.22</v>
      </c>
      <c r="U258" s="11" t="n">
        <v>186.5</v>
      </c>
      <c r="V258" s="11" t="n">
        <v>255.6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f aca="false">SUM(U258:Z258)</f>
        <v>442.1</v>
      </c>
      <c r="AB258" s="11" t="n">
        <v>30.9</v>
      </c>
      <c r="AC258" s="11" t="n">
        <v>70.38</v>
      </c>
      <c r="AD258" s="11" t="n">
        <v>0</v>
      </c>
      <c r="AE258" s="11" t="n">
        <v>0</v>
      </c>
      <c r="AF258" s="11" t="n">
        <v>0</v>
      </c>
      <c r="AG258" s="11" t="n">
        <v>0</v>
      </c>
      <c r="AH258" s="11" t="n">
        <f aca="false">SUM(AB258:AG258)</f>
        <v>101.28</v>
      </c>
      <c r="AI258" s="12" t="s">
        <v>71</v>
      </c>
    </row>
    <row r="259" customFormat="false" ht="15" hidden="false" customHeight="false" outlineLevel="0" collapsed="false">
      <c r="A259" s="8" t="s">
        <v>582</v>
      </c>
      <c r="B259" s="12" t="s">
        <v>583</v>
      </c>
      <c r="C259" s="8" t="s">
        <v>410</v>
      </c>
      <c r="D259" s="12" t="s">
        <v>411</v>
      </c>
      <c r="E259" s="10" t="str">
        <f aca="true">IFERROR(IF(INDEX(INDIRECT("'"&amp;$AI259&amp;"'!$E$2:$E$320"),MATCH($A259,INDIRECT("'"&amp;$AI259&amp;"'!$A$2:$A$320"),0))="","",INDEX(INDIRECT("'"&amp;$AI259&amp;"'!$E$2:$E$320"),MATCH($A259,INDIRECT("'"&amp;$AI259&amp;"'!$A$2:$A$320"),0))),"")</f>
        <v/>
      </c>
      <c r="F259" s="9" t="str">
        <f aca="false">IF($E259="","",IFERROR(INDEX(担当者マスタ!$B$2:$B$101,MATCH($E259,担当者マスタ!$A$2:$A$101,0)),"※マスタ未登録"))</f>
        <v/>
      </c>
      <c r="G259" s="11" t="n">
        <v>0</v>
      </c>
      <c r="H259" s="11" t="n">
        <v>0</v>
      </c>
      <c r="I259" s="11" t="n">
        <v>0</v>
      </c>
      <c r="J259" s="11" t="n">
        <v>148.5</v>
      </c>
      <c r="K259" s="11" t="n">
        <v>0</v>
      </c>
      <c r="L259" s="11" t="n">
        <v>118</v>
      </c>
      <c r="M259" s="11" t="n">
        <f aca="false">SUM(G259:L259)</f>
        <v>266.5</v>
      </c>
      <c r="N259" s="11" t="n">
        <v>0</v>
      </c>
      <c r="O259" s="11" t="n">
        <v>0</v>
      </c>
      <c r="P259" s="11" t="n">
        <v>0</v>
      </c>
      <c r="Q259" s="11" t="n">
        <v>37.25</v>
      </c>
      <c r="R259" s="11" t="n">
        <v>0</v>
      </c>
      <c r="S259" s="11" t="n">
        <v>29.8</v>
      </c>
      <c r="T259" s="11" t="n">
        <f aca="false">SUM(N259:S259)</f>
        <v>67.05</v>
      </c>
      <c r="U259" s="11" t="n">
        <v>0</v>
      </c>
      <c r="V259" s="11" t="n">
        <v>0</v>
      </c>
      <c r="W259" s="11" t="n">
        <v>0</v>
      </c>
      <c r="X259" s="11" t="n">
        <v>0</v>
      </c>
      <c r="Y259" s="11" t="n">
        <v>0</v>
      </c>
      <c r="Z259" s="11" t="n">
        <v>0</v>
      </c>
      <c r="AA259" s="11" t="n">
        <f aca="false">SUM(U259:Z259)</f>
        <v>0</v>
      </c>
      <c r="AB259" s="11" t="n">
        <v>0</v>
      </c>
      <c r="AC259" s="11" t="n">
        <v>0</v>
      </c>
      <c r="AD259" s="11" t="n">
        <v>0</v>
      </c>
      <c r="AE259" s="11" t="n">
        <v>0</v>
      </c>
      <c r="AF259" s="11" t="n">
        <v>0</v>
      </c>
      <c r="AG259" s="11" t="n">
        <v>0</v>
      </c>
      <c r="AH259" s="11" t="n">
        <f aca="false">SUM(AB259:AG259)</f>
        <v>0</v>
      </c>
      <c r="AI259" s="12" t="s">
        <v>71</v>
      </c>
    </row>
    <row r="260" customFormat="false" ht="15" hidden="false" customHeight="false" outlineLevel="0" collapsed="false">
      <c r="A260" s="8" t="s">
        <v>584</v>
      </c>
      <c r="B260" s="9" t="s">
        <v>585</v>
      </c>
      <c r="C260" s="8" t="s">
        <v>410</v>
      </c>
      <c r="D260" s="12" t="s">
        <v>411</v>
      </c>
      <c r="E260" s="10" t="str">
        <f aca="true">IFERROR(IF(INDEX(INDIRECT("'"&amp;$AI260&amp;"'!$E$2:$E$320"),MATCH($A260,INDIRECT("'"&amp;$AI260&amp;"'!$A$2:$A$320"),0))="","",INDEX(INDIRECT("'"&amp;$AI260&amp;"'!$E$2:$E$320"),MATCH($A260,INDIRECT("'"&amp;$AI260&amp;"'!$A$2:$A$320"),0))),"")</f>
        <v/>
      </c>
      <c r="F260" s="9" t="str">
        <f aca="false">IF($E260="","",IFERROR(INDEX(担当者マスタ!$B$2:$B$101,MATCH($E260,担当者マスタ!$A$2:$A$101,0)),"※マスタ未登録"))</f>
        <v/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f aca="false">SUM(G260:L260)</f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f aca="false">SUM(N260:S260)</f>
        <v>0</v>
      </c>
      <c r="U260" s="11" t="n">
        <v>217.13</v>
      </c>
      <c r="V260" s="11" t="n">
        <v>232.168</v>
      </c>
      <c r="W260" s="11" t="n">
        <v>497.134</v>
      </c>
      <c r="X260" s="11" t="n">
        <v>401.502</v>
      </c>
      <c r="Y260" s="11" t="n">
        <v>342.684</v>
      </c>
      <c r="Z260" s="11" t="n">
        <v>413.37</v>
      </c>
      <c r="AA260" s="11" t="n">
        <f aca="false">SUM(U260:Z260)</f>
        <v>2103.988</v>
      </c>
      <c r="AB260" s="11" t="n">
        <v>41.249</v>
      </c>
      <c r="AC260" s="11" t="n">
        <v>41.703</v>
      </c>
      <c r="AD260" s="11" t="n">
        <v>90.081</v>
      </c>
      <c r="AE260" s="11" t="n">
        <v>69.151</v>
      </c>
      <c r="AF260" s="11" t="n">
        <v>68.212</v>
      </c>
      <c r="AG260" s="11" t="n">
        <v>87.396</v>
      </c>
      <c r="AH260" s="11" t="n">
        <f aca="false">SUM(AB260:AG260)</f>
        <v>397.792</v>
      </c>
      <c r="AI260" s="12" t="s">
        <v>71</v>
      </c>
    </row>
    <row r="261" customFormat="false" ht="15" hidden="false" customHeight="false" outlineLevel="0" collapsed="false">
      <c r="A261" s="8" t="s">
        <v>586</v>
      </c>
      <c r="B261" s="12" t="s">
        <v>587</v>
      </c>
      <c r="C261" s="8" t="s">
        <v>410</v>
      </c>
      <c r="D261" s="12" t="s">
        <v>411</v>
      </c>
      <c r="E261" s="10" t="str">
        <f aca="true">IFERROR(IF(INDEX(INDIRECT("'"&amp;$AI261&amp;"'!$E$2:$E$320"),MATCH($A261,INDIRECT("'"&amp;$AI261&amp;"'!$A$2:$A$320"),0))="","",INDEX(INDIRECT("'"&amp;$AI261&amp;"'!$E$2:$E$320"),MATCH($A261,INDIRECT("'"&amp;$AI261&amp;"'!$A$2:$A$320"),0))),"")</f>
        <v/>
      </c>
      <c r="F261" s="9" t="str">
        <f aca="false">IF($E261="","",IFERROR(INDEX(担当者マスタ!$B$2:$B$101,MATCH($E261,担当者マスタ!$A$2:$A$101,0)),"※マスタ未登録"))</f>
        <v/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f aca="false">SUM(G261:L261)</f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f aca="false">SUM(N261:S261)</f>
        <v>0</v>
      </c>
      <c r="U261" s="11" t="n">
        <v>30.4</v>
      </c>
      <c r="V261" s="11" t="n">
        <v>30.4</v>
      </c>
      <c r="W261" s="11" t="n">
        <v>15.2</v>
      </c>
      <c r="X261" s="11" t="n">
        <v>30.4</v>
      </c>
      <c r="Y261" s="11" t="n">
        <v>30.4</v>
      </c>
      <c r="Z261" s="11" t="n">
        <v>30.4</v>
      </c>
      <c r="AA261" s="11" t="n">
        <f aca="false">SUM(U261:Z261)</f>
        <v>167.2</v>
      </c>
      <c r="AB261" s="11" t="n">
        <v>3.54</v>
      </c>
      <c r="AC261" s="11" t="n">
        <v>3.54</v>
      </c>
      <c r="AD261" s="11" t="n">
        <v>1.77</v>
      </c>
      <c r="AE261" s="11" t="n">
        <v>3.54</v>
      </c>
      <c r="AF261" s="11" t="n">
        <v>3.54</v>
      </c>
      <c r="AG261" s="11" t="n">
        <v>3.54</v>
      </c>
      <c r="AH261" s="11" t="n">
        <f aca="false">SUM(AB261:AG261)</f>
        <v>19.47</v>
      </c>
      <c r="AI261" s="12" t="s">
        <v>71</v>
      </c>
    </row>
    <row r="262" customFormat="false" ht="15" hidden="false" customHeight="false" outlineLevel="0" collapsed="false">
      <c r="A262" s="8" t="s">
        <v>588</v>
      </c>
      <c r="B262" s="12" t="s">
        <v>589</v>
      </c>
      <c r="C262" s="8" t="s">
        <v>410</v>
      </c>
      <c r="D262" s="12" t="s">
        <v>411</v>
      </c>
      <c r="E262" s="10" t="str">
        <f aca="true">IFERROR(IF(INDEX(INDIRECT("'"&amp;$AI262&amp;"'!$E$2:$E$320"),MATCH($A262,INDIRECT("'"&amp;$AI262&amp;"'!$A$2:$A$320"),0))="","",INDEX(INDIRECT("'"&amp;$AI262&amp;"'!$E$2:$E$320"),MATCH($A262,INDIRECT("'"&amp;$AI262&amp;"'!$A$2:$A$320"),0))),"")</f>
        <v/>
      </c>
      <c r="F262" s="9" t="str">
        <f aca="false">IF($E262="","",IFERROR(INDEX(担当者マスタ!$B$2:$B$101,MATCH($E262,担当者マスタ!$A$2:$A$101,0)),"※マスタ未登録"))</f>
        <v/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f aca="false">SUM(G262:L262)</f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f aca="false">SUM(N262:S262)</f>
        <v>0</v>
      </c>
      <c r="U262" s="11" t="n">
        <v>0</v>
      </c>
      <c r="V262" s="11" t="n">
        <v>89.712</v>
      </c>
      <c r="W262" s="11" t="n">
        <v>0</v>
      </c>
      <c r="X262" s="11" t="n">
        <v>0</v>
      </c>
      <c r="Y262" s="11" t="n">
        <v>0</v>
      </c>
      <c r="Z262" s="11" t="n">
        <v>269.136</v>
      </c>
      <c r="AA262" s="11" t="n">
        <f aca="false">SUM(U262:Z262)</f>
        <v>358.848</v>
      </c>
      <c r="AB262" s="11" t="n">
        <v>0</v>
      </c>
      <c r="AC262" s="11" t="n">
        <v>11.6827</v>
      </c>
      <c r="AD262" s="11" t="n">
        <v>0</v>
      </c>
      <c r="AE262" s="11" t="n">
        <v>0</v>
      </c>
      <c r="AF262" s="11" t="n">
        <v>0</v>
      </c>
      <c r="AG262" s="11" t="n">
        <v>35.0482</v>
      </c>
      <c r="AH262" s="11" t="n">
        <f aca="false">SUM(AB262:AG262)</f>
        <v>46.7309</v>
      </c>
      <c r="AI262" s="12" t="s">
        <v>71</v>
      </c>
    </row>
    <row r="263" customFormat="false" ht="15" hidden="false" customHeight="false" outlineLevel="0" collapsed="false">
      <c r="A263" s="8" t="s">
        <v>590</v>
      </c>
      <c r="B263" s="12" t="s">
        <v>591</v>
      </c>
      <c r="C263" s="8" t="s">
        <v>410</v>
      </c>
      <c r="D263" s="12" t="s">
        <v>411</v>
      </c>
      <c r="E263" s="10" t="str">
        <f aca="true">IFERROR(IF(INDEX(INDIRECT("'"&amp;$AI263&amp;"'!$E$2:$E$320"),MATCH($A263,INDIRECT("'"&amp;$AI263&amp;"'!$A$2:$A$320"),0))="","",INDEX(INDIRECT("'"&amp;$AI263&amp;"'!$E$2:$E$320"),MATCH($A263,INDIRECT("'"&amp;$AI263&amp;"'!$A$2:$A$320"),0))),"")</f>
        <v/>
      </c>
      <c r="F263" s="9" t="str">
        <f aca="false">IF($E263="","",IFERROR(INDEX(担当者マスタ!$B$2:$B$101,MATCH($E263,担当者マスタ!$A$2:$A$101,0)),"※マスタ未登録"))</f>
        <v/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f aca="false">SUM(G263:L263)</f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f aca="false">SUM(N263:S263)</f>
        <v>0</v>
      </c>
      <c r="U263" s="11" t="n">
        <v>0</v>
      </c>
      <c r="V263" s="11" t="n">
        <v>0</v>
      </c>
      <c r="W263" s="11" t="n">
        <v>5.28</v>
      </c>
      <c r="X263" s="11" t="n">
        <v>3.96</v>
      </c>
      <c r="Y263" s="11" t="n">
        <v>17.424</v>
      </c>
      <c r="Z263" s="11" t="n">
        <v>14.784</v>
      </c>
      <c r="AA263" s="11" t="n">
        <f aca="false">SUM(U263:Z263)</f>
        <v>41.448</v>
      </c>
      <c r="AB263" s="11" t="n">
        <v>0</v>
      </c>
      <c r="AC263" s="11" t="n">
        <v>0</v>
      </c>
      <c r="AD263" s="11" t="n">
        <v>0.96</v>
      </c>
      <c r="AE263" s="11" t="n">
        <v>0.72</v>
      </c>
      <c r="AF263" s="11" t="n">
        <v>3.924</v>
      </c>
      <c r="AG263" s="11" t="n">
        <v>2.904</v>
      </c>
      <c r="AH263" s="11" t="n">
        <f aca="false">SUM(AB263:AG263)</f>
        <v>8.508</v>
      </c>
      <c r="AI263" s="12" t="s">
        <v>71</v>
      </c>
    </row>
    <row r="264" customFormat="false" ht="15" hidden="false" customHeight="false" outlineLevel="0" collapsed="false">
      <c r="A264" s="8" t="s">
        <v>592</v>
      </c>
      <c r="B264" s="9" t="s">
        <v>593</v>
      </c>
      <c r="C264" s="8" t="s">
        <v>410</v>
      </c>
      <c r="D264" s="12" t="s">
        <v>411</v>
      </c>
      <c r="E264" s="10" t="str">
        <f aca="true">IFERROR(IF(INDEX(INDIRECT("'"&amp;$AI264&amp;"'!$E$2:$E$320"),MATCH($A264,INDIRECT("'"&amp;$AI264&amp;"'!$A$2:$A$320"),0))="","",INDEX(INDIRECT("'"&amp;$AI264&amp;"'!$E$2:$E$320"),MATCH($A264,INDIRECT("'"&amp;$AI264&amp;"'!$A$2:$A$320"),0))),"")</f>
        <v/>
      </c>
      <c r="F264" s="9" t="str">
        <f aca="false">IF($E264="","",IFERROR(INDEX(担当者マスタ!$B$2:$B$101,MATCH($E264,担当者マスタ!$A$2:$A$101,0)),"※マスタ未登録"))</f>
        <v/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f aca="false">SUM(G264:L264)</f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f aca="false">SUM(N264:S264)</f>
        <v>0</v>
      </c>
      <c r="U264" s="11" t="n">
        <v>64.949</v>
      </c>
      <c r="V264" s="11" t="n">
        <v>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f aca="false">SUM(U264:Z264)</f>
        <v>64.949</v>
      </c>
      <c r="AB264" s="11" t="n">
        <v>8.454</v>
      </c>
      <c r="AC264" s="11" t="n">
        <v>0</v>
      </c>
      <c r="AD264" s="11" t="n">
        <v>0</v>
      </c>
      <c r="AE264" s="11" t="n">
        <v>0</v>
      </c>
      <c r="AF264" s="11" t="n">
        <v>0</v>
      </c>
      <c r="AG264" s="11" t="n">
        <v>0</v>
      </c>
      <c r="AH264" s="11" t="n">
        <f aca="false">SUM(AB264:AG264)</f>
        <v>8.454</v>
      </c>
      <c r="AI264" s="12" t="s">
        <v>71</v>
      </c>
    </row>
    <row r="265" customFormat="false" ht="15" hidden="false" customHeight="false" outlineLevel="0" collapsed="false">
      <c r="A265" s="8" t="s">
        <v>594</v>
      </c>
      <c r="B265" s="12" t="s">
        <v>595</v>
      </c>
      <c r="C265" s="8" t="s">
        <v>410</v>
      </c>
      <c r="D265" s="12" t="s">
        <v>411</v>
      </c>
      <c r="E265" s="10" t="str">
        <f aca="true">IFERROR(IF(INDEX(INDIRECT("'"&amp;$AI265&amp;"'!$E$2:$E$320"),MATCH($A265,INDIRECT("'"&amp;$AI265&amp;"'!$A$2:$A$320"),0))="","",INDEX(INDIRECT("'"&amp;$AI265&amp;"'!$E$2:$E$320"),MATCH($A265,INDIRECT("'"&amp;$AI265&amp;"'!$A$2:$A$320"),0))),"")</f>
        <v/>
      </c>
      <c r="F265" s="9" t="str">
        <f aca="false">IF($E265="","",IFERROR(INDEX(担当者マスタ!$B$2:$B$101,MATCH($E265,担当者マスタ!$A$2:$A$101,0)),"※マスタ未登録"))</f>
        <v/>
      </c>
      <c r="G265" s="11" t="n">
        <v>0</v>
      </c>
      <c r="H265" s="11" t="n">
        <v>0</v>
      </c>
      <c r="I265" s="11" t="n">
        <v>115</v>
      </c>
      <c r="J265" s="11" t="n">
        <v>0</v>
      </c>
      <c r="K265" s="11" t="n">
        <v>0</v>
      </c>
      <c r="L265" s="11" t="n">
        <v>0</v>
      </c>
      <c r="M265" s="11" t="n">
        <f aca="false">SUM(G265:L265)</f>
        <v>115</v>
      </c>
      <c r="N265" s="11" t="n">
        <v>0</v>
      </c>
      <c r="O265" s="11" t="n">
        <v>0</v>
      </c>
      <c r="P265" s="11" t="n">
        <v>20.36</v>
      </c>
      <c r="Q265" s="11" t="n">
        <v>0</v>
      </c>
      <c r="R265" s="11" t="n">
        <v>0</v>
      </c>
      <c r="S265" s="11" t="n">
        <v>0</v>
      </c>
      <c r="T265" s="11" t="n">
        <f aca="false">SUM(N265:S265)</f>
        <v>20.36</v>
      </c>
      <c r="U265" s="11" t="n">
        <v>0</v>
      </c>
      <c r="V265" s="11" t="n">
        <v>0</v>
      </c>
      <c r="W265" s="11" t="n">
        <v>0</v>
      </c>
      <c r="X265" s="11" t="n">
        <v>137.7</v>
      </c>
      <c r="Y265" s="11" t="n">
        <v>143.85</v>
      </c>
      <c r="Z265" s="11" t="n">
        <v>0</v>
      </c>
      <c r="AA265" s="11" t="n">
        <f aca="false">SUM(U265:Z265)</f>
        <v>281.55</v>
      </c>
      <c r="AB265" s="11" t="n">
        <v>0</v>
      </c>
      <c r="AC265" s="11" t="n">
        <v>0</v>
      </c>
      <c r="AD265" s="11" t="n">
        <v>0</v>
      </c>
      <c r="AE265" s="11" t="n">
        <v>24.03</v>
      </c>
      <c r="AF265" s="11" t="n">
        <v>28.35</v>
      </c>
      <c r="AG265" s="11" t="n">
        <v>0</v>
      </c>
      <c r="AH265" s="11" t="n">
        <f aca="false">SUM(AB265:AG265)</f>
        <v>52.38</v>
      </c>
      <c r="AI265" s="12" t="s">
        <v>71</v>
      </c>
    </row>
    <row r="266" customFormat="false" ht="15" hidden="false" customHeight="false" outlineLevel="0" collapsed="false">
      <c r="A266" s="8" t="s">
        <v>596</v>
      </c>
      <c r="B266" s="12" t="s">
        <v>597</v>
      </c>
      <c r="C266" s="8" t="s">
        <v>410</v>
      </c>
      <c r="D266" s="12" t="s">
        <v>411</v>
      </c>
      <c r="E266" s="10" t="str">
        <f aca="true">IFERROR(IF(INDEX(INDIRECT("'"&amp;$AI266&amp;"'!$E$2:$E$320"),MATCH($A266,INDIRECT("'"&amp;$AI266&amp;"'!$A$2:$A$320"),0))="","",INDEX(INDIRECT("'"&amp;$AI266&amp;"'!$E$2:$E$320"),MATCH($A266,INDIRECT("'"&amp;$AI266&amp;"'!$A$2:$A$320"),0))),"")</f>
        <v/>
      </c>
      <c r="F266" s="9" t="str">
        <f aca="false">IF($E266="","",IFERROR(INDEX(担当者マスタ!$B$2:$B$101,MATCH($E266,担当者マスタ!$A$2:$A$101,0)),"※マスタ未登録"))</f>
        <v/>
      </c>
      <c r="G266" s="11" t="n">
        <v>972.46</v>
      </c>
      <c r="H266" s="11" t="n">
        <v>772.49</v>
      </c>
      <c r="I266" s="11" t="n">
        <v>853.48</v>
      </c>
      <c r="J266" s="11" t="n">
        <v>506.23</v>
      </c>
      <c r="K266" s="11" t="n">
        <v>858.27</v>
      </c>
      <c r="L266" s="11" t="n">
        <v>780.826</v>
      </c>
      <c r="M266" s="11" t="n">
        <f aca="false">SUM(G266:L266)</f>
        <v>4743.756</v>
      </c>
      <c r="N266" s="11" t="n">
        <v>176.455</v>
      </c>
      <c r="O266" s="11" t="n">
        <v>129.395</v>
      </c>
      <c r="P266" s="11" t="n">
        <v>152.96</v>
      </c>
      <c r="Q266" s="11" t="n">
        <v>90.885</v>
      </c>
      <c r="R266" s="11" t="n">
        <v>125.685</v>
      </c>
      <c r="S266" s="11" t="n">
        <v>136.607</v>
      </c>
      <c r="T266" s="11" t="n">
        <f aca="false">SUM(N266:S266)</f>
        <v>811.987</v>
      </c>
      <c r="U266" s="11" t="n">
        <v>767.26</v>
      </c>
      <c r="V266" s="11" t="n">
        <v>865.17</v>
      </c>
      <c r="W266" s="11" t="n">
        <v>682.72</v>
      </c>
      <c r="X266" s="11" t="n">
        <v>733.58</v>
      </c>
      <c r="Y266" s="11" t="n">
        <v>579.66</v>
      </c>
      <c r="Z266" s="11" t="n">
        <v>580.42</v>
      </c>
      <c r="AA266" s="11" t="n">
        <f aca="false">SUM(U266:Z266)</f>
        <v>4208.81</v>
      </c>
      <c r="AB266" s="11" t="n">
        <v>139.46</v>
      </c>
      <c r="AC266" s="11" t="n">
        <v>196.085</v>
      </c>
      <c r="AD266" s="11" t="n">
        <v>125.38</v>
      </c>
      <c r="AE266" s="11" t="n">
        <v>132.27</v>
      </c>
      <c r="AF266" s="11" t="n">
        <v>99.59</v>
      </c>
      <c r="AG266" s="11" t="n">
        <v>100.72</v>
      </c>
      <c r="AH266" s="11" t="n">
        <f aca="false">SUM(AB266:AG266)</f>
        <v>793.505</v>
      </c>
      <c r="AI266" s="12" t="s">
        <v>71</v>
      </c>
    </row>
    <row r="267" customFormat="false" ht="15" hidden="false" customHeight="false" outlineLevel="0" collapsed="false">
      <c r="A267" s="8" t="s">
        <v>598</v>
      </c>
      <c r="B267" s="12" t="s">
        <v>599</v>
      </c>
      <c r="C267" s="8" t="s">
        <v>410</v>
      </c>
      <c r="D267" s="12" t="s">
        <v>411</v>
      </c>
      <c r="E267" s="10" t="str">
        <f aca="true">IFERROR(IF(INDEX(INDIRECT("'"&amp;$AI267&amp;"'!$E$2:$E$320"),MATCH($A267,INDIRECT("'"&amp;$AI267&amp;"'!$A$2:$A$320"),0))="","",INDEX(INDIRECT("'"&amp;$AI267&amp;"'!$E$2:$E$320"),MATCH($A267,INDIRECT("'"&amp;$AI267&amp;"'!$A$2:$A$320"),0))),"")</f>
        <v/>
      </c>
      <c r="F267" s="9" t="str">
        <f aca="false">IF($E267="","",IFERROR(INDEX(担当者マスタ!$B$2:$B$101,MATCH($E267,担当者マスタ!$A$2:$A$101,0)),"※マスタ未登録"))</f>
        <v/>
      </c>
      <c r="G267" s="11" t="n">
        <v>67.95</v>
      </c>
      <c r="H267" s="11" t="n">
        <v>44</v>
      </c>
      <c r="I267" s="11" t="n">
        <v>59.25</v>
      </c>
      <c r="J267" s="11" t="n">
        <v>71.75</v>
      </c>
      <c r="K267" s="11" t="n">
        <v>103.25</v>
      </c>
      <c r="L267" s="11" t="n">
        <v>21.5</v>
      </c>
      <c r="M267" s="11" t="n">
        <f aca="false">SUM(G267:L267)</f>
        <v>367.7</v>
      </c>
      <c r="N267" s="11" t="n">
        <v>13.75</v>
      </c>
      <c r="O267" s="11" t="n">
        <v>8.9</v>
      </c>
      <c r="P267" s="11" t="n">
        <v>11.87</v>
      </c>
      <c r="Q267" s="11" t="n">
        <v>14.4</v>
      </c>
      <c r="R267" s="11" t="n">
        <v>21.87</v>
      </c>
      <c r="S267" s="11" t="n">
        <v>4.02</v>
      </c>
      <c r="T267" s="11" t="n">
        <f aca="false">SUM(N267:S267)</f>
        <v>74.81</v>
      </c>
      <c r="U267" s="11" t="n">
        <v>96.25</v>
      </c>
      <c r="V267" s="11" t="n">
        <v>46.25</v>
      </c>
      <c r="W267" s="11" t="n">
        <v>120.2</v>
      </c>
      <c r="X267" s="11" t="n">
        <v>127.75</v>
      </c>
      <c r="Y267" s="11" t="n">
        <v>127.45</v>
      </c>
      <c r="Z267" s="11" t="n">
        <v>166.55</v>
      </c>
      <c r="AA267" s="11" t="n">
        <f aca="false">SUM(U267:Z267)</f>
        <v>684.45</v>
      </c>
      <c r="AB267" s="11" t="n">
        <v>22.45</v>
      </c>
      <c r="AC267" s="11" t="n">
        <v>9.45</v>
      </c>
      <c r="AD267" s="11" t="n">
        <v>22.92</v>
      </c>
      <c r="AE267" s="11" t="n">
        <v>26.55</v>
      </c>
      <c r="AF267" s="11" t="n">
        <v>28.125</v>
      </c>
      <c r="AG267" s="11" t="n">
        <v>32.145</v>
      </c>
      <c r="AH267" s="11" t="n">
        <f aca="false">SUM(AB267:AG267)</f>
        <v>141.64</v>
      </c>
      <c r="AI267" s="12" t="s">
        <v>71</v>
      </c>
    </row>
    <row r="268" customFormat="false" ht="15" hidden="false" customHeight="false" outlineLevel="0" collapsed="false">
      <c r="A268" s="8" t="s">
        <v>600</v>
      </c>
      <c r="B268" s="12" t="s">
        <v>601</v>
      </c>
      <c r="C268" s="8" t="s">
        <v>410</v>
      </c>
      <c r="D268" s="12" t="s">
        <v>411</v>
      </c>
      <c r="E268" s="10" t="str">
        <f aca="true">IFERROR(IF(INDEX(INDIRECT("'"&amp;$AI268&amp;"'!$E$2:$E$320"),MATCH($A268,INDIRECT("'"&amp;$AI268&amp;"'!$A$2:$A$320"),0))="","",INDEX(INDIRECT("'"&amp;$AI268&amp;"'!$E$2:$E$320"),MATCH($A268,INDIRECT("'"&amp;$AI268&amp;"'!$A$2:$A$320"),0))),"")</f>
        <v/>
      </c>
      <c r="F268" s="9" t="str">
        <f aca="false">IF($E268="","",IFERROR(INDEX(担当者マスタ!$B$2:$B$101,MATCH($E268,担当者マスタ!$A$2:$A$101,0)),"※マスタ未登録"))</f>
        <v/>
      </c>
      <c r="G268" s="11" t="n">
        <v>245.384</v>
      </c>
      <c r="H268" s="11" t="n">
        <v>301.75</v>
      </c>
      <c r="I268" s="11" t="n">
        <v>183.6</v>
      </c>
      <c r="J268" s="11" t="n">
        <v>269.6</v>
      </c>
      <c r="K268" s="11" t="n">
        <v>347.35</v>
      </c>
      <c r="L268" s="11" t="n">
        <v>177.4</v>
      </c>
      <c r="M268" s="11" t="n">
        <f aca="false">SUM(G268:L268)</f>
        <v>1525.084</v>
      </c>
      <c r="N268" s="11" t="n">
        <v>71.228</v>
      </c>
      <c r="O268" s="11" t="n">
        <v>110.038</v>
      </c>
      <c r="P268" s="11" t="n">
        <v>59.4</v>
      </c>
      <c r="Q268" s="11" t="n">
        <v>102.4</v>
      </c>
      <c r="R268" s="11" t="n">
        <v>115.738</v>
      </c>
      <c r="S268" s="11" t="n">
        <v>66.3</v>
      </c>
      <c r="T268" s="11" t="n">
        <f aca="false">SUM(N268:S268)</f>
        <v>525.104</v>
      </c>
      <c r="U268" s="11" t="n">
        <v>346.35</v>
      </c>
      <c r="V268" s="11" t="n">
        <v>291.55</v>
      </c>
      <c r="W268" s="11" t="n">
        <v>401.21</v>
      </c>
      <c r="X268" s="11" t="n">
        <v>344.7</v>
      </c>
      <c r="Y268" s="11" t="n">
        <v>273.3</v>
      </c>
      <c r="Z268" s="11" t="n">
        <v>361.22</v>
      </c>
      <c r="AA268" s="11" t="n">
        <f aca="false">SUM(U268:Z268)</f>
        <v>2018.33</v>
      </c>
      <c r="AB268" s="11" t="n">
        <v>132.238</v>
      </c>
      <c r="AC268" s="11" t="n">
        <v>102.638</v>
      </c>
      <c r="AD268" s="11" t="n">
        <v>136.742</v>
      </c>
      <c r="AE268" s="11" t="n">
        <v>139.5</v>
      </c>
      <c r="AF268" s="11" t="n">
        <v>110.5</v>
      </c>
      <c r="AG268" s="11" t="n">
        <v>125.188</v>
      </c>
      <c r="AH268" s="11" t="n">
        <f aca="false">SUM(AB268:AG268)</f>
        <v>746.806</v>
      </c>
      <c r="AI268" s="12" t="s">
        <v>71</v>
      </c>
    </row>
    <row r="269" customFormat="false" ht="15" hidden="false" customHeight="false" outlineLevel="0" collapsed="false">
      <c r="A269" s="8" t="s">
        <v>602</v>
      </c>
      <c r="B269" s="12" t="s">
        <v>603</v>
      </c>
      <c r="C269" s="8" t="s">
        <v>410</v>
      </c>
      <c r="D269" s="12" t="s">
        <v>411</v>
      </c>
      <c r="E269" s="10" t="str">
        <f aca="true">IFERROR(IF(INDEX(INDIRECT("'"&amp;$AI269&amp;"'!$E$2:$E$320"),MATCH($A269,INDIRECT("'"&amp;$AI269&amp;"'!$A$2:$A$320"),0))="","",INDEX(INDIRECT("'"&amp;$AI269&amp;"'!$E$2:$E$320"),MATCH($A269,INDIRECT("'"&amp;$AI269&amp;"'!$A$2:$A$320"),0))),"")</f>
        <v/>
      </c>
      <c r="F269" s="9" t="str">
        <f aca="false">IF($E269="","",IFERROR(INDEX(担当者マスタ!$B$2:$B$101,MATCH($E269,担当者マスタ!$A$2:$A$101,0)),"※マスタ未登録"))</f>
        <v/>
      </c>
      <c r="G269" s="11" t="n">
        <v>103.76</v>
      </c>
      <c r="H269" s="11" t="n">
        <v>122.52</v>
      </c>
      <c r="I269" s="11" t="n">
        <v>111.44</v>
      </c>
      <c r="J269" s="11" t="n">
        <v>75.4</v>
      </c>
      <c r="K269" s="11" t="n">
        <v>137.9</v>
      </c>
      <c r="L269" s="11" t="n">
        <v>95.8</v>
      </c>
      <c r="M269" s="11" t="n">
        <f aca="false">SUM(G269:L269)</f>
        <v>646.82</v>
      </c>
      <c r="N269" s="11" t="n">
        <v>38.635</v>
      </c>
      <c r="O269" s="11" t="n">
        <v>46.32</v>
      </c>
      <c r="P269" s="11" t="n">
        <v>41.915</v>
      </c>
      <c r="Q269" s="11" t="n">
        <v>26.425</v>
      </c>
      <c r="R269" s="11" t="n">
        <v>47.65</v>
      </c>
      <c r="S269" s="11" t="n">
        <v>30.175</v>
      </c>
      <c r="T269" s="11" t="n">
        <f aca="false">SUM(N269:S269)</f>
        <v>231.12</v>
      </c>
      <c r="U269" s="11" t="n">
        <v>101.6</v>
      </c>
      <c r="V269" s="11" t="n">
        <v>85.2</v>
      </c>
      <c r="W269" s="11" t="n">
        <v>91.8</v>
      </c>
      <c r="X269" s="11" t="n">
        <v>68.8</v>
      </c>
      <c r="Y269" s="11" t="n">
        <v>81.8</v>
      </c>
      <c r="Z269" s="11" t="n">
        <v>150.8</v>
      </c>
      <c r="AA269" s="11" t="n">
        <f aca="false">SUM(U269:Z269)</f>
        <v>580</v>
      </c>
      <c r="AB269" s="11" t="n">
        <v>30.275</v>
      </c>
      <c r="AC269" s="11" t="n">
        <v>25.4</v>
      </c>
      <c r="AD269" s="11" t="n">
        <v>27.325</v>
      </c>
      <c r="AE269" s="11" t="n">
        <v>20.525</v>
      </c>
      <c r="AF269" s="11" t="n">
        <v>24.5</v>
      </c>
      <c r="AG269" s="11" t="n">
        <v>44.9</v>
      </c>
      <c r="AH269" s="11" t="n">
        <f aca="false">SUM(AB269:AG269)</f>
        <v>172.925</v>
      </c>
      <c r="AI269" s="12" t="s">
        <v>71</v>
      </c>
    </row>
    <row r="270" customFormat="false" ht="15" hidden="false" customHeight="false" outlineLevel="0" collapsed="false">
      <c r="A270" s="8" t="s">
        <v>604</v>
      </c>
      <c r="B270" s="12" t="s">
        <v>605</v>
      </c>
      <c r="C270" s="8" t="s">
        <v>410</v>
      </c>
      <c r="D270" s="12" t="s">
        <v>411</v>
      </c>
      <c r="E270" s="10" t="str">
        <f aca="true">IFERROR(IF(INDEX(INDIRECT("'"&amp;$AI270&amp;"'!$E$2:$E$320"),MATCH($A270,INDIRECT("'"&amp;$AI270&amp;"'!$A$2:$A$320"),0))="","",INDEX(INDIRECT("'"&amp;$AI270&amp;"'!$E$2:$E$320"),MATCH($A270,INDIRECT("'"&amp;$AI270&amp;"'!$A$2:$A$320"),0))),"")</f>
        <v/>
      </c>
      <c r="F270" s="9" t="str">
        <f aca="false">IF($E270="","",IFERROR(INDEX(担当者マスタ!$B$2:$B$101,MATCH($E270,担当者マスタ!$A$2:$A$101,0)),"※マスタ未登録"))</f>
        <v/>
      </c>
      <c r="G270" s="11" t="n">
        <v>110.15</v>
      </c>
      <c r="H270" s="11" t="n">
        <v>139.776</v>
      </c>
      <c r="I270" s="11" t="n">
        <v>141.96</v>
      </c>
      <c r="J270" s="11" t="n">
        <v>132.2</v>
      </c>
      <c r="K270" s="11" t="n">
        <v>94.3</v>
      </c>
      <c r="L270" s="11" t="n">
        <v>0</v>
      </c>
      <c r="M270" s="11" t="n">
        <f aca="false">SUM(G270:L270)</f>
        <v>618.386</v>
      </c>
      <c r="N270" s="11" t="n">
        <v>34.9</v>
      </c>
      <c r="O270" s="11" t="n">
        <v>18.2247</v>
      </c>
      <c r="P270" s="11" t="n">
        <v>30.57</v>
      </c>
      <c r="Q270" s="11" t="n">
        <v>37.2</v>
      </c>
      <c r="R270" s="11" t="n">
        <v>20.26</v>
      </c>
      <c r="S270" s="11" t="n">
        <v>0</v>
      </c>
      <c r="T270" s="11" t="n">
        <f aca="false">SUM(N270:S270)</f>
        <v>141.1547</v>
      </c>
      <c r="U270" s="11" t="n">
        <v>82.7</v>
      </c>
      <c r="V270" s="11" t="n">
        <v>36.84</v>
      </c>
      <c r="W270" s="11" t="n">
        <v>338.201</v>
      </c>
      <c r="X270" s="11" t="n">
        <v>220.936</v>
      </c>
      <c r="Y270" s="11" t="n">
        <v>149.4</v>
      </c>
      <c r="Z270" s="11" t="n">
        <v>105.42</v>
      </c>
      <c r="AA270" s="11" t="n">
        <f aca="false">SUM(U270:Z270)</f>
        <v>933.497</v>
      </c>
      <c r="AB270" s="11" t="n">
        <v>22.3</v>
      </c>
      <c r="AC270" s="11" t="n">
        <v>9.79</v>
      </c>
      <c r="AD270" s="11" t="n">
        <v>109.566</v>
      </c>
      <c r="AE270" s="11" t="n">
        <v>53.96</v>
      </c>
      <c r="AF270" s="11" t="n">
        <v>47.05</v>
      </c>
      <c r="AG270" s="11" t="n">
        <v>30.88</v>
      </c>
      <c r="AH270" s="11" t="n">
        <f aca="false">SUM(AB270:AG270)</f>
        <v>273.546</v>
      </c>
      <c r="AI270" s="12" t="s">
        <v>71</v>
      </c>
    </row>
    <row r="271" customFormat="false" ht="15" hidden="false" customHeight="false" outlineLevel="0" collapsed="false">
      <c r="A271" s="8" t="s">
        <v>606</v>
      </c>
      <c r="B271" s="12" t="s">
        <v>607</v>
      </c>
      <c r="C271" s="8" t="s">
        <v>410</v>
      </c>
      <c r="D271" s="12" t="s">
        <v>411</v>
      </c>
      <c r="E271" s="10" t="str">
        <f aca="true">IFERROR(IF(INDEX(INDIRECT("'"&amp;$AI271&amp;"'!$E$2:$E$320"),MATCH($A271,INDIRECT("'"&amp;$AI271&amp;"'!$A$2:$A$320"),0))="","",INDEX(INDIRECT("'"&amp;$AI271&amp;"'!$E$2:$E$320"),MATCH($A271,INDIRECT("'"&amp;$AI271&amp;"'!$A$2:$A$320"),0))),"")</f>
        <v/>
      </c>
      <c r="F271" s="9" t="str">
        <f aca="false">IF($E271="","",IFERROR(INDEX(担当者マスタ!$B$2:$B$101,MATCH($E271,担当者マスタ!$A$2:$A$101,0)),"※マスタ未登録"))</f>
        <v/>
      </c>
      <c r="G271" s="11" t="n">
        <v>24.7</v>
      </c>
      <c r="H271" s="11" t="n">
        <v>24.7</v>
      </c>
      <c r="I271" s="11" t="n">
        <v>0</v>
      </c>
      <c r="J271" s="11" t="n">
        <v>24.7</v>
      </c>
      <c r="K271" s="11" t="n">
        <v>24.7</v>
      </c>
      <c r="L271" s="11" t="n">
        <v>56.8</v>
      </c>
      <c r="M271" s="11" t="n">
        <f aca="false">SUM(G271:L271)</f>
        <v>155.6</v>
      </c>
      <c r="N271" s="11" t="n">
        <v>5.72</v>
      </c>
      <c r="O271" s="11" t="n">
        <v>5.72</v>
      </c>
      <c r="P271" s="11" t="n">
        <v>0</v>
      </c>
      <c r="Q271" s="11" t="n">
        <v>5.72</v>
      </c>
      <c r="R271" s="11" t="n">
        <v>3.58</v>
      </c>
      <c r="S271" s="11" t="n">
        <v>14.56</v>
      </c>
      <c r="T271" s="11" t="n">
        <f aca="false">SUM(N271:S271)</f>
        <v>35.3</v>
      </c>
      <c r="U271" s="11" t="n">
        <v>0</v>
      </c>
      <c r="V271" s="11" t="n">
        <v>0</v>
      </c>
      <c r="W271" s="11" t="n">
        <v>28.4</v>
      </c>
      <c r="X271" s="11" t="n">
        <v>0</v>
      </c>
      <c r="Y271" s="11" t="n">
        <v>28.4</v>
      </c>
      <c r="Z271" s="11" t="n">
        <v>0</v>
      </c>
      <c r="AA271" s="11" t="n">
        <f aca="false">SUM(U271:Z271)</f>
        <v>56.8</v>
      </c>
      <c r="AB271" s="11" t="n">
        <v>0</v>
      </c>
      <c r="AC271" s="11" t="n">
        <v>0</v>
      </c>
      <c r="AD271" s="11" t="n">
        <v>7.28</v>
      </c>
      <c r="AE271" s="11" t="n">
        <v>0</v>
      </c>
      <c r="AF271" s="11" t="n">
        <v>7.28</v>
      </c>
      <c r="AG271" s="11" t="n">
        <v>0</v>
      </c>
      <c r="AH271" s="11" t="n">
        <f aca="false">SUM(AB271:AG271)</f>
        <v>14.56</v>
      </c>
      <c r="AI271" s="12" t="s">
        <v>71</v>
      </c>
    </row>
    <row r="272" customFormat="false" ht="15" hidden="false" customHeight="false" outlineLevel="0" collapsed="false">
      <c r="A272" s="8" t="s">
        <v>608</v>
      </c>
      <c r="B272" s="12" t="s">
        <v>609</v>
      </c>
      <c r="C272" s="8" t="s">
        <v>410</v>
      </c>
      <c r="D272" s="12" t="s">
        <v>411</v>
      </c>
      <c r="E272" s="10" t="str">
        <f aca="true">IFERROR(IF(INDEX(INDIRECT("'"&amp;$AI272&amp;"'!$E$2:$E$320"),MATCH($A272,INDIRECT("'"&amp;$AI272&amp;"'!$A$2:$A$320"),0))="","",INDEX(INDIRECT("'"&amp;$AI272&amp;"'!$E$2:$E$320"),MATCH($A272,INDIRECT("'"&amp;$AI272&amp;"'!$A$2:$A$320"),0))),"")</f>
        <v/>
      </c>
      <c r="F272" s="9" t="str">
        <f aca="false">IF($E272="","",IFERROR(INDEX(担当者マスタ!$B$2:$B$101,MATCH($E272,担当者マスタ!$A$2:$A$101,0)),"※マスタ未登録"))</f>
        <v/>
      </c>
      <c r="G272" s="11" t="n">
        <v>49.882</v>
      </c>
      <c r="H272" s="11" t="n">
        <v>97.459</v>
      </c>
      <c r="I272" s="11" t="n">
        <v>92.497</v>
      </c>
      <c r="J272" s="11" t="n">
        <v>33.574</v>
      </c>
      <c r="K272" s="11" t="n">
        <v>56.116</v>
      </c>
      <c r="L272" s="11" t="n">
        <v>50.129</v>
      </c>
      <c r="M272" s="11" t="n">
        <f aca="false">SUM(G272:L272)</f>
        <v>379.657</v>
      </c>
      <c r="N272" s="11" t="n">
        <v>18.345</v>
      </c>
      <c r="O272" s="11" t="n">
        <v>35.442</v>
      </c>
      <c r="P272" s="11" t="n">
        <v>32.345</v>
      </c>
      <c r="Q272" s="11" t="n">
        <v>10.489</v>
      </c>
      <c r="R272" s="11" t="n">
        <v>18.759</v>
      </c>
      <c r="S272" s="11" t="n">
        <v>16.755</v>
      </c>
      <c r="T272" s="11" t="n">
        <f aca="false">SUM(N272:S272)</f>
        <v>132.135</v>
      </c>
      <c r="U272" s="11" t="n">
        <v>112.057</v>
      </c>
      <c r="V272" s="11" t="n">
        <v>128.404</v>
      </c>
      <c r="W272" s="11" t="n">
        <v>94.395</v>
      </c>
      <c r="X272" s="11" t="n">
        <v>45.589</v>
      </c>
      <c r="Y272" s="11" t="n">
        <v>95.038</v>
      </c>
      <c r="Z272" s="11" t="n">
        <v>66.39</v>
      </c>
      <c r="AA272" s="11" t="n">
        <f aca="false">SUM(U272:Z272)</f>
        <v>541.873</v>
      </c>
      <c r="AB272" s="11" t="n">
        <v>38.685</v>
      </c>
      <c r="AC272" s="11" t="n">
        <v>41.92</v>
      </c>
      <c r="AD272" s="11" t="n">
        <v>30.509</v>
      </c>
      <c r="AE272" s="11" t="n">
        <v>14.776</v>
      </c>
      <c r="AF272" s="11" t="n">
        <v>27.25</v>
      </c>
      <c r="AG272" s="11" t="n">
        <v>20.753</v>
      </c>
      <c r="AH272" s="11" t="n">
        <f aca="false">SUM(AB272:AG272)</f>
        <v>173.893</v>
      </c>
      <c r="AI272" s="12" t="s">
        <v>71</v>
      </c>
    </row>
    <row r="273" customFormat="false" ht="15" hidden="false" customHeight="false" outlineLevel="0" collapsed="false">
      <c r="A273" s="8" t="s">
        <v>610</v>
      </c>
      <c r="B273" s="9" t="s">
        <v>611</v>
      </c>
      <c r="C273" s="8" t="s">
        <v>410</v>
      </c>
      <c r="D273" s="12" t="s">
        <v>411</v>
      </c>
      <c r="E273" s="10" t="str">
        <f aca="true">IFERROR(IF(INDEX(INDIRECT("'"&amp;$AI273&amp;"'!$E$2:$E$320"),MATCH($A273,INDIRECT("'"&amp;$AI273&amp;"'!$A$2:$A$320"),0))="","",INDEX(INDIRECT("'"&amp;$AI273&amp;"'!$E$2:$E$320"),MATCH($A273,INDIRECT("'"&amp;$AI273&amp;"'!$A$2:$A$320"),0))),"")</f>
        <v/>
      </c>
      <c r="F273" s="9" t="str">
        <f aca="false">IF($E273="","",IFERROR(INDEX(担当者マスタ!$B$2:$B$101,MATCH($E273,担当者マスタ!$A$2:$A$101,0)),"※マスタ未登録"))</f>
        <v/>
      </c>
      <c r="G273" s="11" t="n">
        <v>0</v>
      </c>
      <c r="H273" s="11" t="n">
        <v>0</v>
      </c>
      <c r="I273" s="11" t="n">
        <v>31.5</v>
      </c>
      <c r="J273" s="11" t="n">
        <v>0</v>
      </c>
      <c r="K273" s="11" t="n">
        <v>0</v>
      </c>
      <c r="L273" s="11" t="n">
        <v>0</v>
      </c>
      <c r="M273" s="11" t="n">
        <f aca="false">SUM(G273:L273)</f>
        <v>31.5</v>
      </c>
      <c r="N273" s="11" t="n">
        <v>0</v>
      </c>
      <c r="O273" s="11" t="n">
        <v>0</v>
      </c>
      <c r="P273" s="11" t="n">
        <v>8.4</v>
      </c>
      <c r="Q273" s="11" t="n">
        <v>0</v>
      </c>
      <c r="R273" s="11" t="n">
        <v>0</v>
      </c>
      <c r="S273" s="11" t="n">
        <v>0</v>
      </c>
      <c r="T273" s="11" t="n">
        <f aca="false">SUM(N273:S273)</f>
        <v>8.4</v>
      </c>
      <c r="U273" s="11" t="n">
        <v>0</v>
      </c>
      <c r="V273" s="11" t="n">
        <v>0</v>
      </c>
      <c r="W273" s="11" t="n">
        <v>31.5</v>
      </c>
      <c r="X273" s="11" t="n">
        <v>0</v>
      </c>
      <c r="Y273" s="11" t="n">
        <v>0</v>
      </c>
      <c r="Z273" s="11" t="n">
        <v>0</v>
      </c>
      <c r="AA273" s="11" t="n">
        <f aca="false">SUM(U273:Z273)</f>
        <v>31.5</v>
      </c>
      <c r="AB273" s="11" t="n">
        <v>0</v>
      </c>
      <c r="AC273" s="11" t="n">
        <v>0</v>
      </c>
      <c r="AD273" s="11" t="n">
        <v>8.4</v>
      </c>
      <c r="AE273" s="11" t="n">
        <v>0</v>
      </c>
      <c r="AF273" s="11" t="n">
        <v>0</v>
      </c>
      <c r="AG273" s="11" t="n">
        <v>0</v>
      </c>
      <c r="AH273" s="11" t="n">
        <f aca="false">SUM(AB273:AG273)</f>
        <v>8.4</v>
      </c>
      <c r="AI273" s="12" t="s">
        <v>71</v>
      </c>
    </row>
    <row r="274" customFormat="false" ht="15" hidden="false" customHeight="false" outlineLevel="0" collapsed="false">
      <c r="A274" s="8" t="s">
        <v>612</v>
      </c>
      <c r="B274" s="9" t="s">
        <v>613</v>
      </c>
      <c r="C274" s="8" t="s">
        <v>410</v>
      </c>
      <c r="D274" s="12" t="s">
        <v>411</v>
      </c>
      <c r="E274" s="10" t="str">
        <f aca="true">IFERROR(IF(INDEX(INDIRECT("'"&amp;$AI274&amp;"'!$E$2:$E$320"),MATCH($A274,INDIRECT("'"&amp;$AI274&amp;"'!$A$2:$A$320"),0))="","",INDEX(INDIRECT("'"&amp;$AI274&amp;"'!$E$2:$E$320"),MATCH($A274,INDIRECT("'"&amp;$AI274&amp;"'!$A$2:$A$320"),0))),"")</f>
        <v/>
      </c>
      <c r="F274" s="9" t="str">
        <f aca="false">IF($E274="","",IFERROR(INDEX(担当者マスタ!$B$2:$B$101,MATCH($E274,担当者マスタ!$A$2:$A$101,0)),"※マスタ未登録"))</f>
        <v/>
      </c>
      <c r="G274" s="11" t="n">
        <v>27</v>
      </c>
      <c r="H274" s="11" t="n">
        <v>0</v>
      </c>
      <c r="I274" s="11" t="n">
        <v>0</v>
      </c>
      <c r="J274" s="11" t="n">
        <v>27</v>
      </c>
      <c r="K274" s="11" t="n">
        <v>0</v>
      </c>
      <c r="L274" s="11" t="n">
        <v>0</v>
      </c>
      <c r="M274" s="11" t="n">
        <f aca="false">SUM(G274:L274)</f>
        <v>54</v>
      </c>
      <c r="N274" s="11" t="n">
        <v>8.4</v>
      </c>
      <c r="O274" s="11" t="n">
        <v>0</v>
      </c>
      <c r="P274" s="11" t="n">
        <v>0</v>
      </c>
      <c r="Q274" s="11" t="n">
        <v>8.4</v>
      </c>
      <c r="R274" s="11" t="n">
        <v>0</v>
      </c>
      <c r="S274" s="11" t="n">
        <v>0</v>
      </c>
      <c r="T274" s="11" t="n">
        <f aca="false">SUM(N274:S274)</f>
        <v>16.8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54</v>
      </c>
      <c r="AA274" s="11" t="n">
        <f aca="false">SUM(U274:Z274)</f>
        <v>54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14.48</v>
      </c>
      <c r="AH274" s="11" t="n">
        <f aca="false">SUM(AB274:AG274)</f>
        <v>14.48</v>
      </c>
      <c r="AI274" s="12" t="s">
        <v>71</v>
      </c>
    </row>
    <row r="275" customFormat="false" ht="15" hidden="false" customHeight="false" outlineLevel="0" collapsed="false">
      <c r="A275" s="8" t="s">
        <v>614</v>
      </c>
      <c r="B275" s="12" t="s">
        <v>615</v>
      </c>
      <c r="C275" s="8" t="s">
        <v>410</v>
      </c>
      <c r="D275" s="12" t="s">
        <v>411</v>
      </c>
      <c r="E275" s="10" t="str">
        <f aca="true">IFERROR(IF(INDEX(INDIRECT("'"&amp;$AI275&amp;"'!$E$2:$E$320"),MATCH($A275,INDIRECT("'"&amp;$AI275&amp;"'!$A$2:$A$320"),0))="","",INDEX(INDIRECT("'"&amp;$AI275&amp;"'!$E$2:$E$320"),MATCH($A275,INDIRECT("'"&amp;$AI275&amp;"'!$A$2:$A$320"),0))),"")</f>
        <v/>
      </c>
      <c r="F275" s="9" t="str">
        <f aca="false">IF($E275="","",IFERROR(INDEX(担当者マスタ!$B$2:$B$101,MATCH($E275,担当者マスタ!$A$2:$A$101,0)),"※マスタ未登録"))</f>
        <v/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f aca="false">SUM(G275:L275)</f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f aca="false">SUM(N275:S275)</f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56</v>
      </c>
      <c r="AA275" s="11" t="n">
        <f aca="false">SUM(U275:Z275)</f>
        <v>56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0</v>
      </c>
      <c r="AG275" s="11" t="n">
        <v>14</v>
      </c>
      <c r="AH275" s="11" t="n">
        <f aca="false">SUM(AB275:AG275)</f>
        <v>14</v>
      </c>
      <c r="AI275" s="12" t="s">
        <v>71</v>
      </c>
    </row>
    <row r="276" customFormat="false" ht="15" hidden="false" customHeight="false" outlineLevel="0" collapsed="false">
      <c r="A276" s="8" t="s">
        <v>616</v>
      </c>
      <c r="B276" s="12" t="s">
        <v>617</v>
      </c>
      <c r="C276" s="8" t="s">
        <v>410</v>
      </c>
      <c r="D276" s="12" t="s">
        <v>411</v>
      </c>
      <c r="E276" s="10" t="str">
        <f aca="true">IFERROR(IF(INDEX(INDIRECT("'"&amp;$AI276&amp;"'!$E$2:$E$320"),MATCH($A276,INDIRECT("'"&amp;$AI276&amp;"'!$A$2:$A$320"),0))="","",INDEX(INDIRECT("'"&amp;$AI276&amp;"'!$E$2:$E$320"),MATCH($A276,INDIRECT("'"&amp;$AI276&amp;"'!$A$2:$A$320"),0))),"")</f>
        <v/>
      </c>
      <c r="F276" s="9" t="str">
        <f aca="false">IF($E276="","",IFERROR(INDEX(担当者マスタ!$B$2:$B$101,MATCH($E276,担当者マスタ!$A$2:$A$101,0)),"※マスタ未登録"))</f>
        <v/>
      </c>
      <c r="G276" s="11" t="n">
        <v>0</v>
      </c>
      <c r="H276" s="11" t="n">
        <v>203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f aca="false">SUM(G276:L276)</f>
        <v>203</v>
      </c>
      <c r="N276" s="11" t="n">
        <v>0</v>
      </c>
      <c r="O276" s="11" t="n">
        <v>53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f aca="false">SUM(N276:S276)</f>
        <v>53</v>
      </c>
      <c r="U276" s="11" t="n">
        <v>0</v>
      </c>
      <c r="V276" s="11" t="n">
        <v>0</v>
      </c>
      <c r="W276" s="11" t="n">
        <v>0</v>
      </c>
      <c r="X276" s="11" t="n">
        <v>0</v>
      </c>
      <c r="Y276" s="11" t="n">
        <v>0</v>
      </c>
      <c r="Z276" s="11" t="n">
        <v>0</v>
      </c>
      <c r="AA276" s="11" t="n">
        <f aca="false">SUM(U276:Z276)</f>
        <v>0</v>
      </c>
      <c r="AB276" s="11" t="n">
        <v>0</v>
      </c>
      <c r="AC276" s="11" t="n">
        <v>0</v>
      </c>
      <c r="AD276" s="11" t="n">
        <v>0</v>
      </c>
      <c r="AE276" s="11" t="n">
        <v>0</v>
      </c>
      <c r="AF276" s="11" t="n">
        <v>0</v>
      </c>
      <c r="AG276" s="11" t="n">
        <v>0</v>
      </c>
      <c r="AH276" s="11" t="n">
        <f aca="false">SUM(AB276:AG276)</f>
        <v>0</v>
      </c>
      <c r="AI276" s="12" t="s">
        <v>71</v>
      </c>
    </row>
    <row r="277" customFormat="false" ht="15" hidden="false" customHeight="false" outlineLevel="0" collapsed="false">
      <c r="A277" s="8" t="s">
        <v>618</v>
      </c>
      <c r="B277" s="12" t="s">
        <v>619</v>
      </c>
      <c r="C277" s="8" t="s">
        <v>410</v>
      </c>
      <c r="D277" s="12" t="s">
        <v>411</v>
      </c>
      <c r="E277" s="10" t="str">
        <f aca="true">IFERROR(IF(INDEX(INDIRECT("'"&amp;$AI277&amp;"'!$E$2:$E$320"),MATCH($A277,INDIRECT("'"&amp;$AI277&amp;"'!$A$2:$A$320"),0))="","",INDEX(INDIRECT("'"&amp;$AI277&amp;"'!$E$2:$E$320"),MATCH($A277,INDIRECT("'"&amp;$AI277&amp;"'!$A$2:$A$320"),0))),"")</f>
        <v/>
      </c>
      <c r="F277" s="9" t="str">
        <f aca="false">IF($E277="","",IFERROR(INDEX(担当者マスタ!$B$2:$B$101,MATCH($E277,担当者マスタ!$A$2:$A$101,0)),"※マスタ未登録"))</f>
        <v/>
      </c>
      <c r="G277" s="11" t="n">
        <v>0</v>
      </c>
      <c r="H277" s="11" t="n">
        <v>607.887</v>
      </c>
      <c r="I277" s="11" t="n">
        <v>0</v>
      </c>
      <c r="J277" s="11" t="n">
        <v>211.859</v>
      </c>
      <c r="K277" s="11" t="n">
        <v>495.703</v>
      </c>
      <c r="L277" s="11" t="n">
        <v>43</v>
      </c>
      <c r="M277" s="11" t="n">
        <f aca="false">SUM(G277:L277)</f>
        <v>1358.449</v>
      </c>
      <c r="N277" s="11" t="n">
        <v>0</v>
      </c>
      <c r="O277" s="11" t="n">
        <v>128.6205</v>
      </c>
      <c r="P277" s="11" t="n">
        <v>0</v>
      </c>
      <c r="Q277" s="11" t="n">
        <v>64.2388</v>
      </c>
      <c r="R277" s="11" t="n">
        <v>67.243</v>
      </c>
      <c r="S277" s="11" t="n">
        <v>6.94</v>
      </c>
      <c r="T277" s="11" t="n">
        <f aca="false">SUM(N277:S277)</f>
        <v>267.0423</v>
      </c>
      <c r="U277" s="11" t="n">
        <v>218.545</v>
      </c>
      <c r="V277" s="11" t="n">
        <v>45</v>
      </c>
      <c r="W277" s="11" t="n">
        <v>0</v>
      </c>
      <c r="X277" s="11" t="n">
        <v>383.7</v>
      </c>
      <c r="Y277" s="11" t="n">
        <v>541.471</v>
      </c>
      <c r="Z277" s="11" t="n">
        <v>51.828</v>
      </c>
      <c r="AA277" s="11" t="n">
        <f aca="false">SUM(U277:Z277)</f>
        <v>1240.544</v>
      </c>
      <c r="AB277" s="11" t="n">
        <v>47.7529</v>
      </c>
      <c r="AC277" s="11" t="n">
        <v>19.8</v>
      </c>
      <c r="AD277" s="11" t="n">
        <v>0</v>
      </c>
      <c r="AE277" s="11" t="n">
        <v>43.94</v>
      </c>
      <c r="AF277" s="11" t="n">
        <v>146.3023</v>
      </c>
      <c r="AG277" s="11" t="n">
        <v>15.596</v>
      </c>
      <c r="AH277" s="11" t="n">
        <f aca="false">SUM(AB277:AG277)</f>
        <v>273.3912</v>
      </c>
      <c r="AI277" s="12" t="s">
        <v>71</v>
      </c>
    </row>
    <row r="278" customFormat="false" ht="15" hidden="false" customHeight="false" outlineLevel="0" collapsed="false">
      <c r="A278" s="8" t="s">
        <v>620</v>
      </c>
      <c r="B278" s="12" t="s">
        <v>621</v>
      </c>
      <c r="C278" s="8" t="s">
        <v>410</v>
      </c>
      <c r="D278" s="12" t="s">
        <v>411</v>
      </c>
      <c r="E278" s="10" t="str">
        <f aca="true">IFERROR(IF(INDEX(INDIRECT("'"&amp;$AI278&amp;"'!$E$2:$E$320"),MATCH($A278,INDIRECT("'"&amp;$AI278&amp;"'!$A$2:$A$320"),0))="","",INDEX(INDIRECT("'"&amp;$AI278&amp;"'!$E$2:$E$320"),MATCH($A278,INDIRECT("'"&amp;$AI278&amp;"'!$A$2:$A$320"),0))),"")</f>
        <v/>
      </c>
      <c r="F278" s="9" t="str">
        <f aca="false">IF($E278="","",IFERROR(INDEX(担当者マスタ!$B$2:$B$101,MATCH($E278,担当者マスタ!$A$2:$A$101,0)),"※マスタ未登録"))</f>
        <v/>
      </c>
      <c r="G278" s="11" t="n">
        <v>33.18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f aca="false">SUM(G278:L278)</f>
        <v>33.18</v>
      </c>
      <c r="N278" s="11" t="n">
        <v>9.06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f aca="false">SUM(N278:S278)</f>
        <v>9.06</v>
      </c>
      <c r="U278" s="11" t="n">
        <v>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f aca="false">SUM(U278:Z278)</f>
        <v>0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0</v>
      </c>
      <c r="AH278" s="11" t="n">
        <f aca="false">SUM(AB278:AG278)</f>
        <v>0</v>
      </c>
      <c r="AI278" s="12" t="s">
        <v>71</v>
      </c>
    </row>
    <row r="279" customFormat="false" ht="15" hidden="false" customHeight="false" outlineLevel="0" collapsed="false">
      <c r="A279" s="8" t="s">
        <v>622</v>
      </c>
      <c r="B279" s="12" t="s">
        <v>623</v>
      </c>
      <c r="C279" s="8" t="s">
        <v>410</v>
      </c>
      <c r="D279" s="12" t="s">
        <v>411</v>
      </c>
      <c r="E279" s="10" t="str">
        <f aca="true">IFERROR(IF(INDEX(INDIRECT("'"&amp;$AI279&amp;"'!$E$2:$E$320"),MATCH($A279,INDIRECT("'"&amp;$AI279&amp;"'!$A$2:$A$320"),0))="","",INDEX(INDIRECT("'"&amp;$AI279&amp;"'!$E$2:$E$320"),MATCH($A279,INDIRECT("'"&amp;$AI279&amp;"'!$A$2:$A$320"),0))),"")</f>
        <v/>
      </c>
      <c r="F279" s="9" t="str">
        <f aca="false">IF($E279="","",IFERROR(INDEX(担当者マスタ!$B$2:$B$101,MATCH($E279,担当者マスタ!$A$2:$A$101,0)),"※マスタ未登録"))</f>
        <v/>
      </c>
      <c r="G279" s="11" t="n">
        <v>0</v>
      </c>
      <c r="H279" s="11" t="n">
        <v>17.6</v>
      </c>
      <c r="I279" s="11" t="n">
        <v>0</v>
      </c>
      <c r="J279" s="11" t="n">
        <v>17.6</v>
      </c>
      <c r="K279" s="11" t="n">
        <v>0</v>
      </c>
      <c r="L279" s="11" t="n">
        <v>0</v>
      </c>
      <c r="M279" s="11" t="n">
        <f aca="false">SUM(G279:L279)</f>
        <v>35.2</v>
      </c>
      <c r="N279" s="11" t="n">
        <v>0</v>
      </c>
      <c r="O279" s="11" t="n">
        <v>5.3</v>
      </c>
      <c r="P279" s="11" t="n">
        <v>0</v>
      </c>
      <c r="Q279" s="11" t="n">
        <v>5.3</v>
      </c>
      <c r="R279" s="11" t="n">
        <v>0</v>
      </c>
      <c r="S279" s="11" t="n">
        <v>0</v>
      </c>
      <c r="T279" s="11" t="n">
        <f aca="false">SUM(N279:S279)</f>
        <v>10.6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0</v>
      </c>
      <c r="AA279" s="11" t="n">
        <f aca="false">SUM(U279:Z279)</f>
        <v>0</v>
      </c>
      <c r="AB279" s="11" t="n">
        <v>0</v>
      </c>
      <c r="AC279" s="11" t="n">
        <v>0</v>
      </c>
      <c r="AD279" s="11" t="n">
        <v>0</v>
      </c>
      <c r="AE279" s="11" t="n">
        <v>0</v>
      </c>
      <c r="AF279" s="11" t="n">
        <v>0</v>
      </c>
      <c r="AG279" s="11" t="n">
        <v>0</v>
      </c>
      <c r="AH279" s="11" t="n">
        <f aca="false">SUM(AB279:AG279)</f>
        <v>0</v>
      </c>
      <c r="AI279" s="12" t="s">
        <v>71</v>
      </c>
    </row>
    <row r="280" customFormat="false" ht="15" hidden="false" customHeight="false" outlineLevel="0" collapsed="false">
      <c r="A280" s="8" t="s">
        <v>624</v>
      </c>
      <c r="B280" s="12" t="s">
        <v>625</v>
      </c>
      <c r="C280" s="8" t="s">
        <v>410</v>
      </c>
      <c r="D280" s="12" t="s">
        <v>411</v>
      </c>
      <c r="E280" s="10" t="str">
        <f aca="true">IFERROR(IF(INDEX(INDIRECT("'"&amp;$AI280&amp;"'!$E$2:$E$320"),MATCH($A280,INDIRECT("'"&amp;$AI280&amp;"'!$A$2:$A$320"),0))="","",INDEX(INDIRECT("'"&amp;$AI280&amp;"'!$E$2:$E$320"),MATCH($A280,INDIRECT("'"&amp;$AI280&amp;"'!$A$2:$A$320"),0))),"")</f>
        <v/>
      </c>
      <c r="F280" s="9" t="str">
        <f aca="false">IF($E280="","",IFERROR(INDEX(担当者マスタ!$B$2:$B$101,MATCH($E280,担当者マスタ!$A$2:$A$101,0)),"※マスタ未登録"))</f>
        <v/>
      </c>
      <c r="G280" s="11" t="n">
        <v>40.272</v>
      </c>
      <c r="H280" s="11" t="n">
        <v>79.3</v>
      </c>
      <c r="I280" s="11" t="n">
        <v>13.27</v>
      </c>
      <c r="J280" s="11" t="n">
        <v>12.91</v>
      </c>
      <c r="K280" s="11" t="n">
        <v>0</v>
      </c>
      <c r="L280" s="11" t="n">
        <v>3.55</v>
      </c>
      <c r="M280" s="11" t="n">
        <f aca="false">SUM(G280:L280)</f>
        <v>149.302</v>
      </c>
      <c r="N280" s="11" t="n">
        <v>14.342</v>
      </c>
      <c r="O280" s="11" t="n">
        <v>26.3</v>
      </c>
      <c r="P280" s="11" t="n">
        <v>5.408</v>
      </c>
      <c r="Q280" s="11" t="n">
        <v>4.035</v>
      </c>
      <c r="R280" s="11" t="n">
        <v>0</v>
      </c>
      <c r="S280" s="11" t="n">
        <v>1.3</v>
      </c>
      <c r="T280" s="11" t="n">
        <f aca="false">SUM(N280:S280)</f>
        <v>51.385</v>
      </c>
      <c r="U280" s="11" t="n">
        <v>36.45</v>
      </c>
      <c r="V280" s="11" t="n">
        <v>23.668</v>
      </c>
      <c r="W280" s="11" t="n">
        <v>8.8</v>
      </c>
      <c r="X280" s="11" t="n">
        <v>3.81</v>
      </c>
      <c r="Y280" s="11" t="n">
        <v>33.85</v>
      </c>
      <c r="Z280" s="11" t="n">
        <v>18.55</v>
      </c>
      <c r="AA280" s="11" t="n">
        <f aca="false">SUM(U280:Z280)</f>
        <v>125.128</v>
      </c>
      <c r="AB280" s="11" t="n">
        <v>12.198</v>
      </c>
      <c r="AC280" s="11" t="n">
        <v>7.466</v>
      </c>
      <c r="AD280" s="11" t="n">
        <v>3.6</v>
      </c>
      <c r="AE280" s="11" t="n">
        <v>1.3</v>
      </c>
      <c r="AF280" s="11" t="n">
        <v>11.308</v>
      </c>
      <c r="AG280" s="11" t="n">
        <v>6.35</v>
      </c>
      <c r="AH280" s="11" t="n">
        <f aca="false">SUM(AB280:AG280)</f>
        <v>42.222</v>
      </c>
      <c r="AI280" s="12" t="s">
        <v>71</v>
      </c>
    </row>
    <row r="281" customFormat="false" ht="15" hidden="false" customHeight="false" outlineLevel="0" collapsed="false">
      <c r="A281" s="8" t="s">
        <v>626</v>
      </c>
      <c r="B281" s="12" t="s">
        <v>627</v>
      </c>
      <c r="C281" s="8" t="s">
        <v>410</v>
      </c>
      <c r="D281" s="12" t="s">
        <v>411</v>
      </c>
      <c r="E281" s="10" t="str">
        <f aca="true">IFERROR(IF(INDEX(INDIRECT("'"&amp;$AI281&amp;"'!$E$2:$E$320"),MATCH($A281,INDIRECT("'"&amp;$AI281&amp;"'!$A$2:$A$320"),0))="","",INDEX(INDIRECT("'"&amp;$AI281&amp;"'!$E$2:$E$320"),MATCH($A281,INDIRECT("'"&amp;$AI281&amp;"'!$A$2:$A$320"),0))),"")</f>
        <v/>
      </c>
      <c r="F281" s="9" t="str">
        <f aca="false">IF($E281="","",IFERROR(INDEX(担当者マスタ!$B$2:$B$101,MATCH($E281,担当者マスタ!$A$2:$A$101,0)),"※マスタ未登録"))</f>
        <v/>
      </c>
      <c r="G281" s="11" t="n">
        <v>1561.424</v>
      </c>
      <c r="H281" s="11" t="n">
        <v>0</v>
      </c>
      <c r="I281" s="11" t="n">
        <v>654.72</v>
      </c>
      <c r="J281" s="11" t="n">
        <v>324</v>
      </c>
      <c r="K281" s="11" t="n">
        <v>334.4</v>
      </c>
      <c r="L281" s="11" t="n">
        <v>125</v>
      </c>
      <c r="M281" s="11" t="n">
        <f aca="false">SUM(G281:L281)</f>
        <v>2999.544</v>
      </c>
      <c r="N281" s="11" t="n">
        <v>559.634</v>
      </c>
      <c r="O281" s="11" t="n">
        <v>0</v>
      </c>
      <c r="P281" s="11" t="n">
        <v>256.96</v>
      </c>
      <c r="Q281" s="11" t="n">
        <v>88.8</v>
      </c>
      <c r="R281" s="11" t="n">
        <v>102.08</v>
      </c>
      <c r="S281" s="11" t="n">
        <v>34.8</v>
      </c>
      <c r="T281" s="11" t="n">
        <f aca="false">SUM(N281:S281)</f>
        <v>1042.274</v>
      </c>
      <c r="U281" s="11" t="n">
        <v>602.25</v>
      </c>
      <c r="V281" s="11" t="n">
        <v>2345.66</v>
      </c>
      <c r="W281" s="11" t="n">
        <v>1432.04</v>
      </c>
      <c r="X281" s="11" t="n">
        <v>0</v>
      </c>
      <c r="Y281" s="11" t="n">
        <v>2393.5</v>
      </c>
      <c r="Z281" s="11" t="n">
        <v>0</v>
      </c>
      <c r="AA281" s="11" t="n">
        <f aca="false">SUM(U281:Z281)</f>
        <v>6773.45</v>
      </c>
      <c r="AB281" s="11" t="n">
        <v>192.72</v>
      </c>
      <c r="AC281" s="11" t="n">
        <v>737.71</v>
      </c>
      <c r="AD281" s="11" t="n">
        <v>445.77</v>
      </c>
      <c r="AE281" s="11" t="n">
        <v>0</v>
      </c>
      <c r="AF281" s="11" t="n">
        <v>655.55</v>
      </c>
      <c r="AG281" s="11" t="n">
        <v>0</v>
      </c>
      <c r="AH281" s="11" t="n">
        <f aca="false">SUM(AB281:AG281)</f>
        <v>2031.75</v>
      </c>
      <c r="AI281" s="12" t="s">
        <v>71</v>
      </c>
    </row>
    <row r="282" customFormat="false" ht="15" hidden="false" customHeight="false" outlineLevel="0" collapsed="false">
      <c r="A282" s="8" t="s">
        <v>628</v>
      </c>
      <c r="B282" s="9" t="s">
        <v>629</v>
      </c>
      <c r="C282" s="8" t="s">
        <v>410</v>
      </c>
      <c r="D282" s="12" t="s">
        <v>411</v>
      </c>
      <c r="E282" s="10" t="str">
        <f aca="true">IFERROR(IF(INDEX(INDIRECT("'"&amp;$AI282&amp;"'!$E$2:$E$320"),MATCH($A282,INDIRECT("'"&amp;$AI282&amp;"'!$A$2:$A$320"),0))="","",INDEX(INDIRECT("'"&amp;$AI282&amp;"'!$E$2:$E$320"),MATCH($A282,INDIRECT("'"&amp;$AI282&amp;"'!$A$2:$A$320"),0))),"")</f>
        <v/>
      </c>
      <c r="F282" s="9" t="str">
        <f aca="false">IF($E282="","",IFERROR(INDEX(担当者マスタ!$B$2:$B$101,MATCH($E282,担当者マスタ!$A$2:$A$101,0)),"※マスタ未登録"))</f>
        <v/>
      </c>
      <c r="G282" s="11" t="n">
        <v>0</v>
      </c>
      <c r="H282" s="11" t="n">
        <v>24.48</v>
      </c>
      <c r="I282" s="11" t="n">
        <v>24.48</v>
      </c>
      <c r="J282" s="11" t="n">
        <v>0</v>
      </c>
      <c r="K282" s="11" t="n">
        <v>0</v>
      </c>
      <c r="L282" s="11" t="n">
        <v>21</v>
      </c>
      <c r="M282" s="11" t="n">
        <f aca="false">SUM(G282:L282)</f>
        <v>69.96</v>
      </c>
      <c r="N282" s="11" t="n">
        <v>0</v>
      </c>
      <c r="O282" s="11" t="n">
        <v>7.848</v>
      </c>
      <c r="P282" s="11" t="n">
        <v>7.848</v>
      </c>
      <c r="Q282" s="11" t="n">
        <v>0</v>
      </c>
      <c r="R282" s="11" t="n">
        <v>0</v>
      </c>
      <c r="S282" s="11" t="n">
        <v>8.46</v>
      </c>
      <c r="T282" s="11" t="n">
        <f aca="false">SUM(N282:S282)</f>
        <v>24.156</v>
      </c>
      <c r="U282" s="11" t="n">
        <v>0</v>
      </c>
      <c r="V282" s="11" t="n">
        <v>0</v>
      </c>
      <c r="W282" s="11" t="n">
        <v>24.48</v>
      </c>
      <c r="X282" s="11" t="n">
        <v>84</v>
      </c>
      <c r="Y282" s="11" t="n">
        <v>24.48</v>
      </c>
      <c r="Z282" s="11" t="n">
        <v>0</v>
      </c>
      <c r="AA282" s="11" t="n">
        <f aca="false">SUM(U282:Z282)</f>
        <v>132.96</v>
      </c>
      <c r="AB282" s="11" t="n">
        <v>0</v>
      </c>
      <c r="AC282" s="11" t="n">
        <v>0</v>
      </c>
      <c r="AD282" s="11" t="n">
        <v>7.848</v>
      </c>
      <c r="AE282" s="11" t="n">
        <v>33.84</v>
      </c>
      <c r="AF282" s="11" t="n">
        <v>7.848</v>
      </c>
      <c r="AG282" s="11" t="n">
        <v>0</v>
      </c>
      <c r="AH282" s="11" t="n">
        <f aca="false">SUM(AB282:AG282)</f>
        <v>49.536</v>
      </c>
      <c r="AI282" s="12" t="s">
        <v>71</v>
      </c>
    </row>
    <row r="283" customFormat="false" ht="15" hidden="false" customHeight="false" outlineLevel="0" collapsed="false">
      <c r="A283" s="8" t="s">
        <v>630</v>
      </c>
      <c r="B283" s="12" t="s">
        <v>631</v>
      </c>
      <c r="C283" s="8" t="s">
        <v>410</v>
      </c>
      <c r="D283" s="12" t="s">
        <v>411</v>
      </c>
      <c r="E283" s="10" t="str">
        <f aca="true">IFERROR(IF(INDEX(INDIRECT("'"&amp;$AI283&amp;"'!$E$2:$E$320"),MATCH($A283,INDIRECT("'"&amp;$AI283&amp;"'!$A$2:$A$320"),0))="","",INDEX(INDIRECT("'"&amp;$AI283&amp;"'!$E$2:$E$320"),MATCH($A283,INDIRECT("'"&amp;$AI283&amp;"'!$A$2:$A$320"),0))),"")</f>
        <v/>
      </c>
      <c r="F283" s="9" t="str">
        <f aca="false">IF($E283="","",IFERROR(INDEX(担当者マスタ!$B$2:$B$101,MATCH($E283,担当者マスタ!$A$2:$A$101,0)),"※マスタ未登録"))</f>
        <v/>
      </c>
      <c r="G283" s="11" t="n">
        <v>18.7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f aca="false">SUM(G283:L283)</f>
        <v>18.7</v>
      </c>
      <c r="N283" s="11" t="n">
        <v>2.625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f aca="false">SUM(N283:S283)</f>
        <v>2.625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f aca="false">SUM(U283:Z283)</f>
        <v>0</v>
      </c>
      <c r="AB283" s="11" t="n">
        <v>0</v>
      </c>
      <c r="AC283" s="11" t="n">
        <v>0</v>
      </c>
      <c r="AD283" s="11" t="n">
        <v>0</v>
      </c>
      <c r="AE283" s="11" t="n">
        <v>0</v>
      </c>
      <c r="AF283" s="11" t="n">
        <v>0</v>
      </c>
      <c r="AG283" s="11" t="n">
        <v>0</v>
      </c>
      <c r="AH283" s="11" t="n">
        <f aca="false">SUM(AB283:AG283)</f>
        <v>0</v>
      </c>
      <c r="AI283" s="12" t="s">
        <v>71</v>
      </c>
    </row>
    <row r="284" customFormat="false" ht="15" hidden="false" customHeight="false" outlineLevel="0" collapsed="false">
      <c r="A284" s="8" t="s">
        <v>632</v>
      </c>
      <c r="B284" s="12" t="s">
        <v>633</v>
      </c>
      <c r="C284" s="8" t="s">
        <v>410</v>
      </c>
      <c r="D284" s="12" t="s">
        <v>411</v>
      </c>
      <c r="E284" s="10" t="str">
        <f aca="true">IFERROR(IF(INDEX(INDIRECT("'"&amp;$AI284&amp;"'!$E$2:$E$320"),MATCH($A284,INDIRECT("'"&amp;$AI284&amp;"'!$A$2:$A$320"),0))="","",INDEX(INDIRECT("'"&amp;$AI284&amp;"'!$E$2:$E$320"),MATCH($A284,INDIRECT("'"&amp;$AI284&amp;"'!$A$2:$A$320"),0))),"")</f>
        <v/>
      </c>
      <c r="F284" s="9" t="str">
        <f aca="false">IF($E284="","",IFERROR(INDEX(担当者マスタ!$B$2:$B$101,MATCH($E284,担当者マスタ!$A$2:$A$101,0)),"※マスタ未登録"))</f>
        <v/>
      </c>
      <c r="G284" s="11" t="n">
        <v>0</v>
      </c>
      <c r="H284" s="11" t="n">
        <v>0</v>
      </c>
      <c r="I284" s="11" t="n">
        <v>94.1</v>
      </c>
      <c r="J284" s="11" t="n">
        <v>20</v>
      </c>
      <c r="K284" s="11" t="n">
        <v>133</v>
      </c>
      <c r="L284" s="11" t="n">
        <v>0</v>
      </c>
      <c r="M284" s="11" t="n">
        <f aca="false">SUM(G284:L284)</f>
        <v>247.1</v>
      </c>
      <c r="N284" s="11" t="n">
        <v>0</v>
      </c>
      <c r="O284" s="11" t="n">
        <v>0</v>
      </c>
      <c r="P284" s="11" t="n">
        <v>16.36</v>
      </c>
      <c r="Q284" s="11" t="n">
        <v>4</v>
      </c>
      <c r="R284" s="11" t="n">
        <v>37.8</v>
      </c>
      <c r="S284" s="11" t="n">
        <v>0</v>
      </c>
      <c r="T284" s="11" t="n">
        <f aca="false">SUM(N284:S284)</f>
        <v>58.16</v>
      </c>
      <c r="U284" s="11" t="n">
        <v>0</v>
      </c>
      <c r="V284" s="11" t="n">
        <v>0</v>
      </c>
      <c r="W284" s="11" t="n">
        <v>302.802</v>
      </c>
      <c r="X284" s="11" t="n">
        <v>0</v>
      </c>
      <c r="Y284" s="11" t="n">
        <v>0</v>
      </c>
      <c r="Z284" s="11" t="n">
        <v>33.52</v>
      </c>
      <c r="AA284" s="11" t="n">
        <f aca="false">SUM(U284:Z284)</f>
        <v>336.322</v>
      </c>
      <c r="AB284" s="11" t="n">
        <v>0</v>
      </c>
      <c r="AC284" s="11" t="n">
        <v>0</v>
      </c>
      <c r="AD284" s="11" t="n">
        <v>98.457</v>
      </c>
      <c r="AE284" s="11" t="n">
        <v>0</v>
      </c>
      <c r="AF284" s="11" t="n">
        <v>0</v>
      </c>
      <c r="AG284" s="11" t="n">
        <v>9.62</v>
      </c>
      <c r="AH284" s="11" t="n">
        <f aca="false">SUM(AB284:AG284)</f>
        <v>108.077</v>
      </c>
      <c r="AI284" s="12" t="s">
        <v>71</v>
      </c>
    </row>
    <row r="285" customFormat="false" ht="15" hidden="false" customHeight="false" outlineLevel="0" collapsed="false">
      <c r="A285" s="8" t="s">
        <v>634</v>
      </c>
      <c r="B285" s="9" t="s">
        <v>635</v>
      </c>
      <c r="C285" s="8" t="s">
        <v>636</v>
      </c>
      <c r="D285" s="12" t="s">
        <v>637</v>
      </c>
      <c r="E285" s="10" t="str">
        <f aca="true">IFERROR(IF(INDEX(INDIRECT("'"&amp;$AI285&amp;"'!$E$2:$E$118"),MATCH($A285,INDIRECT("'"&amp;$AI285&amp;"'!$A$2:$A$118"),0))="","",INDEX(INDIRECT("'"&amp;$AI285&amp;"'!$E$2:$E$118"),MATCH($A285,INDIRECT("'"&amp;$AI285&amp;"'!$A$2:$A$118"),0))),"")</f>
        <v/>
      </c>
      <c r="F285" s="9" t="str">
        <f aca="false">IF($E285="","",IFERROR(INDEX(担当者マスタ!$B$2:$B$101,MATCH($E285,担当者マスタ!$A$2:$A$101,0)),"※マスタ未登録"))</f>
        <v/>
      </c>
      <c r="G285" s="11" t="n">
        <v>39.1</v>
      </c>
      <c r="H285" s="11" t="n">
        <v>14.423</v>
      </c>
      <c r="I285" s="11" t="n">
        <v>11.76</v>
      </c>
      <c r="J285" s="11" t="n">
        <v>17.036</v>
      </c>
      <c r="K285" s="11" t="n">
        <v>11.688</v>
      </c>
      <c r="L285" s="11" t="n">
        <v>8.097</v>
      </c>
      <c r="M285" s="11" t="n">
        <f aca="false">SUM(G285:L285)</f>
        <v>102.104</v>
      </c>
      <c r="N285" s="11" t="n">
        <v>20.201</v>
      </c>
      <c r="O285" s="11" t="n">
        <v>6.885</v>
      </c>
      <c r="P285" s="11" t="n">
        <v>5.061</v>
      </c>
      <c r="Q285" s="11" t="n">
        <v>7.85</v>
      </c>
      <c r="R285" s="11" t="n">
        <v>5.304</v>
      </c>
      <c r="S285" s="11" t="n">
        <v>3.461</v>
      </c>
      <c r="T285" s="11" t="n">
        <f aca="false">SUM(N285:S285)</f>
        <v>48.762</v>
      </c>
      <c r="U285" s="11" t="n">
        <v>26.513</v>
      </c>
      <c r="V285" s="11" t="n">
        <v>14.266</v>
      </c>
      <c r="W285" s="11" t="n">
        <v>18.887</v>
      </c>
      <c r="X285" s="11" t="n">
        <v>5.19</v>
      </c>
      <c r="Y285" s="11" t="n">
        <v>19.191</v>
      </c>
      <c r="Z285" s="11" t="n">
        <v>11.024</v>
      </c>
      <c r="AA285" s="11" t="n">
        <f aca="false">SUM(U285:Z285)</f>
        <v>95.071</v>
      </c>
      <c r="AB285" s="11" t="n">
        <v>12.505</v>
      </c>
      <c r="AC285" s="11" t="n">
        <v>5.797</v>
      </c>
      <c r="AD285" s="11" t="n">
        <v>8.625</v>
      </c>
      <c r="AE285" s="11" t="n">
        <v>2.248</v>
      </c>
      <c r="AF285" s="11" t="n">
        <v>9.099</v>
      </c>
      <c r="AG285" s="11" t="n">
        <v>4.024</v>
      </c>
      <c r="AH285" s="11" t="n">
        <f aca="false">SUM(AB285:AG285)</f>
        <v>42.298</v>
      </c>
      <c r="AI285" s="12" t="s">
        <v>60</v>
      </c>
    </row>
    <row r="286" customFormat="false" ht="15" hidden="false" customHeight="false" outlineLevel="0" collapsed="false">
      <c r="A286" s="8" t="s">
        <v>638</v>
      </c>
      <c r="B286" s="12" t="s">
        <v>639</v>
      </c>
      <c r="C286" s="8" t="s">
        <v>636</v>
      </c>
      <c r="D286" s="12" t="s">
        <v>637</v>
      </c>
      <c r="E286" s="10" t="str">
        <f aca="true">IFERROR(IF(INDEX(INDIRECT("'"&amp;$AI286&amp;"'!$E$2:$E$118"),MATCH($A286,INDIRECT("'"&amp;$AI286&amp;"'!$A$2:$A$118"),0))="","",INDEX(INDIRECT("'"&amp;$AI286&amp;"'!$E$2:$E$118"),MATCH($A286,INDIRECT("'"&amp;$AI286&amp;"'!$A$2:$A$118"),0))),"")</f>
        <v/>
      </c>
      <c r="F286" s="9" t="str">
        <f aca="false">IF($E286="","",IFERROR(INDEX(担当者マスタ!$B$2:$B$101,MATCH($E286,担当者マスタ!$A$2:$A$101,0)),"※マスタ未登録"))</f>
        <v/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f aca="false">SUM(G286:L286)</f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f aca="false">SUM(N286:S286)</f>
        <v>0</v>
      </c>
      <c r="U286" s="11" t="n">
        <v>7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f aca="false">SUM(U286:Z286)</f>
        <v>7</v>
      </c>
      <c r="AB286" s="11" t="n">
        <v>1.72</v>
      </c>
      <c r="AC286" s="11" t="n">
        <v>0</v>
      </c>
      <c r="AD286" s="11" t="n">
        <v>0</v>
      </c>
      <c r="AE286" s="11" t="n">
        <v>0</v>
      </c>
      <c r="AF286" s="11" t="n">
        <v>0</v>
      </c>
      <c r="AG286" s="11" t="n">
        <v>0</v>
      </c>
      <c r="AH286" s="11" t="n">
        <f aca="false">SUM(AB286:AG286)</f>
        <v>1.72</v>
      </c>
      <c r="AI286" s="12" t="s">
        <v>60</v>
      </c>
    </row>
    <row r="287" customFormat="false" ht="15" hidden="false" customHeight="false" outlineLevel="0" collapsed="false">
      <c r="A287" s="8" t="s">
        <v>640</v>
      </c>
      <c r="B287" s="9" t="s">
        <v>641</v>
      </c>
      <c r="C287" s="8" t="s">
        <v>636</v>
      </c>
      <c r="D287" s="12" t="s">
        <v>637</v>
      </c>
      <c r="E287" s="10" t="str">
        <f aca="true">IFERROR(IF(INDEX(INDIRECT("'"&amp;$AI287&amp;"'!$E$2:$E$118"),MATCH($A287,INDIRECT("'"&amp;$AI287&amp;"'!$A$2:$A$118"),0))="","",INDEX(INDIRECT("'"&amp;$AI287&amp;"'!$E$2:$E$118"),MATCH($A287,INDIRECT("'"&amp;$AI287&amp;"'!$A$2:$A$118"),0))),"")</f>
        <v/>
      </c>
      <c r="F287" s="9" t="str">
        <f aca="false">IF($E287="","",IFERROR(INDEX(担当者マスタ!$B$2:$B$101,MATCH($E287,担当者マスタ!$A$2:$A$101,0)),"※マスタ未登録"))</f>
        <v/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f aca="false">SUM(G287:L287)</f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f aca="false">SUM(N287:S287)</f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1.164</v>
      </c>
      <c r="AA287" s="11" t="n">
        <f aca="false">SUM(U287:Z287)</f>
        <v>1.164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0.495</v>
      </c>
      <c r="AH287" s="11" t="n">
        <f aca="false">SUM(AB287:AG287)</f>
        <v>0.495</v>
      </c>
      <c r="AI287" s="12" t="s">
        <v>60</v>
      </c>
    </row>
    <row r="288" customFormat="false" ht="15" hidden="false" customHeight="false" outlineLevel="0" collapsed="false">
      <c r="A288" s="8" t="s">
        <v>642</v>
      </c>
      <c r="B288" s="9" t="s">
        <v>643</v>
      </c>
      <c r="C288" s="8" t="s">
        <v>636</v>
      </c>
      <c r="D288" s="12" t="s">
        <v>637</v>
      </c>
      <c r="E288" s="10" t="str">
        <f aca="true">IFERROR(IF(INDEX(INDIRECT("'"&amp;$AI288&amp;"'!$E$2:$E$118"),MATCH($A288,INDIRECT("'"&amp;$AI288&amp;"'!$A$2:$A$118"),0))="","",INDEX(INDIRECT("'"&amp;$AI288&amp;"'!$E$2:$E$118"),MATCH($A288,INDIRECT("'"&amp;$AI288&amp;"'!$A$2:$A$118"),0))),"")</f>
        <v/>
      </c>
      <c r="F288" s="9" t="str">
        <f aca="false">IF($E288="","",IFERROR(INDEX(担当者マスタ!$B$2:$B$101,MATCH($E288,担当者マスタ!$A$2:$A$101,0)),"※マスタ未登録"))</f>
        <v/>
      </c>
      <c r="G288" s="11" t="n">
        <v>69.5</v>
      </c>
      <c r="H288" s="11" t="n">
        <v>80.845</v>
      </c>
      <c r="I288" s="11" t="n">
        <v>29.36</v>
      </c>
      <c r="J288" s="11" t="n">
        <v>20.562</v>
      </c>
      <c r="K288" s="11" t="n">
        <v>114.97</v>
      </c>
      <c r="L288" s="11" t="n">
        <v>71.34</v>
      </c>
      <c r="M288" s="11" t="n">
        <f aca="false">SUM(G288:L288)</f>
        <v>386.577</v>
      </c>
      <c r="N288" s="11" t="n">
        <v>68.25</v>
      </c>
      <c r="O288" s="11" t="n">
        <v>64.478</v>
      </c>
      <c r="P288" s="11" t="n">
        <v>16.16</v>
      </c>
      <c r="Q288" s="11" t="n">
        <v>20.03</v>
      </c>
      <c r="R288" s="11" t="n">
        <v>114.97</v>
      </c>
      <c r="S288" s="11" t="n">
        <v>71.34</v>
      </c>
      <c r="T288" s="11" t="n">
        <f aca="false">SUM(N288:S288)</f>
        <v>355.228</v>
      </c>
      <c r="U288" s="11" t="n">
        <v>44</v>
      </c>
      <c r="V288" s="11" t="n">
        <v>142.4</v>
      </c>
      <c r="W288" s="11" t="n">
        <v>62.66</v>
      </c>
      <c r="X288" s="11" t="n">
        <v>20</v>
      </c>
      <c r="Y288" s="11" t="n">
        <v>10.6</v>
      </c>
      <c r="Z288" s="11" t="n">
        <v>3</v>
      </c>
      <c r="AA288" s="11" t="n">
        <f aca="false">SUM(U288:Z288)</f>
        <v>282.66</v>
      </c>
      <c r="AB288" s="11" t="n">
        <v>44</v>
      </c>
      <c r="AC288" s="11" t="n">
        <v>141.15</v>
      </c>
      <c r="AD288" s="11" t="n">
        <v>62.243</v>
      </c>
      <c r="AE288" s="11" t="n">
        <v>20</v>
      </c>
      <c r="AF288" s="11" t="n">
        <v>10.6</v>
      </c>
      <c r="AG288" s="11" t="n">
        <v>3</v>
      </c>
      <c r="AH288" s="11" t="n">
        <f aca="false">SUM(AB288:AG288)</f>
        <v>280.993</v>
      </c>
      <c r="AI288" s="12" t="s">
        <v>60</v>
      </c>
    </row>
    <row r="289" customFormat="false" ht="15" hidden="false" customHeight="false" outlineLevel="0" collapsed="false">
      <c r="A289" s="8" t="s">
        <v>644</v>
      </c>
      <c r="B289" s="12" t="s">
        <v>645</v>
      </c>
      <c r="C289" s="8" t="s">
        <v>636</v>
      </c>
      <c r="D289" s="12" t="s">
        <v>637</v>
      </c>
      <c r="E289" s="10" t="str">
        <f aca="true">IFERROR(IF(INDEX(INDIRECT("'"&amp;$AI289&amp;"'!$E$2:$E$118"),MATCH($A289,INDIRECT("'"&amp;$AI289&amp;"'!$A$2:$A$118"),0))="","",INDEX(INDIRECT("'"&amp;$AI289&amp;"'!$E$2:$E$118"),MATCH($A289,INDIRECT("'"&amp;$AI289&amp;"'!$A$2:$A$118"),0))),"")</f>
        <v/>
      </c>
      <c r="F289" s="9" t="str">
        <f aca="false">IF($E289="","",IFERROR(INDEX(担当者マスタ!$B$2:$B$101,MATCH($E289,担当者マスタ!$A$2:$A$101,0)),"※マスタ未登録"))</f>
        <v/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f aca="false">SUM(G289:L289)</f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f aca="false">SUM(N289:S289)</f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473.2</v>
      </c>
      <c r="Z289" s="11" t="n">
        <v>0</v>
      </c>
      <c r="AA289" s="11" t="n">
        <f aca="false">SUM(U289:Z289)</f>
        <v>473.2</v>
      </c>
      <c r="AB289" s="11" t="n">
        <v>0</v>
      </c>
      <c r="AC289" s="11" t="n">
        <v>0</v>
      </c>
      <c r="AD289" s="11" t="n">
        <v>0</v>
      </c>
      <c r="AE289" s="11" t="n">
        <v>0</v>
      </c>
      <c r="AF289" s="11" t="n">
        <v>92.4</v>
      </c>
      <c r="AG289" s="11" t="n">
        <v>0</v>
      </c>
      <c r="AH289" s="11" t="n">
        <f aca="false">SUM(AB289:AG289)</f>
        <v>92.4</v>
      </c>
      <c r="AI289" s="12" t="s">
        <v>60</v>
      </c>
    </row>
    <row r="290" customFormat="false" ht="15" hidden="false" customHeight="false" outlineLevel="0" collapsed="false">
      <c r="A290" s="8" t="s">
        <v>646</v>
      </c>
      <c r="B290" s="9" t="s">
        <v>647</v>
      </c>
      <c r="C290" s="8" t="s">
        <v>636</v>
      </c>
      <c r="D290" s="12" t="s">
        <v>637</v>
      </c>
      <c r="E290" s="10" t="str">
        <f aca="true">IFERROR(IF(INDEX(INDIRECT("'"&amp;$AI290&amp;"'!$E$2:$E$118"),MATCH($A290,INDIRECT("'"&amp;$AI290&amp;"'!$A$2:$A$118"),0))="","",INDEX(INDIRECT("'"&amp;$AI290&amp;"'!$E$2:$E$118"),MATCH($A290,INDIRECT("'"&amp;$AI290&amp;"'!$A$2:$A$118"),0))),"")</f>
        <v/>
      </c>
      <c r="F290" s="9" t="str">
        <f aca="false">IF($E290="","",IFERROR(INDEX(担当者マスタ!$B$2:$B$101,MATCH($E290,担当者マスタ!$A$2:$A$101,0)),"※マスタ未登録"))</f>
        <v/>
      </c>
      <c r="G290" s="11" t="n">
        <v>496.65</v>
      </c>
      <c r="H290" s="11" t="n">
        <v>231.55</v>
      </c>
      <c r="I290" s="11" t="n">
        <v>55.45</v>
      </c>
      <c r="J290" s="11" t="n">
        <v>66.2</v>
      </c>
      <c r="K290" s="11" t="n">
        <v>34.25</v>
      </c>
      <c r="L290" s="11" t="n">
        <v>41.25</v>
      </c>
      <c r="M290" s="11" t="n">
        <f aca="false">SUM(G290:L290)</f>
        <v>925.35</v>
      </c>
      <c r="N290" s="11" t="n">
        <v>449.596</v>
      </c>
      <c r="O290" s="11" t="n">
        <v>213.992</v>
      </c>
      <c r="P290" s="11" t="n">
        <v>55.45</v>
      </c>
      <c r="Q290" s="11" t="n">
        <v>59.177</v>
      </c>
      <c r="R290" s="11" t="n">
        <v>34.25</v>
      </c>
      <c r="S290" s="11" t="n">
        <v>41.25</v>
      </c>
      <c r="T290" s="11" t="n">
        <f aca="false">SUM(N290:S290)</f>
        <v>853.715</v>
      </c>
      <c r="U290" s="11" t="n">
        <v>27.9</v>
      </c>
      <c r="V290" s="11" t="n">
        <v>84.5</v>
      </c>
      <c r="W290" s="11" t="n">
        <v>561.75</v>
      </c>
      <c r="X290" s="11" t="n">
        <v>412.4</v>
      </c>
      <c r="Y290" s="11" t="n">
        <v>546.4</v>
      </c>
      <c r="Z290" s="11" t="n">
        <v>51.7</v>
      </c>
      <c r="AA290" s="11" t="n">
        <f aca="false">SUM(U290:Z290)</f>
        <v>1684.65</v>
      </c>
      <c r="AB290" s="11" t="n">
        <v>27.9</v>
      </c>
      <c r="AC290" s="11" t="n">
        <v>84.5</v>
      </c>
      <c r="AD290" s="11" t="n">
        <v>326.811</v>
      </c>
      <c r="AE290" s="11" t="n">
        <v>365.409</v>
      </c>
      <c r="AF290" s="11" t="n">
        <v>405.898</v>
      </c>
      <c r="AG290" s="11" t="n">
        <v>46.894</v>
      </c>
      <c r="AH290" s="11" t="n">
        <f aca="false">SUM(AB290:AG290)</f>
        <v>1257.412</v>
      </c>
      <c r="AI290" s="12" t="s">
        <v>60</v>
      </c>
    </row>
    <row r="291" customFormat="false" ht="15" hidden="false" customHeight="false" outlineLevel="0" collapsed="false">
      <c r="A291" s="8" t="s">
        <v>648</v>
      </c>
      <c r="B291" s="12" t="s">
        <v>649</v>
      </c>
      <c r="C291" s="8" t="s">
        <v>636</v>
      </c>
      <c r="D291" s="12" t="s">
        <v>637</v>
      </c>
      <c r="E291" s="10" t="str">
        <f aca="true">IFERROR(IF(INDEX(INDIRECT("'"&amp;$AI291&amp;"'!$E$2:$E$118"),MATCH($A291,INDIRECT("'"&amp;$AI291&amp;"'!$A$2:$A$118"),0))="","",INDEX(INDIRECT("'"&amp;$AI291&amp;"'!$E$2:$E$118"),MATCH($A291,INDIRECT("'"&amp;$AI291&amp;"'!$A$2:$A$118"),0))),"")</f>
        <v/>
      </c>
      <c r="F291" s="9" t="str">
        <f aca="false">IF($E291="","",IFERROR(INDEX(担当者マスタ!$B$2:$B$101,MATCH($E291,担当者マスタ!$A$2:$A$101,0)),"※マスタ未登録"))</f>
        <v/>
      </c>
      <c r="G291" s="11" t="n">
        <v>1927.301</v>
      </c>
      <c r="H291" s="11" t="n">
        <v>896.31</v>
      </c>
      <c r="I291" s="11" t="n">
        <v>384.75</v>
      </c>
      <c r="J291" s="11" t="n">
        <v>232.53</v>
      </c>
      <c r="K291" s="11" t="n">
        <v>131.08</v>
      </c>
      <c r="L291" s="11" t="n">
        <v>304.45</v>
      </c>
      <c r="M291" s="11" t="n">
        <f aca="false">SUM(G291:L291)</f>
        <v>3876.421</v>
      </c>
      <c r="N291" s="11" t="n">
        <v>432.615</v>
      </c>
      <c r="O291" s="11" t="n">
        <v>199.95</v>
      </c>
      <c r="P291" s="11" t="n">
        <v>87.61</v>
      </c>
      <c r="Q291" s="11" t="n">
        <v>53.55</v>
      </c>
      <c r="R291" s="11" t="n">
        <v>30.92</v>
      </c>
      <c r="S291" s="11" t="n">
        <v>71.28</v>
      </c>
      <c r="T291" s="11" t="n">
        <f aca="false">SUM(N291:S291)</f>
        <v>875.925</v>
      </c>
      <c r="U291" s="11" t="n">
        <v>1160.935</v>
      </c>
      <c r="V291" s="11" t="n">
        <v>696.99</v>
      </c>
      <c r="W291" s="11" t="n">
        <v>540.014</v>
      </c>
      <c r="X291" s="11" t="n">
        <v>434.97</v>
      </c>
      <c r="Y291" s="11" t="n">
        <v>266.45</v>
      </c>
      <c r="Z291" s="11" t="n">
        <v>417.96</v>
      </c>
      <c r="AA291" s="11" t="n">
        <f aca="false">SUM(U291:Z291)</f>
        <v>3517.319</v>
      </c>
      <c r="AB291" s="11" t="n">
        <v>252.081</v>
      </c>
      <c r="AC291" s="11" t="n">
        <v>151.96</v>
      </c>
      <c r="AD291" s="11" t="n">
        <v>117.586</v>
      </c>
      <c r="AE291" s="11" t="n">
        <v>99.88</v>
      </c>
      <c r="AF291" s="11" t="n">
        <v>60.93</v>
      </c>
      <c r="AG291" s="11" t="n">
        <v>93.45</v>
      </c>
      <c r="AH291" s="11" t="n">
        <f aca="false">SUM(AB291:AG291)</f>
        <v>775.887</v>
      </c>
      <c r="AI291" s="12" t="s">
        <v>60</v>
      </c>
    </row>
    <row r="292" customFormat="false" ht="15" hidden="false" customHeight="false" outlineLevel="0" collapsed="false">
      <c r="A292" s="8" t="s">
        <v>650</v>
      </c>
      <c r="B292" s="9" t="s">
        <v>651</v>
      </c>
      <c r="C292" s="8" t="s">
        <v>636</v>
      </c>
      <c r="D292" s="12" t="s">
        <v>637</v>
      </c>
      <c r="E292" s="10" t="str">
        <f aca="true">IFERROR(IF(INDEX(INDIRECT("'"&amp;$AI292&amp;"'!$E$2:$E$118"),MATCH($A292,INDIRECT("'"&amp;$AI292&amp;"'!$A$2:$A$118"),0))="","",INDEX(INDIRECT("'"&amp;$AI292&amp;"'!$E$2:$E$118"),MATCH($A292,INDIRECT("'"&amp;$AI292&amp;"'!$A$2:$A$118"),0))),"")</f>
        <v/>
      </c>
      <c r="F292" s="9" t="str">
        <f aca="false">IF($E292="","",IFERROR(INDEX(担当者マスタ!$B$2:$B$101,MATCH($E292,担当者マスタ!$A$2:$A$101,0)),"※マスタ未登録"))</f>
        <v/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f aca="false">SUM(G292:L292)</f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f aca="false">SUM(N292:S292)</f>
        <v>0</v>
      </c>
      <c r="U292" s="11" t="n">
        <v>5041.8</v>
      </c>
      <c r="V292" s="11" t="n">
        <v>6213.805</v>
      </c>
      <c r="W292" s="11" t="n">
        <v>4525.811</v>
      </c>
      <c r="X292" s="11" t="n">
        <v>4430.911</v>
      </c>
      <c r="Y292" s="11" t="n">
        <v>3797.025</v>
      </c>
      <c r="Z292" s="11" t="n">
        <v>4362.168</v>
      </c>
      <c r="AA292" s="11" t="n">
        <f aca="false">SUM(U292:Z292)</f>
        <v>28371.52</v>
      </c>
      <c r="AB292" s="11" t="n">
        <v>1982.663</v>
      </c>
      <c r="AC292" s="11" t="n">
        <v>2331.152</v>
      </c>
      <c r="AD292" s="11" t="n">
        <v>1754.948</v>
      </c>
      <c r="AE292" s="11" t="n">
        <v>1655.38</v>
      </c>
      <c r="AF292" s="11" t="n">
        <v>1390.295</v>
      </c>
      <c r="AG292" s="11" t="n">
        <v>1680.919</v>
      </c>
      <c r="AH292" s="11" t="n">
        <f aca="false">SUM(AB292:AG292)</f>
        <v>10795.357</v>
      </c>
      <c r="AI292" s="12" t="s">
        <v>60</v>
      </c>
    </row>
    <row r="293" customFormat="false" ht="15" hidden="false" customHeight="false" outlineLevel="0" collapsed="false">
      <c r="A293" s="8" t="s">
        <v>652</v>
      </c>
      <c r="B293" s="12" t="s">
        <v>653</v>
      </c>
      <c r="C293" s="8" t="s">
        <v>654</v>
      </c>
      <c r="D293" s="12" t="s">
        <v>655</v>
      </c>
      <c r="E293" s="10" t="str">
        <f aca="true">IFERROR(IF(INDEX(INDIRECT("'"&amp;$AI293&amp;"'!$E$2:$E$320"),MATCH($A293,INDIRECT("'"&amp;$AI293&amp;"'!$A$2:$A$320"),0))="","",INDEX(INDIRECT("'"&amp;$AI293&amp;"'!$E$2:$E$320"),MATCH($A293,INDIRECT("'"&amp;$AI293&amp;"'!$A$2:$A$320"),0))),"")</f>
        <v/>
      </c>
      <c r="F293" s="9" t="str">
        <f aca="false">IF($E293="","",IFERROR(INDEX(担当者マスタ!$B$2:$B$101,MATCH($E293,担当者マスタ!$A$2:$A$101,0)),"※マスタ未登録"))</f>
        <v/>
      </c>
      <c r="G293" s="11" t="n">
        <v>219.564</v>
      </c>
      <c r="H293" s="11" t="n">
        <v>77.791</v>
      </c>
      <c r="I293" s="11" t="n">
        <v>183.928</v>
      </c>
      <c r="J293" s="11" t="n">
        <v>52.388</v>
      </c>
      <c r="K293" s="11" t="n">
        <v>42.213</v>
      </c>
      <c r="L293" s="11" t="n">
        <v>73.638</v>
      </c>
      <c r="M293" s="11" t="n">
        <f aca="false">SUM(G293:L293)</f>
        <v>649.522</v>
      </c>
      <c r="N293" s="11" t="n">
        <v>146.58</v>
      </c>
      <c r="O293" s="11" t="n">
        <v>31.779</v>
      </c>
      <c r="P293" s="11" t="n">
        <v>83.206</v>
      </c>
      <c r="Q293" s="11" t="n">
        <v>31.447</v>
      </c>
      <c r="R293" s="11" t="n">
        <v>21.221</v>
      </c>
      <c r="S293" s="11" t="n">
        <v>37.945</v>
      </c>
      <c r="T293" s="11" t="n">
        <f aca="false">SUM(N293:S293)</f>
        <v>352.178</v>
      </c>
      <c r="U293" s="11" t="n">
        <v>30.176</v>
      </c>
      <c r="V293" s="11" t="n">
        <v>201.538</v>
      </c>
      <c r="W293" s="11" t="n">
        <v>192.535</v>
      </c>
      <c r="X293" s="11" t="n">
        <v>58.168</v>
      </c>
      <c r="Y293" s="11" t="n">
        <v>6.56</v>
      </c>
      <c r="Z293" s="11" t="n">
        <v>154.97</v>
      </c>
      <c r="AA293" s="11" t="n">
        <f aca="false">SUM(U293:Z293)</f>
        <v>643.947</v>
      </c>
      <c r="AB293" s="11" t="n">
        <v>13.8</v>
      </c>
      <c r="AC293" s="11" t="n">
        <v>73.075</v>
      </c>
      <c r="AD293" s="11" t="n">
        <v>78.541</v>
      </c>
      <c r="AE293" s="11" t="n">
        <v>29.898</v>
      </c>
      <c r="AF293" s="11" t="n">
        <v>3.921</v>
      </c>
      <c r="AG293" s="11" t="n">
        <v>68.503</v>
      </c>
      <c r="AH293" s="11" t="n">
        <f aca="false">SUM(AB293:AG293)</f>
        <v>267.738</v>
      </c>
      <c r="AI293" s="12" t="s">
        <v>71</v>
      </c>
    </row>
    <row r="294" customFormat="false" ht="15" hidden="false" customHeight="false" outlineLevel="0" collapsed="false">
      <c r="A294" s="8" t="s">
        <v>656</v>
      </c>
      <c r="B294" s="12" t="s">
        <v>657</v>
      </c>
      <c r="C294" s="8" t="s">
        <v>654</v>
      </c>
      <c r="D294" s="12" t="s">
        <v>655</v>
      </c>
      <c r="E294" s="10" t="str">
        <f aca="true">IFERROR(IF(INDEX(INDIRECT("'"&amp;$AI294&amp;"'!$E$2:$E$320"),MATCH($A294,INDIRECT("'"&amp;$AI294&amp;"'!$A$2:$A$320"),0))="","",INDEX(INDIRECT("'"&amp;$AI294&amp;"'!$E$2:$E$320"),MATCH($A294,INDIRECT("'"&amp;$AI294&amp;"'!$A$2:$A$320"),0))),"")</f>
        <v/>
      </c>
      <c r="F294" s="9" t="str">
        <f aca="false">IF($E294="","",IFERROR(INDEX(担当者マスタ!$B$2:$B$101,MATCH($E294,担当者マスタ!$A$2:$A$101,0)),"※マスタ未登録"))</f>
        <v/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f aca="false">SUM(G294:L294)</f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f aca="false">SUM(N294:S294)</f>
        <v>0</v>
      </c>
      <c r="U294" s="11" t="n">
        <v>0</v>
      </c>
      <c r="V294" s="11" t="n">
        <v>0</v>
      </c>
      <c r="W294" s="11" t="n">
        <v>30</v>
      </c>
      <c r="X294" s="11" t="n">
        <v>0</v>
      </c>
      <c r="Y294" s="11" t="n">
        <v>0</v>
      </c>
      <c r="Z294" s="11" t="n">
        <v>0</v>
      </c>
      <c r="AA294" s="11" t="n">
        <f aca="false">SUM(U294:Z294)</f>
        <v>30</v>
      </c>
      <c r="AB294" s="11" t="n">
        <v>0</v>
      </c>
      <c r="AC294" s="11" t="n">
        <v>0</v>
      </c>
      <c r="AD294" s="11" t="n">
        <v>30</v>
      </c>
      <c r="AE294" s="11" t="n">
        <v>0</v>
      </c>
      <c r="AF294" s="11" t="n">
        <v>0</v>
      </c>
      <c r="AG294" s="11" t="n">
        <v>0</v>
      </c>
      <c r="AH294" s="11" t="n">
        <f aca="false">SUM(AB294:AG294)</f>
        <v>30</v>
      </c>
      <c r="AI294" s="12" t="s">
        <v>71</v>
      </c>
    </row>
    <row r="295" customFormat="false" ht="15" hidden="false" customHeight="false" outlineLevel="0" collapsed="false">
      <c r="A295" s="8" t="s">
        <v>658</v>
      </c>
      <c r="B295" s="12" t="s">
        <v>659</v>
      </c>
      <c r="C295" s="8" t="s">
        <v>654</v>
      </c>
      <c r="D295" s="12" t="s">
        <v>655</v>
      </c>
      <c r="E295" s="10" t="str">
        <f aca="true">IFERROR(IF(INDEX(INDIRECT("'"&amp;$AI295&amp;"'!$E$2:$E$320"),MATCH($A295,INDIRECT("'"&amp;$AI295&amp;"'!$A$2:$A$320"),0))="","",INDEX(INDIRECT("'"&amp;$AI295&amp;"'!$E$2:$E$320"),MATCH($A295,INDIRECT("'"&amp;$AI295&amp;"'!$A$2:$A$320"),0))),"")</f>
        <v/>
      </c>
      <c r="F295" s="9" t="str">
        <f aca="false">IF($E295="","",IFERROR(INDEX(担当者マスタ!$B$2:$B$101,MATCH($E295,担当者マスタ!$A$2:$A$101,0)),"※マスタ未登録"))</f>
        <v/>
      </c>
      <c r="G295" s="11" t="n">
        <v>21.6</v>
      </c>
      <c r="H295" s="11" t="n">
        <v>0</v>
      </c>
      <c r="I295" s="11" t="n">
        <v>0</v>
      </c>
      <c r="J295" s="11" t="n">
        <v>15.9</v>
      </c>
      <c r="K295" s="11" t="n">
        <v>0</v>
      </c>
      <c r="L295" s="11" t="n">
        <v>0</v>
      </c>
      <c r="M295" s="11" t="n">
        <f aca="false">SUM(G295:L295)</f>
        <v>37.5</v>
      </c>
      <c r="N295" s="11" t="n">
        <v>2.592</v>
      </c>
      <c r="O295" s="11" t="n">
        <v>0</v>
      </c>
      <c r="P295" s="11" t="n">
        <v>0</v>
      </c>
      <c r="Q295" s="11" t="n">
        <v>1.908</v>
      </c>
      <c r="R295" s="11" t="n">
        <v>0</v>
      </c>
      <c r="S295" s="11" t="n">
        <v>0</v>
      </c>
      <c r="T295" s="11" t="n">
        <f aca="false">SUM(N295:S295)</f>
        <v>4.5</v>
      </c>
      <c r="U295" s="11" t="n">
        <v>20.85</v>
      </c>
      <c r="V295" s="11" t="n">
        <v>0</v>
      </c>
      <c r="W295" s="11" t="n">
        <v>0</v>
      </c>
      <c r="X295" s="11" t="n">
        <v>13.95</v>
      </c>
      <c r="Y295" s="11" t="n">
        <v>0</v>
      </c>
      <c r="Z295" s="11" t="n">
        <v>0</v>
      </c>
      <c r="AA295" s="11" t="n">
        <f aca="false">SUM(U295:Z295)</f>
        <v>34.8</v>
      </c>
      <c r="AB295" s="11" t="n">
        <v>2.502</v>
      </c>
      <c r="AC295" s="11" t="n">
        <v>0</v>
      </c>
      <c r="AD295" s="11" t="n">
        <v>0</v>
      </c>
      <c r="AE295" s="11" t="n">
        <v>1.674</v>
      </c>
      <c r="AF295" s="11" t="n">
        <v>0</v>
      </c>
      <c r="AG295" s="11" t="n">
        <v>0</v>
      </c>
      <c r="AH295" s="11" t="n">
        <f aca="false">SUM(AB295:AG295)</f>
        <v>4.176</v>
      </c>
      <c r="AI295" s="12" t="s">
        <v>71</v>
      </c>
    </row>
    <row r="296" customFormat="false" ht="15" hidden="false" customHeight="false" outlineLevel="0" collapsed="false">
      <c r="A296" s="8" t="s">
        <v>660</v>
      </c>
      <c r="B296" s="12" t="s">
        <v>661</v>
      </c>
      <c r="C296" s="8" t="s">
        <v>654</v>
      </c>
      <c r="D296" s="12" t="s">
        <v>655</v>
      </c>
      <c r="E296" s="10" t="str">
        <f aca="true">IFERROR(IF(INDEX(INDIRECT("'"&amp;$AI296&amp;"'!$E$2:$E$320"),MATCH($A296,INDIRECT("'"&amp;$AI296&amp;"'!$A$2:$A$320"),0))="","",INDEX(INDIRECT("'"&amp;$AI296&amp;"'!$E$2:$E$320"),MATCH($A296,INDIRECT("'"&amp;$AI296&amp;"'!$A$2:$A$320"),0))),"")</f>
        <v/>
      </c>
      <c r="F296" s="9" t="str">
        <f aca="false">IF($E296="","",IFERROR(INDEX(担当者マスタ!$B$2:$B$101,MATCH($E296,担当者マスタ!$A$2:$A$101,0)),"※マスタ未登録"))</f>
        <v/>
      </c>
      <c r="G296" s="11" t="n">
        <v>18.708</v>
      </c>
      <c r="H296" s="11" t="n">
        <v>18.708</v>
      </c>
      <c r="I296" s="11" t="n">
        <v>10.143</v>
      </c>
      <c r="J296" s="11" t="n">
        <v>0</v>
      </c>
      <c r="K296" s="11" t="n">
        <v>0</v>
      </c>
      <c r="L296" s="11" t="n">
        <v>0</v>
      </c>
      <c r="M296" s="11" t="n">
        <f aca="false">SUM(G296:L296)</f>
        <v>47.559</v>
      </c>
      <c r="N296" s="11" t="n">
        <v>6.828</v>
      </c>
      <c r="O296" s="11" t="n">
        <v>6.828</v>
      </c>
      <c r="P296" s="11" t="n">
        <v>3.753</v>
      </c>
      <c r="Q296" s="11" t="n">
        <v>0</v>
      </c>
      <c r="R296" s="11" t="n">
        <v>0</v>
      </c>
      <c r="S296" s="11" t="n">
        <v>0</v>
      </c>
      <c r="T296" s="11" t="n">
        <f aca="false">SUM(N296:S296)</f>
        <v>17.409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10.143</v>
      </c>
      <c r="Z296" s="11" t="n">
        <v>18.708</v>
      </c>
      <c r="AA296" s="11" t="n">
        <f aca="false">SUM(U296:Z296)</f>
        <v>28.851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3.753</v>
      </c>
      <c r="AG296" s="11" t="n">
        <v>6.828</v>
      </c>
      <c r="AH296" s="11" t="n">
        <f aca="false">SUM(AB296:AG296)</f>
        <v>10.581</v>
      </c>
      <c r="AI296" s="12" t="s">
        <v>71</v>
      </c>
    </row>
    <row r="297" customFormat="false" ht="15" hidden="false" customHeight="false" outlineLevel="0" collapsed="false">
      <c r="A297" s="8" t="s">
        <v>662</v>
      </c>
      <c r="B297" s="12" t="s">
        <v>663</v>
      </c>
      <c r="C297" s="8" t="s">
        <v>654</v>
      </c>
      <c r="D297" s="12" t="s">
        <v>655</v>
      </c>
      <c r="E297" s="10" t="str">
        <f aca="true">IFERROR(IF(INDEX(INDIRECT("'"&amp;$AI297&amp;"'!$E$2:$E$320"),MATCH($A297,INDIRECT("'"&amp;$AI297&amp;"'!$A$2:$A$320"),0))="","",INDEX(INDIRECT("'"&amp;$AI297&amp;"'!$E$2:$E$320"),MATCH($A297,INDIRECT("'"&amp;$AI297&amp;"'!$A$2:$A$320"),0))),"")</f>
        <v/>
      </c>
      <c r="F297" s="9" t="str">
        <f aca="false">IF($E297="","",IFERROR(INDEX(担当者マスタ!$B$2:$B$101,MATCH($E297,担当者マスタ!$A$2:$A$101,0)),"※マスタ未登録"))</f>
        <v/>
      </c>
      <c r="G297" s="11" t="n">
        <v>15.515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f aca="false">SUM(G297:L297)</f>
        <v>15.515</v>
      </c>
      <c r="N297" s="11" t="n">
        <v>6.195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f aca="false">SUM(N297:S297)</f>
        <v>6.195</v>
      </c>
      <c r="U297" s="11" t="n">
        <v>0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f aca="false">SUM(U297:Z297)</f>
        <v>0</v>
      </c>
      <c r="AB297" s="11" t="n">
        <v>0</v>
      </c>
      <c r="AC297" s="11" t="n">
        <v>0</v>
      </c>
      <c r="AD297" s="11" t="n">
        <v>0</v>
      </c>
      <c r="AE297" s="11" t="n">
        <v>0</v>
      </c>
      <c r="AF297" s="11" t="n">
        <v>0</v>
      </c>
      <c r="AG297" s="11" t="n">
        <v>0</v>
      </c>
      <c r="AH297" s="11" t="n">
        <f aca="false">SUM(AB297:AG297)</f>
        <v>0</v>
      </c>
      <c r="AI297" s="12" t="s">
        <v>71</v>
      </c>
    </row>
    <row r="298" customFormat="false" ht="15" hidden="false" customHeight="false" outlineLevel="0" collapsed="false">
      <c r="A298" s="8" t="s">
        <v>664</v>
      </c>
      <c r="B298" s="12" t="s">
        <v>665</v>
      </c>
      <c r="C298" s="8" t="s">
        <v>654</v>
      </c>
      <c r="D298" s="12" t="s">
        <v>655</v>
      </c>
      <c r="E298" s="10" t="str">
        <f aca="true">IFERROR(IF(INDEX(INDIRECT("'"&amp;$AI298&amp;"'!$E$2:$E$320"),MATCH($A298,INDIRECT("'"&amp;$AI298&amp;"'!$A$2:$A$320"),0))="","",INDEX(INDIRECT("'"&amp;$AI298&amp;"'!$E$2:$E$320"),MATCH($A298,INDIRECT("'"&amp;$AI298&amp;"'!$A$2:$A$320"),0))),"")</f>
        <v/>
      </c>
      <c r="F298" s="9" t="str">
        <f aca="false">IF($E298="","",IFERROR(INDEX(担当者マスタ!$B$2:$B$101,MATCH($E298,担当者マスタ!$A$2:$A$101,0)),"※マスタ未登録"))</f>
        <v/>
      </c>
      <c r="G298" s="11" t="n">
        <v>0</v>
      </c>
      <c r="H298" s="11" t="n">
        <v>19.35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f aca="false">SUM(G298:L298)</f>
        <v>19.35</v>
      </c>
      <c r="N298" s="11" t="n">
        <v>0</v>
      </c>
      <c r="O298" s="11" t="n">
        <v>7.434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f aca="false">SUM(N298:S298)</f>
        <v>7.434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f aca="false">SUM(U298:Z298)</f>
        <v>0</v>
      </c>
      <c r="AB298" s="11" t="n">
        <v>0</v>
      </c>
      <c r="AC298" s="11" t="n">
        <v>0</v>
      </c>
      <c r="AD298" s="11" t="n">
        <v>0</v>
      </c>
      <c r="AE298" s="11" t="n">
        <v>0</v>
      </c>
      <c r="AF298" s="11" t="n">
        <v>0</v>
      </c>
      <c r="AG298" s="11" t="n">
        <v>0</v>
      </c>
      <c r="AH298" s="11" t="n">
        <f aca="false">SUM(AB298:AG298)</f>
        <v>0</v>
      </c>
      <c r="AI298" s="12" t="s">
        <v>71</v>
      </c>
    </row>
    <row r="299" customFormat="false" ht="15" hidden="false" customHeight="false" outlineLevel="0" collapsed="false">
      <c r="A299" s="8" t="s">
        <v>666</v>
      </c>
      <c r="B299" s="12" t="s">
        <v>667</v>
      </c>
      <c r="C299" s="8" t="s">
        <v>654</v>
      </c>
      <c r="D299" s="12" t="s">
        <v>655</v>
      </c>
      <c r="E299" s="10" t="str">
        <f aca="true">IFERROR(IF(INDEX(INDIRECT("'"&amp;$AI299&amp;"'!$E$2:$E$320"),MATCH($A299,INDIRECT("'"&amp;$AI299&amp;"'!$A$2:$A$320"),0))="","",INDEX(INDIRECT("'"&amp;$AI299&amp;"'!$E$2:$E$320"),MATCH($A299,INDIRECT("'"&amp;$AI299&amp;"'!$A$2:$A$320"),0))),"")</f>
        <v/>
      </c>
      <c r="F299" s="9" t="str">
        <f aca="false">IF($E299="","",IFERROR(INDEX(担当者マスタ!$B$2:$B$101,MATCH($E299,担当者マスタ!$A$2:$A$101,0)),"※マスタ未登録"))</f>
        <v/>
      </c>
      <c r="G299" s="11" t="n">
        <v>0</v>
      </c>
      <c r="H299" s="11" t="n">
        <v>0</v>
      </c>
      <c r="I299" s="11" t="n">
        <v>9.81</v>
      </c>
      <c r="J299" s="11" t="n">
        <v>0</v>
      </c>
      <c r="K299" s="11" t="n">
        <v>0</v>
      </c>
      <c r="L299" s="11" t="n">
        <v>0</v>
      </c>
      <c r="M299" s="11" t="n">
        <f aca="false">SUM(G299:L299)</f>
        <v>9.81</v>
      </c>
      <c r="N299" s="11" t="n">
        <v>0</v>
      </c>
      <c r="O299" s="11" t="n">
        <v>0</v>
      </c>
      <c r="P299" s="11" t="n">
        <v>2.123</v>
      </c>
      <c r="Q299" s="11" t="n">
        <v>0</v>
      </c>
      <c r="R299" s="11" t="n">
        <v>0</v>
      </c>
      <c r="S299" s="11" t="n">
        <v>0</v>
      </c>
      <c r="T299" s="11" t="n">
        <f aca="false">SUM(N299:S299)</f>
        <v>2.123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f aca="false">SUM(U299:Z299)</f>
        <v>0</v>
      </c>
      <c r="AB299" s="11" t="n">
        <v>0</v>
      </c>
      <c r="AC299" s="11" t="n">
        <v>0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n">
        <f aca="false">SUM(AB299:AG299)</f>
        <v>0</v>
      </c>
      <c r="AI299" s="12" t="s">
        <v>71</v>
      </c>
    </row>
    <row r="300" customFormat="false" ht="15" hidden="false" customHeight="false" outlineLevel="0" collapsed="false">
      <c r="A300" s="8" t="s">
        <v>668</v>
      </c>
      <c r="B300" s="12" t="s">
        <v>669</v>
      </c>
      <c r="C300" s="8" t="s">
        <v>654</v>
      </c>
      <c r="D300" s="12" t="s">
        <v>655</v>
      </c>
      <c r="E300" s="10" t="str">
        <f aca="true">IFERROR(IF(INDEX(INDIRECT("'"&amp;$AI300&amp;"'!$E$2:$E$320"),MATCH($A300,INDIRECT("'"&amp;$AI300&amp;"'!$A$2:$A$320"),0))="","",INDEX(INDIRECT("'"&amp;$AI300&amp;"'!$E$2:$E$320"),MATCH($A300,INDIRECT("'"&amp;$AI300&amp;"'!$A$2:$A$320"),0))),"")</f>
        <v/>
      </c>
      <c r="F300" s="9" t="str">
        <f aca="false">IF($E300="","",IFERROR(INDEX(担当者マスタ!$B$2:$B$101,MATCH($E300,担当者マスタ!$A$2:$A$101,0)),"※マスタ未登録"))</f>
        <v/>
      </c>
      <c r="G300" s="11" t="n">
        <v>3.5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4.22</v>
      </c>
      <c r="M300" s="11" t="n">
        <f aca="false">SUM(G300:L300)</f>
        <v>7.72</v>
      </c>
      <c r="N300" s="11" t="n">
        <v>2.27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2.99</v>
      </c>
      <c r="T300" s="11" t="n">
        <f aca="false">SUM(N300:S300)</f>
        <v>5.26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f aca="false">SUM(U300:Z300)</f>
        <v>0</v>
      </c>
      <c r="AB300" s="11" t="n">
        <v>0</v>
      </c>
      <c r="AC300" s="11" t="n">
        <v>0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n">
        <f aca="false">SUM(AB300:AG300)</f>
        <v>0</v>
      </c>
      <c r="AI300" s="12" t="s">
        <v>71</v>
      </c>
    </row>
    <row r="301" customFormat="false" ht="15" hidden="false" customHeight="false" outlineLevel="0" collapsed="false">
      <c r="A301" s="8" t="s">
        <v>670</v>
      </c>
      <c r="B301" s="12" t="s">
        <v>671</v>
      </c>
      <c r="C301" s="8" t="s">
        <v>654</v>
      </c>
      <c r="D301" s="12" t="s">
        <v>655</v>
      </c>
      <c r="E301" s="10" t="str">
        <f aca="true">IFERROR(IF(INDEX(INDIRECT("'"&amp;$AI301&amp;"'!$E$2:$E$320"),MATCH($A301,INDIRECT("'"&amp;$AI301&amp;"'!$A$2:$A$320"),0))="","",INDEX(INDIRECT("'"&amp;$AI301&amp;"'!$E$2:$E$320"),MATCH($A301,INDIRECT("'"&amp;$AI301&amp;"'!$A$2:$A$320"),0))),"")</f>
        <v/>
      </c>
      <c r="F301" s="9" t="str">
        <f aca="false">IF($E301="","",IFERROR(INDEX(担当者マスタ!$B$2:$B$101,MATCH($E301,担当者マスタ!$A$2:$A$101,0)),"※マスタ未登録"))</f>
        <v/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f aca="false">SUM(G301:L301)</f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f aca="false">SUM(N301:S301)</f>
        <v>0</v>
      </c>
      <c r="U301" s="11" t="n">
        <v>0</v>
      </c>
      <c r="V301" s="11" t="n">
        <v>0</v>
      </c>
      <c r="W301" s="11" t="n">
        <v>0</v>
      </c>
      <c r="X301" s="11" t="n">
        <v>13.12</v>
      </c>
      <c r="Y301" s="11" t="n">
        <v>0</v>
      </c>
      <c r="Z301" s="11" t="n">
        <v>0</v>
      </c>
      <c r="AA301" s="11" t="n">
        <f aca="false">SUM(U301:Z301)</f>
        <v>13.12</v>
      </c>
      <c r="AB301" s="11" t="n">
        <v>0</v>
      </c>
      <c r="AC301" s="11" t="n">
        <v>0</v>
      </c>
      <c r="AD301" s="11" t="n">
        <v>0</v>
      </c>
      <c r="AE301" s="11" t="n">
        <v>4.12</v>
      </c>
      <c r="AF301" s="11" t="n">
        <v>0</v>
      </c>
      <c r="AG301" s="11" t="n">
        <v>0</v>
      </c>
      <c r="AH301" s="11" t="n">
        <f aca="false">SUM(AB301:AG301)</f>
        <v>4.12</v>
      </c>
      <c r="AI301" s="12" t="s">
        <v>71</v>
      </c>
    </row>
    <row r="302" customFormat="false" ht="15" hidden="false" customHeight="false" outlineLevel="0" collapsed="false">
      <c r="A302" s="8" t="s">
        <v>672</v>
      </c>
      <c r="B302" s="12" t="s">
        <v>673</v>
      </c>
      <c r="C302" s="8" t="s">
        <v>654</v>
      </c>
      <c r="D302" s="12" t="s">
        <v>655</v>
      </c>
      <c r="E302" s="10" t="str">
        <f aca="true">IFERROR(IF(INDEX(INDIRECT("'"&amp;$AI302&amp;"'!$E$2:$E$320"),MATCH($A302,INDIRECT("'"&amp;$AI302&amp;"'!$A$2:$A$320"),0))="","",INDEX(INDIRECT("'"&amp;$AI302&amp;"'!$E$2:$E$320"),MATCH($A302,INDIRECT("'"&amp;$AI302&amp;"'!$A$2:$A$320"),0))),"")</f>
        <v/>
      </c>
      <c r="F302" s="9" t="str">
        <f aca="false">IF($E302="","",IFERROR(INDEX(担当者マスタ!$B$2:$B$101,MATCH($E302,担当者マスタ!$A$2:$A$101,0)),"※マスタ未登録"))</f>
        <v/>
      </c>
      <c r="G302" s="11" t="n">
        <v>3.21</v>
      </c>
      <c r="H302" s="11" t="n">
        <v>5.378</v>
      </c>
      <c r="I302" s="11" t="n">
        <v>16</v>
      </c>
      <c r="J302" s="11" t="n">
        <v>7.52</v>
      </c>
      <c r="K302" s="11" t="n">
        <v>3.12</v>
      </c>
      <c r="L302" s="11" t="n">
        <v>8.82</v>
      </c>
      <c r="M302" s="11" t="n">
        <f aca="false">SUM(G302:L302)</f>
        <v>44.048</v>
      </c>
      <c r="N302" s="11" t="n">
        <v>1.54</v>
      </c>
      <c r="O302" s="11" t="n">
        <v>2.644</v>
      </c>
      <c r="P302" s="11" t="n">
        <v>12.54</v>
      </c>
      <c r="Q302" s="11" t="n">
        <v>4.05</v>
      </c>
      <c r="R302" s="11" t="n">
        <v>2.22</v>
      </c>
      <c r="S302" s="11" t="n">
        <v>6.46</v>
      </c>
      <c r="T302" s="11" t="n">
        <f aca="false">SUM(N302:S302)</f>
        <v>29.454</v>
      </c>
      <c r="U302" s="11" t="n">
        <v>15.193</v>
      </c>
      <c r="V302" s="11" t="n">
        <v>11.63</v>
      </c>
      <c r="W302" s="11" t="n">
        <v>0</v>
      </c>
      <c r="X302" s="11" t="n">
        <v>7.987</v>
      </c>
      <c r="Y302" s="11" t="n">
        <v>1.8</v>
      </c>
      <c r="Z302" s="11" t="n">
        <v>7.11</v>
      </c>
      <c r="AA302" s="11" t="n">
        <f aca="false">SUM(U302:Z302)</f>
        <v>43.72</v>
      </c>
      <c r="AB302" s="11" t="n">
        <v>7.895</v>
      </c>
      <c r="AC302" s="11" t="n">
        <v>8.39</v>
      </c>
      <c r="AD302" s="11" t="n">
        <v>0</v>
      </c>
      <c r="AE302" s="11" t="n">
        <v>3.748</v>
      </c>
      <c r="AF302" s="11" t="n">
        <v>0.7</v>
      </c>
      <c r="AG302" s="11" t="n">
        <v>5.5</v>
      </c>
      <c r="AH302" s="11" t="n">
        <f aca="false">SUM(AB302:AG302)</f>
        <v>26.233</v>
      </c>
      <c r="AI302" s="12" t="s">
        <v>71</v>
      </c>
    </row>
    <row r="303" customFormat="false" ht="15" hidden="false" customHeight="false" outlineLevel="0" collapsed="false">
      <c r="A303" s="8" t="s">
        <v>674</v>
      </c>
      <c r="B303" s="12" t="s">
        <v>675</v>
      </c>
      <c r="C303" s="8" t="s">
        <v>654</v>
      </c>
      <c r="D303" s="12" t="s">
        <v>655</v>
      </c>
      <c r="E303" s="10" t="str">
        <f aca="true">IFERROR(IF(INDEX(INDIRECT("'"&amp;$AI303&amp;"'!$E$2:$E$320"),MATCH($A303,INDIRECT("'"&amp;$AI303&amp;"'!$A$2:$A$320"),0))="","",INDEX(INDIRECT("'"&amp;$AI303&amp;"'!$E$2:$E$320"),MATCH($A303,INDIRECT("'"&amp;$AI303&amp;"'!$A$2:$A$320"),0))),"")</f>
        <v/>
      </c>
      <c r="F303" s="9" t="str">
        <f aca="false">IF($E303="","",IFERROR(INDEX(担当者マスタ!$B$2:$B$101,MATCH($E303,担当者マスタ!$A$2:$A$101,0)),"※マスタ未登録"))</f>
        <v/>
      </c>
      <c r="G303" s="11" t="n">
        <v>8.046</v>
      </c>
      <c r="H303" s="11" t="n">
        <v>0</v>
      </c>
      <c r="I303" s="11" t="n">
        <v>1.98</v>
      </c>
      <c r="J303" s="11" t="n">
        <v>0.8</v>
      </c>
      <c r="K303" s="11" t="n">
        <v>4.986</v>
      </c>
      <c r="L303" s="11" t="n">
        <v>16.304</v>
      </c>
      <c r="M303" s="11" t="n">
        <f aca="false">SUM(G303:L303)</f>
        <v>32.116</v>
      </c>
      <c r="N303" s="11" t="n">
        <v>3.488</v>
      </c>
      <c r="O303" s="11" t="n">
        <v>0</v>
      </c>
      <c r="P303" s="11" t="n">
        <v>1.068</v>
      </c>
      <c r="Q303" s="11" t="n">
        <v>0.324</v>
      </c>
      <c r="R303" s="11" t="n">
        <v>2.347</v>
      </c>
      <c r="S303" s="11" t="n">
        <v>6.589</v>
      </c>
      <c r="T303" s="11" t="n">
        <f aca="false">SUM(N303:S303)</f>
        <v>13.816</v>
      </c>
      <c r="U303" s="11" t="n">
        <v>6.84</v>
      </c>
      <c r="V303" s="11" t="n">
        <v>2.49</v>
      </c>
      <c r="W303" s="11" t="n">
        <v>7.84</v>
      </c>
      <c r="X303" s="11" t="n">
        <v>19.963</v>
      </c>
      <c r="Y303" s="11" t="n">
        <v>0</v>
      </c>
      <c r="Z303" s="11" t="n">
        <v>17.876</v>
      </c>
      <c r="AA303" s="11" t="n">
        <f aca="false">SUM(U303:Z303)</f>
        <v>55.009</v>
      </c>
      <c r="AB303" s="11" t="n">
        <v>2.759</v>
      </c>
      <c r="AC303" s="11" t="n">
        <v>1.074</v>
      </c>
      <c r="AD303" s="11" t="n">
        <v>2.745</v>
      </c>
      <c r="AE303" s="11" t="n">
        <v>8.792</v>
      </c>
      <c r="AF303" s="11" t="n">
        <v>0</v>
      </c>
      <c r="AG303" s="11" t="n">
        <v>6.707</v>
      </c>
      <c r="AH303" s="11" t="n">
        <f aca="false">SUM(AB303:AG303)</f>
        <v>22.077</v>
      </c>
      <c r="AI303" s="12" t="s">
        <v>71</v>
      </c>
    </row>
    <row r="304" customFormat="false" ht="15" hidden="false" customHeight="false" outlineLevel="0" collapsed="false">
      <c r="A304" s="8" t="s">
        <v>676</v>
      </c>
      <c r="B304" s="12" t="s">
        <v>677</v>
      </c>
      <c r="C304" s="8" t="s">
        <v>654</v>
      </c>
      <c r="D304" s="12" t="s">
        <v>655</v>
      </c>
      <c r="E304" s="10" t="str">
        <f aca="true">IFERROR(IF(INDEX(INDIRECT("'"&amp;$AI304&amp;"'!$E$2:$E$320"),MATCH($A304,INDIRECT("'"&amp;$AI304&amp;"'!$A$2:$A$320"),0))="","",INDEX(INDIRECT("'"&amp;$AI304&amp;"'!$E$2:$E$320"),MATCH($A304,INDIRECT("'"&amp;$AI304&amp;"'!$A$2:$A$320"),0))),"")</f>
        <v/>
      </c>
      <c r="F304" s="9" t="str">
        <f aca="false">IF($E304="","",IFERROR(INDEX(担当者マスタ!$B$2:$B$101,MATCH($E304,担当者マスタ!$A$2:$A$101,0)),"※マスタ未登録"))</f>
        <v/>
      </c>
      <c r="G304" s="11" t="n">
        <v>0</v>
      </c>
      <c r="H304" s="11" t="n">
        <v>0</v>
      </c>
      <c r="I304" s="11" t="n">
        <v>34.059</v>
      </c>
      <c r="J304" s="11" t="n">
        <v>0</v>
      </c>
      <c r="K304" s="11" t="n">
        <v>0</v>
      </c>
      <c r="L304" s="11" t="n">
        <v>26.039</v>
      </c>
      <c r="M304" s="11" t="n">
        <f aca="false">SUM(G304:L304)</f>
        <v>60.098</v>
      </c>
      <c r="N304" s="11" t="n">
        <v>0</v>
      </c>
      <c r="O304" s="11" t="n">
        <v>0</v>
      </c>
      <c r="P304" s="11" t="n">
        <v>13.342</v>
      </c>
      <c r="Q304" s="11" t="n">
        <v>0</v>
      </c>
      <c r="R304" s="11" t="n">
        <v>0</v>
      </c>
      <c r="S304" s="11" t="n">
        <v>11.412</v>
      </c>
      <c r="T304" s="11" t="n">
        <f aca="false">SUM(N304:S304)</f>
        <v>24.754</v>
      </c>
      <c r="U304" s="11" t="n">
        <v>17.085</v>
      </c>
      <c r="V304" s="11" t="n">
        <v>9.5</v>
      </c>
      <c r="W304" s="11" t="n">
        <v>30.438</v>
      </c>
      <c r="X304" s="11" t="n">
        <v>0</v>
      </c>
      <c r="Y304" s="11" t="n">
        <v>0</v>
      </c>
      <c r="Z304" s="11" t="n">
        <v>4.209</v>
      </c>
      <c r="AA304" s="11" t="n">
        <f aca="false">SUM(U304:Z304)</f>
        <v>61.232</v>
      </c>
      <c r="AB304" s="11" t="n">
        <v>8.666</v>
      </c>
      <c r="AC304" s="11" t="n">
        <v>4.79</v>
      </c>
      <c r="AD304" s="11" t="n">
        <v>12.924</v>
      </c>
      <c r="AE304" s="11" t="n">
        <v>0</v>
      </c>
      <c r="AF304" s="11" t="n">
        <v>0</v>
      </c>
      <c r="AG304" s="11" t="n">
        <v>2.772</v>
      </c>
      <c r="AH304" s="11" t="n">
        <f aca="false">SUM(AB304:AG304)</f>
        <v>29.152</v>
      </c>
      <c r="AI304" s="12" t="s">
        <v>71</v>
      </c>
    </row>
    <row r="305" customFormat="false" ht="15" hidden="false" customHeight="false" outlineLevel="0" collapsed="false">
      <c r="A305" s="8" t="s">
        <v>678</v>
      </c>
      <c r="B305" s="12" t="s">
        <v>679</v>
      </c>
      <c r="C305" s="8" t="s">
        <v>654</v>
      </c>
      <c r="D305" s="12" t="s">
        <v>655</v>
      </c>
      <c r="E305" s="10" t="str">
        <f aca="true">IFERROR(IF(INDEX(INDIRECT("'"&amp;$AI305&amp;"'!$E$2:$E$320"),MATCH($A305,INDIRECT("'"&amp;$AI305&amp;"'!$A$2:$A$320"),0))="","",INDEX(INDIRECT("'"&amp;$AI305&amp;"'!$E$2:$E$320"),MATCH($A305,INDIRECT("'"&amp;$AI305&amp;"'!$A$2:$A$320"),0))),"")</f>
        <v/>
      </c>
      <c r="F305" s="9" t="str">
        <f aca="false">IF($E305="","",IFERROR(INDEX(担当者マスタ!$B$2:$B$101,MATCH($E305,担当者マスタ!$A$2:$A$101,0)),"※マスタ未登録"))</f>
        <v/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50.4</v>
      </c>
      <c r="M305" s="11" t="n">
        <f aca="false">SUM(G305:L305)</f>
        <v>50.4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26.28</v>
      </c>
      <c r="T305" s="11" t="n">
        <f aca="false">SUM(N305:S305)</f>
        <v>26.28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50.4</v>
      </c>
      <c r="AA305" s="11" t="n">
        <f aca="false">SUM(U305:Z305)</f>
        <v>50.4</v>
      </c>
      <c r="AB305" s="11" t="n">
        <v>0</v>
      </c>
      <c r="AC305" s="11" t="n">
        <v>0</v>
      </c>
      <c r="AD305" s="11" t="n">
        <v>0</v>
      </c>
      <c r="AE305" s="11" t="n">
        <v>0</v>
      </c>
      <c r="AF305" s="11" t="n">
        <v>0</v>
      </c>
      <c r="AG305" s="11" t="n">
        <v>26.28</v>
      </c>
      <c r="AH305" s="11" t="n">
        <f aca="false">SUM(AB305:AG305)</f>
        <v>26.28</v>
      </c>
      <c r="AI305" s="12" t="s">
        <v>71</v>
      </c>
    </row>
    <row r="306" customFormat="false" ht="15" hidden="false" customHeight="false" outlineLevel="0" collapsed="false">
      <c r="A306" s="8" t="s">
        <v>680</v>
      </c>
      <c r="B306" s="12" t="s">
        <v>681</v>
      </c>
      <c r="C306" s="8" t="s">
        <v>654</v>
      </c>
      <c r="D306" s="12" t="s">
        <v>655</v>
      </c>
      <c r="E306" s="10" t="str">
        <f aca="true">IFERROR(IF(INDEX(INDIRECT("'"&amp;$AI306&amp;"'!$E$2:$E$320"),MATCH($A306,INDIRECT("'"&amp;$AI306&amp;"'!$A$2:$A$320"),0))="","",INDEX(INDIRECT("'"&amp;$AI306&amp;"'!$E$2:$E$320"),MATCH($A306,INDIRECT("'"&amp;$AI306&amp;"'!$A$2:$A$320"),0))),"")</f>
        <v/>
      </c>
      <c r="F306" s="9" t="str">
        <f aca="false">IF($E306="","",IFERROR(INDEX(担当者マスタ!$B$2:$B$101,MATCH($E306,担当者マスタ!$A$2:$A$101,0)),"※マスタ未登録"))</f>
        <v/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f aca="false">SUM(G306:L306)</f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f aca="false">SUM(N306:S306)</f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42</v>
      </c>
      <c r="AA306" s="11" t="n">
        <f aca="false">SUM(U306:Z306)</f>
        <v>42</v>
      </c>
      <c r="AB306" s="11" t="n">
        <v>0</v>
      </c>
      <c r="AC306" s="11" t="n">
        <v>0</v>
      </c>
      <c r="AD306" s="11" t="n">
        <v>0</v>
      </c>
      <c r="AE306" s="11" t="n">
        <v>0</v>
      </c>
      <c r="AF306" s="11" t="n">
        <v>0</v>
      </c>
      <c r="AG306" s="11" t="n">
        <v>19.848</v>
      </c>
      <c r="AH306" s="11" t="n">
        <f aca="false">SUM(AB306:AG306)</f>
        <v>19.848</v>
      </c>
      <c r="AI306" s="12" t="s">
        <v>71</v>
      </c>
    </row>
    <row r="307" customFormat="false" ht="15" hidden="false" customHeight="false" outlineLevel="0" collapsed="false">
      <c r="A307" s="8" t="s">
        <v>682</v>
      </c>
      <c r="B307" s="12" t="s">
        <v>683</v>
      </c>
      <c r="C307" s="8" t="s">
        <v>654</v>
      </c>
      <c r="D307" s="12" t="s">
        <v>655</v>
      </c>
      <c r="E307" s="10" t="str">
        <f aca="true">IFERROR(IF(INDEX(INDIRECT("'"&amp;$AI307&amp;"'!$E$2:$E$320"),MATCH($A307,INDIRECT("'"&amp;$AI307&amp;"'!$A$2:$A$320"),0))="","",INDEX(INDIRECT("'"&amp;$AI307&amp;"'!$E$2:$E$320"),MATCH($A307,INDIRECT("'"&amp;$AI307&amp;"'!$A$2:$A$320"),0))),"")</f>
        <v/>
      </c>
      <c r="F307" s="9" t="str">
        <f aca="false">IF($E307="","",IFERROR(INDEX(担当者マスタ!$B$2:$B$101,MATCH($E307,担当者マスタ!$A$2:$A$101,0)),"※マスタ未登録"))</f>
        <v/>
      </c>
      <c r="G307" s="11" t="n">
        <v>0</v>
      </c>
      <c r="H307" s="11" t="n">
        <v>47.24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f aca="false">SUM(G307:L307)</f>
        <v>47.24</v>
      </c>
      <c r="N307" s="11" t="n">
        <v>0</v>
      </c>
      <c r="O307" s="11" t="n">
        <v>10.944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f aca="false">SUM(N307:S307)</f>
        <v>10.944</v>
      </c>
      <c r="U307" s="11" t="n">
        <v>50.52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f aca="false">SUM(U307:Z307)</f>
        <v>50.52</v>
      </c>
      <c r="AB307" s="11" t="n">
        <v>11.09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0</v>
      </c>
      <c r="AH307" s="11" t="n">
        <f aca="false">SUM(AB307:AG307)</f>
        <v>11.09</v>
      </c>
      <c r="AI307" s="12" t="s">
        <v>71</v>
      </c>
    </row>
    <row r="308" customFormat="false" ht="15" hidden="false" customHeight="false" outlineLevel="0" collapsed="false">
      <c r="A308" s="8" t="s">
        <v>684</v>
      </c>
      <c r="B308" s="12" t="s">
        <v>685</v>
      </c>
      <c r="C308" s="8" t="s">
        <v>654</v>
      </c>
      <c r="D308" s="12" t="s">
        <v>655</v>
      </c>
      <c r="E308" s="10" t="str">
        <f aca="true">IFERROR(IF(INDEX(INDIRECT("'"&amp;$AI308&amp;"'!$E$2:$E$320"),MATCH($A308,INDIRECT("'"&amp;$AI308&amp;"'!$A$2:$A$320"),0))="","",INDEX(INDIRECT("'"&amp;$AI308&amp;"'!$E$2:$E$320"),MATCH($A308,INDIRECT("'"&amp;$AI308&amp;"'!$A$2:$A$320"),0))),"")</f>
        <v/>
      </c>
      <c r="F308" s="9" t="str">
        <f aca="false">IF($E308="","",IFERROR(INDEX(担当者マスタ!$B$2:$B$101,MATCH($E308,担当者マスタ!$A$2:$A$101,0)),"※マスタ未登録"))</f>
        <v/>
      </c>
      <c r="G308" s="11" t="n">
        <v>0</v>
      </c>
      <c r="H308" s="11" t="n">
        <v>0</v>
      </c>
      <c r="I308" s="11" t="n">
        <v>3.8</v>
      </c>
      <c r="J308" s="11" t="n">
        <v>0</v>
      </c>
      <c r="K308" s="11" t="n">
        <v>0</v>
      </c>
      <c r="L308" s="11" t="n">
        <v>0</v>
      </c>
      <c r="M308" s="11" t="n">
        <f aca="false">SUM(G308:L308)</f>
        <v>3.8</v>
      </c>
      <c r="N308" s="11" t="n">
        <v>0</v>
      </c>
      <c r="O308" s="11" t="n">
        <v>0</v>
      </c>
      <c r="P308" s="11" t="n">
        <v>2.57</v>
      </c>
      <c r="Q308" s="11" t="n">
        <v>0</v>
      </c>
      <c r="R308" s="11" t="n">
        <v>0</v>
      </c>
      <c r="S308" s="11" t="n">
        <v>0</v>
      </c>
      <c r="T308" s="11" t="n">
        <f aca="false">SUM(N308:S308)</f>
        <v>2.57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f aca="false">SUM(U308:Z308)</f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f aca="false">SUM(AB308:AG308)</f>
        <v>0</v>
      </c>
      <c r="AI308" s="12" t="s">
        <v>71</v>
      </c>
    </row>
    <row r="309" customFormat="false" ht="15" hidden="false" customHeight="false" outlineLevel="0" collapsed="false">
      <c r="A309" s="8" t="s">
        <v>686</v>
      </c>
      <c r="B309" s="12" t="s">
        <v>687</v>
      </c>
      <c r="C309" s="8" t="s">
        <v>654</v>
      </c>
      <c r="D309" s="12" t="s">
        <v>655</v>
      </c>
      <c r="E309" s="10" t="str">
        <f aca="true">IFERROR(IF(INDEX(INDIRECT("'"&amp;$AI309&amp;"'!$E$2:$E$320"),MATCH($A309,INDIRECT("'"&amp;$AI309&amp;"'!$A$2:$A$320"),0))="","",INDEX(INDIRECT("'"&amp;$AI309&amp;"'!$E$2:$E$320"),MATCH($A309,INDIRECT("'"&amp;$AI309&amp;"'!$A$2:$A$320"),0))),"")</f>
        <v/>
      </c>
      <c r="F309" s="9" t="str">
        <f aca="false">IF($E309="","",IFERROR(INDEX(担当者マスタ!$B$2:$B$101,MATCH($E309,担当者マスタ!$A$2:$A$101,0)),"※マスタ未登録"))</f>
        <v/>
      </c>
      <c r="G309" s="11" t="n">
        <v>57.674</v>
      </c>
      <c r="H309" s="11" t="n">
        <v>132.585</v>
      </c>
      <c r="I309" s="11" t="n">
        <v>117.48</v>
      </c>
      <c r="J309" s="11" t="n">
        <v>79.016</v>
      </c>
      <c r="K309" s="11" t="n">
        <v>25.65</v>
      </c>
      <c r="L309" s="11" t="n">
        <v>76.2</v>
      </c>
      <c r="M309" s="11" t="n">
        <f aca="false">SUM(G309:L309)</f>
        <v>488.605</v>
      </c>
      <c r="N309" s="11" t="n">
        <v>21.239</v>
      </c>
      <c r="O309" s="11" t="n">
        <v>51.152</v>
      </c>
      <c r="P309" s="11" t="n">
        <v>51.212</v>
      </c>
      <c r="Q309" s="11" t="n">
        <v>35.306</v>
      </c>
      <c r="R309" s="11" t="n">
        <v>10.589</v>
      </c>
      <c r="S309" s="11" t="n">
        <v>34.578</v>
      </c>
      <c r="T309" s="11" t="n">
        <f aca="false">SUM(N309:S309)</f>
        <v>204.076</v>
      </c>
      <c r="U309" s="11" t="n">
        <v>130.45</v>
      </c>
      <c r="V309" s="11" t="n">
        <v>72.66</v>
      </c>
      <c r="W309" s="11" t="n">
        <v>76.2</v>
      </c>
      <c r="X309" s="11" t="n">
        <v>76.2</v>
      </c>
      <c r="Y309" s="11" t="n">
        <v>99.88</v>
      </c>
      <c r="Z309" s="11" t="n">
        <v>76.2</v>
      </c>
      <c r="AA309" s="11" t="n">
        <f aca="false">SUM(U309:Z309)</f>
        <v>531.59</v>
      </c>
      <c r="AB309" s="11" t="n">
        <v>58.727</v>
      </c>
      <c r="AC309" s="11" t="n">
        <v>31.542</v>
      </c>
      <c r="AD309" s="11" t="n">
        <v>34.578</v>
      </c>
      <c r="AE309" s="11" t="n">
        <v>34.578</v>
      </c>
      <c r="AF309" s="11" t="n">
        <v>45.224</v>
      </c>
      <c r="AG309" s="11" t="n">
        <v>34.578</v>
      </c>
      <c r="AH309" s="11" t="n">
        <f aca="false">SUM(AB309:AG309)</f>
        <v>239.227</v>
      </c>
      <c r="AI309" s="12" t="s">
        <v>71</v>
      </c>
    </row>
    <row r="310" customFormat="false" ht="15" hidden="false" customHeight="false" outlineLevel="0" collapsed="false">
      <c r="A310" s="8" t="s">
        <v>688</v>
      </c>
      <c r="B310" s="12" t="s">
        <v>689</v>
      </c>
      <c r="C310" s="8" t="s">
        <v>654</v>
      </c>
      <c r="D310" s="12" t="s">
        <v>655</v>
      </c>
      <c r="E310" s="10" t="str">
        <f aca="true">IFERROR(IF(INDEX(INDIRECT("'"&amp;$AI310&amp;"'!$E$2:$E$320"),MATCH($A310,INDIRECT("'"&amp;$AI310&amp;"'!$A$2:$A$320"),0))="","",INDEX(INDIRECT("'"&amp;$AI310&amp;"'!$E$2:$E$320"),MATCH($A310,INDIRECT("'"&amp;$AI310&amp;"'!$A$2:$A$320"),0))),"")</f>
        <v/>
      </c>
      <c r="F310" s="9" t="str">
        <f aca="false">IF($E310="","",IFERROR(INDEX(担当者マスタ!$B$2:$B$101,MATCH($E310,担当者マスタ!$A$2:$A$101,0)),"※マスタ未登録"))</f>
        <v/>
      </c>
      <c r="G310" s="11" t="n">
        <v>17.74</v>
      </c>
      <c r="H310" s="11" t="n">
        <v>3.9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f aca="false">SUM(G310:L310)</f>
        <v>21.64</v>
      </c>
      <c r="N310" s="11" t="n">
        <v>6.56</v>
      </c>
      <c r="O310" s="11" t="n">
        <v>1.98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f aca="false">SUM(N310:S310)</f>
        <v>8.54</v>
      </c>
      <c r="U310" s="11" t="n">
        <v>17.74</v>
      </c>
      <c r="V310" s="11" t="n">
        <v>0</v>
      </c>
      <c r="W310" s="11" t="n">
        <v>0</v>
      </c>
      <c r="X310" s="11" t="n">
        <v>0</v>
      </c>
      <c r="Y310" s="11" t="n">
        <v>0</v>
      </c>
      <c r="Z310" s="11" t="n">
        <v>16.74</v>
      </c>
      <c r="AA310" s="11" t="n">
        <f aca="false">SUM(U310:Z310)</f>
        <v>34.48</v>
      </c>
      <c r="AB310" s="11" t="n">
        <v>7.56</v>
      </c>
      <c r="AC310" s="11" t="n">
        <v>0</v>
      </c>
      <c r="AD310" s="11" t="n">
        <v>0</v>
      </c>
      <c r="AE310" s="11" t="n">
        <v>0</v>
      </c>
      <c r="AF310" s="11" t="n">
        <v>0</v>
      </c>
      <c r="AG310" s="11" t="n">
        <v>6.56</v>
      </c>
      <c r="AH310" s="11" t="n">
        <f aca="false">SUM(AB310:AG310)</f>
        <v>14.12</v>
      </c>
      <c r="AI310" s="12" t="s">
        <v>71</v>
      </c>
    </row>
    <row r="311" customFormat="false" ht="15" hidden="false" customHeight="false" outlineLevel="0" collapsed="false">
      <c r="A311" s="8" t="s">
        <v>690</v>
      </c>
      <c r="B311" s="12" t="s">
        <v>691</v>
      </c>
      <c r="C311" s="8" t="s">
        <v>654</v>
      </c>
      <c r="D311" s="12" t="s">
        <v>655</v>
      </c>
      <c r="E311" s="10" t="str">
        <f aca="true">IFERROR(IF(INDEX(INDIRECT("'"&amp;$AI311&amp;"'!$E$2:$E$320"),MATCH($A311,INDIRECT("'"&amp;$AI311&amp;"'!$A$2:$A$320"),0))="","",INDEX(INDIRECT("'"&amp;$AI311&amp;"'!$E$2:$E$320"),MATCH($A311,INDIRECT("'"&amp;$AI311&amp;"'!$A$2:$A$320"),0))),"")</f>
        <v/>
      </c>
      <c r="F311" s="9" t="str">
        <f aca="false">IF($E311="","",IFERROR(INDEX(担当者マスタ!$B$2:$B$101,MATCH($E311,担当者マスタ!$A$2:$A$101,0)),"※マスタ未登録"))</f>
        <v/>
      </c>
      <c r="G311" s="11" t="n">
        <v>0</v>
      </c>
      <c r="H311" s="11" t="n">
        <v>11.12</v>
      </c>
      <c r="I311" s="11" t="n">
        <v>0</v>
      </c>
      <c r="J311" s="11" t="n">
        <v>0</v>
      </c>
      <c r="K311" s="11" t="n">
        <v>11.12</v>
      </c>
      <c r="L311" s="11" t="n">
        <v>0</v>
      </c>
      <c r="M311" s="11" t="n">
        <f aca="false">SUM(G311:L311)</f>
        <v>22.24</v>
      </c>
      <c r="N311" s="11" t="n">
        <v>0</v>
      </c>
      <c r="O311" s="11" t="n">
        <v>2.688</v>
      </c>
      <c r="P311" s="11" t="n">
        <v>0</v>
      </c>
      <c r="Q311" s="11" t="n">
        <v>0</v>
      </c>
      <c r="R311" s="11" t="n">
        <v>2.688</v>
      </c>
      <c r="S311" s="11" t="n">
        <v>0</v>
      </c>
      <c r="T311" s="11" t="n">
        <f aca="false">SUM(N311:S311)</f>
        <v>5.376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f aca="false">SUM(U311:Z311)</f>
        <v>0</v>
      </c>
      <c r="AB311" s="11" t="n">
        <v>0</v>
      </c>
      <c r="AC311" s="11" t="n">
        <v>0</v>
      </c>
      <c r="AD311" s="11" t="n">
        <v>0</v>
      </c>
      <c r="AE311" s="11" t="n">
        <v>0</v>
      </c>
      <c r="AF311" s="11" t="n">
        <v>0</v>
      </c>
      <c r="AG311" s="11" t="n">
        <v>0</v>
      </c>
      <c r="AH311" s="11" t="n">
        <f aca="false">SUM(AB311:AG311)</f>
        <v>0</v>
      </c>
      <c r="AI311" s="12" t="s">
        <v>71</v>
      </c>
    </row>
    <row r="312" customFormat="false" ht="15" hidden="false" customHeight="false" outlineLevel="0" collapsed="false">
      <c r="A312" s="8" t="s">
        <v>692</v>
      </c>
      <c r="B312" s="12" t="s">
        <v>693</v>
      </c>
      <c r="C312" s="8" t="s">
        <v>654</v>
      </c>
      <c r="D312" s="12" t="s">
        <v>655</v>
      </c>
      <c r="E312" s="10" t="str">
        <f aca="true">IFERROR(IF(INDEX(INDIRECT("'"&amp;$AI312&amp;"'!$E$2:$E$320"),MATCH($A312,INDIRECT("'"&amp;$AI312&amp;"'!$A$2:$A$320"),0))="","",INDEX(INDIRECT("'"&amp;$AI312&amp;"'!$E$2:$E$320"),MATCH($A312,INDIRECT("'"&amp;$AI312&amp;"'!$A$2:$A$320"),0))),"")</f>
        <v/>
      </c>
      <c r="F312" s="9" t="str">
        <f aca="false">IF($E312="","",IFERROR(INDEX(担当者マスタ!$B$2:$B$101,MATCH($E312,担当者マスタ!$A$2:$A$101,0)),"※マスタ未登録"))</f>
        <v/>
      </c>
      <c r="G312" s="11" t="n">
        <v>284.767</v>
      </c>
      <c r="H312" s="11" t="n">
        <v>423.822</v>
      </c>
      <c r="I312" s="11" t="n">
        <v>291.424</v>
      </c>
      <c r="J312" s="11" t="n">
        <v>157.409</v>
      </c>
      <c r="K312" s="11" t="n">
        <v>284.767</v>
      </c>
      <c r="L312" s="11" t="n">
        <v>715.246</v>
      </c>
      <c r="M312" s="11" t="n">
        <f aca="false">SUM(G312:L312)</f>
        <v>2157.435</v>
      </c>
      <c r="N312" s="11" t="n">
        <v>18.809</v>
      </c>
      <c r="O312" s="11" t="n">
        <v>27.594</v>
      </c>
      <c r="P312" s="11" t="n">
        <v>20.048</v>
      </c>
      <c r="Q312" s="11" t="n">
        <v>10.003</v>
      </c>
      <c r="R312" s="11" t="n">
        <v>18.809</v>
      </c>
      <c r="S312" s="11" t="n">
        <v>47.642</v>
      </c>
      <c r="T312" s="11" t="n">
        <f aca="false">SUM(N312:S312)</f>
        <v>142.905</v>
      </c>
      <c r="U312" s="11" t="n">
        <v>1599.171</v>
      </c>
      <c r="V312" s="11" t="n">
        <v>291.424</v>
      </c>
      <c r="W312" s="11" t="n">
        <v>291.424</v>
      </c>
      <c r="X312" s="11" t="n">
        <v>278.11</v>
      </c>
      <c r="Y312" s="11" t="n">
        <v>284.767</v>
      </c>
      <c r="Z312" s="11" t="n">
        <v>0</v>
      </c>
      <c r="AA312" s="11" t="n">
        <f aca="false">SUM(U312:Z312)</f>
        <v>2744.896</v>
      </c>
      <c r="AB312" s="11" t="n">
        <v>106.617</v>
      </c>
      <c r="AC312" s="11" t="n">
        <v>20.048</v>
      </c>
      <c r="AD312" s="11" t="n">
        <v>20.048</v>
      </c>
      <c r="AE312" s="11" t="n">
        <v>17.57</v>
      </c>
      <c r="AF312" s="11" t="n">
        <v>18.809</v>
      </c>
      <c r="AG312" s="11" t="n">
        <v>0</v>
      </c>
      <c r="AH312" s="11" t="n">
        <f aca="false">SUM(AB312:AG312)</f>
        <v>183.092</v>
      </c>
      <c r="AI312" s="12" t="s">
        <v>71</v>
      </c>
    </row>
    <row r="313" customFormat="false" ht="15" hidden="false" customHeight="false" outlineLevel="0" collapsed="false">
      <c r="A313" s="8" t="s">
        <v>694</v>
      </c>
      <c r="B313" s="12" t="s">
        <v>695</v>
      </c>
      <c r="C313" s="8" t="s">
        <v>654</v>
      </c>
      <c r="D313" s="12" t="s">
        <v>655</v>
      </c>
      <c r="E313" s="10" t="str">
        <f aca="true">IFERROR(IF(INDEX(INDIRECT("'"&amp;$AI313&amp;"'!$E$2:$E$320"),MATCH($A313,INDIRECT("'"&amp;$AI313&amp;"'!$A$2:$A$320"),0))="","",INDEX(INDIRECT("'"&amp;$AI313&amp;"'!$E$2:$E$320"),MATCH($A313,INDIRECT("'"&amp;$AI313&amp;"'!$A$2:$A$320"),0))),"")</f>
        <v/>
      </c>
      <c r="F313" s="9" t="str">
        <f aca="false">IF($E313="","",IFERROR(INDEX(担当者マスタ!$B$2:$B$101,MATCH($E313,担当者マスタ!$A$2:$A$101,0)),"※マスタ未登録"))</f>
        <v/>
      </c>
      <c r="G313" s="11" t="n">
        <v>75.24</v>
      </c>
      <c r="H313" s="11" t="n">
        <v>107.28</v>
      </c>
      <c r="I313" s="11" t="n">
        <v>128.88</v>
      </c>
      <c r="J313" s="11" t="n">
        <v>167.8</v>
      </c>
      <c r="K313" s="11" t="n">
        <v>117</v>
      </c>
      <c r="L313" s="11" t="n">
        <v>102.75</v>
      </c>
      <c r="M313" s="11" t="n">
        <f aca="false">SUM(G313:L313)</f>
        <v>698.95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f aca="false">SUM(N313:S313)</f>
        <v>0</v>
      </c>
      <c r="U313" s="11" t="n">
        <v>102.75</v>
      </c>
      <c r="V313" s="11" t="n">
        <v>322.5</v>
      </c>
      <c r="W313" s="11" t="n">
        <v>58.5</v>
      </c>
      <c r="X313" s="11" t="n">
        <v>185.25</v>
      </c>
      <c r="Y313" s="11" t="n">
        <v>192.75</v>
      </c>
      <c r="Z313" s="11" t="n">
        <v>288</v>
      </c>
      <c r="AA313" s="11" t="n">
        <f aca="false">SUM(U313:Z313)</f>
        <v>1149.75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f aca="false">SUM(AB313:AG313)</f>
        <v>0</v>
      </c>
      <c r="AI313" s="12" t="s">
        <v>71</v>
      </c>
    </row>
    <row r="314" customFormat="false" ht="15" hidden="false" customHeight="false" outlineLevel="0" collapsed="false">
      <c r="A314" s="8" t="s">
        <v>696</v>
      </c>
      <c r="B314" s="12" t="s">
        <v>697</v>
      </c>
      <c r="C314" s="8" t="s">
        <v>654</v>
      </c>
      <c r="D314" s="12" t="s">
        <v>655</v>
      </c>
      <c r="E314" s="10" t="str">
        <f aca="true">IFERROR(IF(INDEX(INDIRECT("'"&amp;$AI314&amp;"'!$E$2:$E$320"),MATCH($A314,INDIRECT("'"&amp;$AI314&amp;"'!$A$2:$A$320"),0))="","",INDEX(INDIRECT("'"&amp;$AI314&amp;"'!$E$2:$E$320"),MATCH($A314,INDIRECT("'"&amp;$AI314&amp;"'!$A$2:$A$320"),0))),"")</f>
        <v/>
      </c>
      <c r="F314" s="9" t="str">
        <f aca="false">IF($E314="","",IFERROR(INDEX(担当者マスタ!$B$2:$B$101,MATCH($E314,担当者マスタ!$A$2:$A$101,0)),"※マスタ未登録"))</f>
        <v/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0.46</v>
      </c>
      <c r="M314" s="11" t="n">
        <f aca="false">SUM(G314:L314)</f>
        <v>0.46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0.188</v>
      </c>
      <c r="T314" s="11" t="n">
        <f aca="false">SUM(N314:S314)</f>
        <v>0.188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f aca="false">SUM(U314:Z314)</f>
        <v>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f aca="false">SUM(AB314:AG314)</f>
        <v>0</v>
      </c>
      <c r="AI314" s="12" t="s">
        <v>71</v>
      </c>
    </row>
    <row r="315" customFormat="false" ht="15" hidden="false" customHeight="false" outlineLevel="0" collapsed="false">
      <c r="A315" s="8" t="s">
        <v>698</v>
      </c>
      <c r="B315" s="12" t="s">
        <v>699</v>
      </c>
      <c r="C315" s="8" t="s">
        <v>700</v>
      </c>
      <c r="D315" s="12" t="s">
        <v>701</v>
      </c>
      <c r="E315" s="10" t="str">
        <f aca="true">IFERROR(IF(INDEX(INDIRECT("'"&amp;$AI315&amp;"'!$E$2:$E$320"),MATCH($A315,INDIRECT("'"&amp;$AI315&amp;"'!$A$2:$A$320"),0))="","",INDEX(INDIRECT("'"&amp;$AI315&amp;"'!$E$2:$E$320"),MATCH($A315,INDIRECT("'"&amp;$AI315&amp;"'!$A$2:$A$320"),0))),"")</f>
        <v/>
      </c>
      <c r="F315" s="9" t="str">
        <f aca="false">IF($E315="","",IFERROR(INDEX(担当者マスタ!$B$2:$B$101,MATCH($E315,担当者マスタ!$A$2:$A$101,0)),"※マスタ未登録"))</f>
        <v/>
      </c>
      <c r="G315" s="11" t="n">
        <v>255</v>
      </c>
      <c r="H315" s="11" t="n">
        <v>0</v>
      </c>
      <c r="I315" s="11" t="n">
        <v>0</v>
      </c>
      <c r="J315" s="11" t="n">
        <v>920</v>
      </c>
      <c r="K315" s="11" t="n">
        <v>361.6</v>
      </c>
      <c r="L315" s="11" t="n">
        <v>7125</v>
      </c>
      <c r="M315" s="11" t="n">
        <f aca="false">SUM(G315:L315)</f>
        <v>8661.6</v>
      </c>
      <c r="N315" s="11" t="n">
        <v>48.2</v>
      </c>
      <c r="O315" s="11" t="n">
        <v>0</v>
      </c>
      <c r="P315" s="11" t="n">
        <v>0</v>
      </c>
      <c r="Q315" s="11" t="n">
        <v>83</v>
      </c>
      <c r="R315" s="11" t="n">
        <v>100</v>
      </c>
      <c r="S315" s="11" t="n">
        <v>753</v>
      </c>
      <c r="T315" s="11" t="n">
        <f aca="false">SUM(N315:S315)</f>
        <v>984.2</v>
      </c>
      <c r="U315" s="11" t="n">
        <v>0</v>
      </c>
      <c r="V315" s="11" t="n">
        <v>0</v>
      </c>
      <c r="W315" s="11" t="n">
        <v>0</v>
      </c>
      <c r="X315" s="11" t="n">
        <v>64</v>
      </c>
      <c r="Y315" s="11" t="n">
        <v>1296</v>
      </c>
      <c r="Z315" s="11" t="n">
        <v>1076.7</v>
      </c>
      <c r="AA315" s="11" t="n">
        <f aca="false">SUM(U315:Z315)</f>
        <v>2436.7</v>
      </c>
      <c r="AB315" s="11" t="n">
        <v>0</v>
      </c>
      <c r="AC315" s="11" t="n">
        <v>0</v>
      </c>
      <c r="AD315" s="11" t="n">
        <v>0</v>
      </c>
      <c r="AE315" s="11" t="n">
        <v>12</v>
      </c>
      <c r="AF315" s="11" t="n">
        <v>168.446</v>
      </c>
      <c r="AG315" s="11" t="n">
        <v>160</v>
      </c>
      <c r="AH315" s="11" t="n">
        <f aca="false">SUM(AB315:AG315)</f>
        <v>340.446</v>
      </c>
      <c r="AI315" s="12" t="s">
        <v>71</v>
      </c>
    </row>
    <row r="316" customFormat="false" ht="15" hidden="false" customHeight="false" outlineLevel="0" collapsed="false">
      <c r="A316" s="8" t="s">
        <v>702</v>
      </c>
      <c r="B316" s="12" t="s">
        <v>703</v>
      </c>
      <c r="C316" s="8" t="s">
        <v>700</v>
      </c>
      <c r="D316" s="12" t="s">
        <v>701</v>
      </c>
      <c r="E316" s="10" t="str">
        <f aca="true">IFERROR(IF(INDEX(INDIRECT("'"&amp;$AI316&amp;"'!$E$2:$E$320"),MATCH($A316,INDIRECT("'"&amp;$AI316&amp;"'!$A$2:$A$320"),0))="","",INDEX(INDIRECT("'"&amp;$AI316&amp;"'!$E$2:$E$320"),MATCH($A316,INDIRECT("'"&amp;$AI316&amp;"'!$A$2:$A$320"),0))),"")</f>
        <v/>
      </c>
      <c r="F316" s="9" t="str">
        <f aca="false">IF($E316="","",IFERROR(INDEX(担当者マスタ!$B$2:$B$101,MATCH($E316,担当者マスタ!$A$2:$A$101,0)),"※マスタ未登録"))</f>
        <v/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45</v>
      </c>
      <c r="L316" s="11" t="n">
        <v>0</v>
      </c>
      <c r="M316" s="11" t="n">
        <f aca="false">SUM(G316:L316)</f>
        <v>45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14.25</v>
      </c>
      <c r="S316" s="11" t="n">
        <v>0</v>
      </c>
      <c r="T316" s="11" t="n">
        <f aca="false">SUM(N316:S316)</f>
        <v>14.25</v>
      </c>
      <c r="U316" s="11" t="n">
        <v>0</v>
      </c>
      <c r="V316" s="11" t="n">
        <v>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f aca="false">SUM(U316:Z316)</f>
        <v>0</v>
      </c>
      <c r="AB316" s="11" t="n">
        <v>0</v>
      </c>
      <c r="AC316" s="11" t="n">
        <v>0</v>
      </c>
      <c r="AD316" s="11" t="n">
        <v>0</v>
      </c>
      <c r="AE316" s="11" t="n">
        <v>0</v>
      </c>
      <c r="AF316" s="11" t="n">
        <v>0</v>
      </c>
      <c r="AG316" s="11" t="n">
        <v>0</v>
      </c>
      <c r="AH316" s="11" t="n">
        <f aca="false">SUM(AB316:AG316)</f>
        <v>0</v>
      </c>
      <c r="AI316" s="12" t="s">
        <v>71</v>
      </c>
    </row>
    <row r="317" customFormat="false" ht="15" hidden="false" customHeight="false" outlineLevel="0" collapsed="false">
      <c r="A317" s="8" t="s">
        <v>704</v>
      </c>
      <c r="B317" s="12" t="s">
        <v>705</v>
      </c>
      <c r="C317" s="8" t="s">
        <v>700</v>
      </c>
      <c r="D317" s="12" t="s">
        <v>701</v>
      </c>
      <c r="E317" s="10" t="str">
        <f aca="true">IFERROR(IF(INDEX(INDIRECT("'"&amp;$AI317&amp;"'!$E$2:$E$320"),MATCH($A317,INDIRECT("'"&amp;$AI317&amp;"'!$A$2:$A$320"),0))="","",INDEX(INDIRECT("'"&amp;$AI317&amp;"'!$E$2:$E$320"),MATCH($A317,INDIRECT("'"&amp;$AI317&amp;"'!$A$2:$A$320"),0))),"")</f>
        <v/>
      </c>
      <c r="F317" s="9" t="str">
        <f aca="false">IF($E317="","",IFERROR(INDEX(担当者マスタ!$B$2:$B$101,MATCH($E317,担当者マスタ!$A$2:$A$101,0)),"※マスタ未登録"))</f>
        <v/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f aca="false">SUM(G317:L317)</f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f aca="false">SUM(N317:S317)</f>
        <v>0</v>
      </c>
      <c r="U317" s="11" t="n">
        <v>0</v>
      </c>
      <c r="V317" s="11" t="n">
        <v>11222.8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f aca="false">SUM(U317:Z317)</f>
        <v>11222.8</v>
      </c>
      <c r="AB317" s="11" t="n">
        <v>0</v>
      </c>
      <c r="AC317" s="11" t="n">
        <v>564.4</v>
      </c>
      <c r="AD317" s="11" t="n">
        <v>0</v>
      </c>
      <c r="AE317" s="11" t="n">
        <v>0</v>
      </c>
      <c r="AF317" s="11" t="n">
        <v>0</v>
      </c>
      <c r="AG317" s="11" t="n">
        <v>0</v>
      </c>
      <c r="AH317" s="11" t="n">
        <f aca="false">SUM(AB317:AG317)</f>
        <v>564.4</v>
      </c>
      <c r="AI317" s="12" t="s">
        <v>71</v>
      </c>
    </row>
    <row r="318" customFormat="false" ht="15" hidden="false" customHeight="false" outlineLevel="0" collapsed="false">
      <c r="A318" s="8" t="s">
        <v>706</v>
      </c>
      <c r="B318" s="12" t="s">
        <v>707</v>
      </c>
      <c r="C318" s="8" t="s">
        <v>708</v>
      </c>
      <c r="D318" s="12" t="s">
        <v>709</v>
      </c>
      <c r="E318" s="10" t="str">
        <f aca="true">IFERROR(IF(INDEX(INDIRECT("'"&amp;$AI318&amp;"'!$E$2:$E$121"),MATCH($A318,INDIRECT("'"&amp;$AI318&amp;"'!$A$2:$A$121"),0))="","",INDEX(INDIRECT("'"&amp;$AI318&amp;"'!$E$2:$E$121"),MATCH($A318,INDIRECT("'"&amp;$AI318&amp;"'!$A$2:$A$121"),0))),"")</f>
        <v/>
      </c>
      <c r="F318" s="9" t="str">
        <f aca="false">IF($E318="","",IFERROR(INDEX(担当者マスタ!$B$2:$B$101,MATCH($E318,担当者マスタ!$A$2:$A$101,0)),"※マスタ未登録"))</f>
        <v/>
      </c>
      <c r="G318" s="11" t="n">
        <v>627.274</v>
      </c>
      <c r="H318" s="11" t="n">
        <v>586.766</v>
      </c>
      <c r="I318" s="11" t="n">
        <v>636.98</v>
      </c>
      <c r="J318" s="11" t="n">
        <v>439.889</v>
      </c>
      <c r="K318" s="11" t="n">
        <v>558.988</v>
      </c>
      <c r="L318" s="11" t="n">
        <v>479.596</v>
      </c>
      <c r="M318" s="11" t="n">
        <f aca="false">SUM(G318:L318)</f>
        <v>3329.493</v>
      </c>
      <c r="N318" s="11" t="n">
        <v>111.011</v>
      </c>
      <c r="O318" s="11" t="n">
        <v>102.985</v>
      </c>
      <c r="P318" s="11" t="n">
        <v>118.218</v>
      </c>
      <c r="Q318" s="11" t="n">
        <v>88.206</v>
      </c>
      <c r="R318" s="11" t="n">
        <v>105.834</v>
      </c>
      <c r="S318" s="11" t="n">
        <v>80.049</v>
      </c>
      <c r="T318" s="11" t="n">
        <f aca="false">SUM(N318:S318)</f>
        <v>606.303</v>
      </c>
      <c r="U318" s="11" t="n">
        <v>666.94</v>
      </c>
      <c r="V318" s="11" t="n">
        <v>555.38</v>
      </c>
      <c r="W318" s="11" t="n">
        <v>750.908</v>
      </c>
      <c r="X318" s="11" t="n">
        <v>556.719</v>
      </c>
      <c r="Y318" s="11" t="n">
        <v>500.888</v>
      </c>
      <c r="Z318" s="11" t="n">
        <v>588.448</v>
      </c>
      <c r="AA318" s="11" t="n">
        <f aca="false">SUM(U318:Z318)</f>
        <v>3619.283</v>
      </c>
      <c r="AB318" s="11" t="n">
        <v>128.876</v>
      </c>
      <c r="AC318" s="11" t="n">
        <v>107.97</v>
      </c>
      <c r="AD318" s="11" t="n">
        <v>148.097</v>
      </c>
      <c r="AE318" s="11" t="n">
        <v>110.398</v>
      </c>
      <c r="AF318" s="11" t="n">
        <v>91.165</v>
      </c>
      <c r="AG318" s="11" t="n">
        <v>105.138</v>
      </c>
      <c r="AH318" s="11" t="n">
        <f aca="false">SUM(AB318:AG318)</f>
        <v>691.644</v>
      </c>
      <c r="AI318" s="12" t="s">
        <v>710</v>
      </c>
    </row>
    <row r="319" customFormat="false" ht="15" hidden="false" customHeight="false" outlineLevel="0" collapsed="false">
      <c r="A319" s="8" t="s">
        <v>711</v>
      </c>
      <c r="B319" s="12" t="s">
        <v>712</v>
      </c>
      <c r="C319" s="8" t="s">
        <v>708</v>
      </c>
      <c r="D319" s="12" t="s">
        <v>709</v>
      </c>
      <c r="E319" s="10" t="str">
        <f aca="true">IFERROR(IF(INDEX(INDIRECT("'"&amp;$AI319&amp;"'!$E$2:$E$121"),MATCH($A319,INDIRECT("'"&amp;$AI319&amp;"'!$A$2:$A$121"),0))="","",INDEX(INDIRECT("'"&amp;$AI319&amp;"'!$E$2:$E$121"),MATCH($A319,INDIRECT("'"&amp;$AI319&amp;"'!$A$2:$A$121"),0))),"")</f>
        <v/>
      </c>
      <c r="F319" s="9" t="str">
        <f aca="false">IF($E319="","",IFERROR(INDEX(担当者マスタ!$B$2:$B$101,MATCH($E319,担当者マスタ!$A$2:$A$101,0)),"※マスタ未登録"))</f>
        <v/>
      </c>
      <c r="G319" s="11" t="n">
        <v>0</v>
      </c>
      <c r="H319" s="11" t="n">
        <v>7.5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f aca="false">SUM(G319:L319)</f>
        <v>7.5</v>
      </c>
      <c r="N319" s="11" t="n">
        <v>0</v>
      </c>
      <c r="O319" s="11" t="n">
        <v>1.522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f aca="false">SUM(N319:S319)</f>
        <v>1.522</v>
      </c>
      <c r="U319" s="11" t="n">
        <v>0</v>
      </c>
      <c r="V319" s="11" t="n">
        <v>0</v>
      </c>
      <c r="W319" s="11" t="n">
        <v>0</v>
      </c>
      <c r="X319" s="11" t="n">
        <v>0</v>
      </c>
      <c r="Y319" s="11" t="n">
        <v>0</v>
      </c>
      <c r="Z319" s="11" t="n">
        <v>0</v>
      </c>
      <c r="AA319" s="11" t="n">
        <f aca="false">SUM(U319:Z319)</f>
        <v>0</v>
      </c>
      <c r="AB319" s="11" t="n">
        <v>0</v>
      </c>
      <c r="AC319" s="11" t="n">
        <v>0</v>
      </c>
      <c r="AD319" s="11" t="n">
        <v>0</v>
      </c>
      <c r="AE319" s="11" t="n">
        <v>0</v>
      </c>
      <c r="AF319" s="11" t="n">
        <v>0</v>
      </c>
      <c r="AG319" s="11" t="n">
        <v>0</v>
      </c>
      <c r="AH319" s="11" t="n">
        <f aca="false">SUM(AB319:AG319)</f>
        <v>0</v>
      </c>
      <c r="AI319" s="12" t="s">
        <v>710</v>
      </c>
    </row>
    <row r="320" customFormat="false" ht="15" hidden="false" customHeight="false" outlineLevel="0" collapsed="false">
      <c r="A320" s="8" t="s">
        <v>713</v>
      </c>
      <c r="B320" s="12" t="s">
        <v>714</v>
      </c>
      <c r="C320" s="8" t="s">
        <v>708</v>
      </c>
      <c r="D320" s="12" t="s">
        <v>709</v>
      </c>
      <c r="E320" s="10" t="str">
        <f aca="true">IFERROR(IF(INDEX(INDIRECT("'"&amp;$AI320&amp;"'!$E$2:$E$121"),MATCH($A320,INDIRECT("'"&amp;$AI320&amp;"'!$A$2:$A$121"),0))="","",INDEX(INDIRECT("'"&amp;$AI320&amp;"'!$E$2:$E$121"),MATCH($A320,INDIRECT("'"&amp;$AI320&amp;"'!$A$2:$A$121"),0))),"")</f>
        <v/>
      </c>
      <c r="F320" s="9" t="str">
        <f aca="false">IF($E320="","",IFERROR(INDEX(担当者マスタ!$B$2:$B$101,MATCH($E320,担当者マスタ!$A$2:$A$101,0)),"※マスタ未登録"))</f>
        <v/>
      </c>
      <c r="G320" s="11" t="n">
        <v>2583.956</v>
      </c>
      <c r="H320" s="11" t="n">
        <v>4914.968</v>
      </c>
      <c r="I320" s="11" t="n">
        <v>5317.348</v>
      </c>
      <c r="J320" s="11" t="n">
        <v>1981.78</v>
      </c>
      <c r="K320" s="11" t="n">
        <v>1361.999</v>
      </c>
      <c r="L320" s="11" t="n">
        <v>1233.177</v>
      </c>
      <c r="M320" s="11" t="n">
        <f aca="false">SUM(G320:L320)</f>
        <v>17393.228</v>
      </c>
      <c r="N320" s="11" t="n">
        <v>616.553</v>
      </c>
      <c r="O320" s="11" t="n">
        <v>1111.27</v>
      </c>
      <c r="P320" s="11" t="n">
        <v>1271.882</v>
      </c>
      <c r="Q320" s="11" t="n">
        <v>479.304</v>
      </c>
      <c r="R320" s="11" t="n">
        <v>275.037</v>
      </c>
      <c r="S320" s="11" t="n">
        <v>246.329</v>
      </c>
      <c r="T320" s="11" t="n">
        <f aca="false">SUM(N320:S320)</f>
        <v>4000.375</v>
      </c>
      <c r="U320" s="11" t="n">
        <v>3265.723</v>
      </c>
      <c r="V320" s="11" t="n">
        <v>5615.846</v>
      </c>
      <c r="W320" s="11" t="n">
        <v>7145.665</v>
      </c>
      <c r="X320" s="11" t="n">
        <v>1999.467</v>
      </c>
      <c r="Y320" s="11" t="n">
        <v>1450.982</v>
      </c>
      <c r="Z320" s="11" t="n">
        <v>904.831</v>
      </c>
      <c r="AA320" s="11" t="n">
        <f aca="false">SUM(U320:Z320)</f>
        <v>20382.514</v>
      </c>
      <c r="AB320" s="11" t="n">
        <v>763.622</v>
      </c>
      <c r="AC320" s="11" t="n">
        <v>1293.181</v>
      </c>
      <c r="AD320" s="11" t="n">
        <v>1656.737</v>
      </c>
      <c r="AE320" s="11" t="n">
        <v>424.358</v>
      </c>
      <c r="AF320" s="11" t="n">
        <v>305.558</v>
      </c>
      <c r="AG320" s="11" t="n">
        <v>181.14</v>
      </c>
      <c r="AH320" s="11" t="n">
        <f aca="false">SUM(AB320:AG320)</f>
        <v>4624.596</v>
      </c>
      <c r="AI320" s="12" t="s">
        <v>710</v>
      </c>
    </row>
    <row r="321" customFormat="false" ht="15" hidden="false" customHeight="false" outlineLevel="0" collapsed="false">
      <c r="A321" s="8" t="s">
        <v>715</v>
      </c>
      <c r="B321" s="9" t="s">
        <v>716</v>
      </c>
      <c r="C321" s="8" t="s">
        <v>708</v>
      </c>
      <c r="D321" s="12" t="s">
        <v>709</v>
      </c>
      <c r="E321" s="10" t="str">
        <f aca="true">IFERROR(IF(INDEX(INDIRECT("'"&amp;$AI321&amp;"'!$E$2:$E$121"),MATCH($A321,INDIRECT("'"&amp;$AI321&amp;"'!$A$2:$A$121"),0))="","",INDEX(INDIRECT("'"&amp;$AI321&amp;"'!$E$2:$E$121"),MATCH($A321,INDIRECT("'"&amp;$AI321&amp;"'!$A$2:$A$121"),0))),"")</f>
        <v/>
      </c>
      <c r="F321" s="9" t="str">
        <f aca="false">IF($E321="","",IFERROR(INDEX(担当者マスタ!$B$2:$B$101,MATCH($E321,担当者マスタ!$A$2:$A$101,0)),"※マスタ未登録"))</f>
        <v/>
      </c>
      <c r="G321" s="11" t="n">
        <v>42.24</v>
      </c>
      <c r="H321" s="11" t="n">
        <v>131.38</v>
      </c>
      <c r="I321" s="11" t="n">
        <v>148.94</v>
      </c>
      <c r="J321" s="11" t="n">
        <v>10.56</v>
      </c>
      <c r="K321" s="11" t="n">
        <v>120.92</v>
      </c>
      <c r="L321" s="11" t="n">
        <v>31.68</v>
      </c>
      <c r="M321" s="11" t="n">
        <f aca="false">SUM(G321:L321)</f>
        <v>485.72</v>
      </c>
      <c r="N321" s="11" t="n">
        <v>7.04</v>
      </c>
      <c r="O321" s="11" t="n">
        <v>28.592</v>
      </c>
      <c r="P321" s="11" t="n">
        <v>39.94</v>
      </c>
      <c r="Q321" s="11" t="n">
        <v>1.76</v>
      </c>
      <c r="R321" s="11" t="n">
        <v>33.24</v>
      </c>
      <c r="S321" s="11" t="n">
        <v>5.28</v>
      </c>
      <c r="T321" s="11" t="n">
        <f aca="false">SUM(N321:S321)</f>
        <v>115.852</v>
      </c>
      <c r="U321" s="11" t="n">
        <v>35.312</v>
      </c>
      <c r="V321" s="11" t="n">
        <v>158.49</v>
      </c>
      <c r="W321" s="11" t="n">
        <v>432.92</v>
      </c>
      <c r="X321" s="11" t="n">
        <v>86.16</v>
      </c>
      <c r="Y321" s="11" t="n">
        <v>28.49</v>
      </c>
      <c r="Z321" s="11" t="n">
        <v>99.14</v>
      </c>
      <c r="AA321" s="11" t="n">
        <f aca="false">SUM(U321:Z321)</f>
        <v>840.512</v>
      </c>
      <c r="AB321" s="11" t="n">
        <v>7.072</v>
      </c>
      <c r="AC321" s="11" t="n">
        <v>40.9</v>
      </c>
      <c r="AD321" s="11" t="n">
        <v>115.4</v>
      </c>
      <c r="AE321" s="11" t="n">
        <v>23.18</v>
      </c>
      <c r="AF321" s="11" t="n">
        <v>5.71</v>
      </c>
      <c r="AG321" s="11" t="n">
        <v>27.09</v>
      </c>
      <c r="AH321" s="11" t="n">
        <f aca="false">SUM(AB321:AG321)</f>
        <v>219.352</v>
      </c>
      <c r="AI321" s="12" t="s">
        <v>710</v>
      </c>
    </row>
    <row r="322" customFormat="false" ht="15" hidden="false" customHeight="false" outlineLevel="0" collapsed="false">
      <c r="A322" s="8" t="s">
        <v>717</v>
      </c>
      <c r="B322" s="9" t="s">
        <v>718</v>
      </c>
      <c r="C322" s="8" t="s">
        <v>708</v>
      </c>
      <c r="D322" s="12" t="s">
        <v>709</v>
      </c>
      <c r="E322" s="10" t="str">
        <f aca="true">IFERROR(IF(INDEX(INDIRECT("'"&amp;$AI322&amp;"'!$E$2:$E$121"),MATCH($A322,INDIRECT("'"&amp;$AI322&amp;"'!$A$2:$A$121"),0))="","",INDEX(INDIRECT("'"&amp;$AI322&amp;"'!$E$2:$E$121"),MATCH($A322,INDIRECT("'"&amp;$AI322&amp;"'!$A$2:$A$121"),0))),"")</f>
        <v/>
      </c>
      <c r="F322" s="9" t="str">
        <f aca="false">IF($E322="","",IFERROR(INDEX(担当者マスタ!$B$2:$B$101,MATCH($E322,担当者マスタ!$A$2:$A$101,0)),"※マスタ未登録"))</f>
        <v/>
      </c>
      <c r="G322" s="11" t="n">
        <v>21.6</v>
      </c>
      <c r="H322" s="11" t="n">
        <v>0</v>
      </c>
      <c r="I322" s="11" t="n">
        <v>62.7</v>
      </c>
      <c r="J322" s="11" t="n">
        <v>24.98</v>
      </c>
      <c r="K322" s="11" t="n">
        <v>21.6</v>
      </c>
      <c r="L322" s="11" t="n">
        <v>0</v>
      </c>
      <c r="M322" s="11" t="n">
        <f aca="false">SUM(G322:L322)</f>
        <v>130.88</v>
      </c>
      <c r="N322" s="11" t="n">
        <v>6.99</v>
      </c>
      <c r="O322" s="11" t="n">
        <v>0</v>
      </c>
      <c r="P322" s="11" t="n">
        <v>7.224</v>
      </c>
      <c r="Q322" s="11" t="n">
        <v>7.2</v>
      </c>
      <c r="R322" s="11" t="n">
        <v>6.99</v>
      </c>
      <c r="S322" s="11" t="n">
        <v>0</v>
      </c>
      <c r="T322" s="11" t="n">
        <f aca="false">SUM(N322:S322)</f>
        <v>28.404</v>
      </c>
      <c r="U322" s="11" t="n">
        <v>0</v>
      </c>
      <c r="V322" s="11" t="n">
        <v>0</v>
      </c>
      <c r="W322" s="11" t="n">
        <v>42.78</v>
      </c>
      <c r="X322" s="11" t="n">
        <v>46.88</v>
      </c>
      <c r="Y322" s="11" t="n">
        <v>0</v>
      </c>
      <c r="Z322" s="11" t="n">
        <v>0</v>
      </c>
      <c r="AA322" s="11" t="n">
        <f aca="false">SUM(U322:Z322)</f>
        <v>89.66</v>
      </c>
      <c r="AB322" s="11" t="n">
        <v>0</v>
      </c>
      <c r="AC322" s="11" t="n">
        <v>0</v>
      </c>
      <c r="AD322" s="11" t="n">
        <v>7.609</v>
      </c>
      <c r="AE322" s="11" t="n">
        <v>14.19</v>
      </c>
      <c r="AF322" s="11" t="n">
        <v>0</v>
      </c>
      <c r="AG322" s="11" t="n">
        <v>0</v>
      </c>
      <c r="AH322" s="11" t="n">
        <f aca="false">SUM(AB322:AG322)</f>
        <v>21.799</v>
      </c>
      <c r="AI322" s="12" t="s">
        <v>710</v>
      </c>
    </row>
    <row r="323" customFormat="false" ht="15" hidden="false" customHeight="false" outlineLevel="0" collapsed="false">
      <c r="A323" s="8" t="s">
        <v>719</v>
      </c>
      <c r="B323" s="12" t="s">
        <v>720</v>
      </c>
      <c r="C323" s="8" t="s">
        <v>708</v>
      </c>
      <c r="D323" s="12" t="s">
        <v>709</v>
      </c>
      <c r="E323" s="10" t="str">
        <f aca="true">IFERROR(IF(INDEX(INDIRECT("'"&amp;$AI323&amp;"'!$E$2:$E$121"),MATCH($A323,INDIRECT("'"&amp;$AI323&amp;"'!$A$2:$A$121"),0))="","",INDEX(INDIRECT("'"&amp;$AI323&amp;"'!$E$2:$E$121"),MATCH($A323,INDIRECT("'"&amp;$AI323&amp;"'!$A$2:$A$121"),0))),"")</f>
        <v/>
      </c>
      <c r="F323" s="9" t="str">
        <f aca="false">IF($E323="","",IFERROR(INDEX(担当者マスタ!$B$2:$B$101,MATCH($E323,担当者マスタ!$A$2:$A$101,0)),"※マスタ未登録"))</f>
        <v/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f aca="false">SUM(G323:L323)</f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f aca="false">SUM(N323:S323)</f>
        <v>0</v>
      </c>
      <c r="U323" s="11" t="n">
        <v>13.62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f aca="false">SUM(U323:Z323)</f>
        <v>13.62</v>
      </c>
      <c r="AB323" s="11" t="n">
        <v>4.32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f aca="false">SUM(AB323:AG323)</f>
        <v>4.32</v>
      </c>
      <c r="AI323" s="12" t="s">
        <v>710</v>
      </c>
    </row>
    <row r="324" customFormat="false" ht="15" hidden="false" customHeight="false" outlineLevel="0" collapsed="false">
      <c r="A324" s="8" t="s">
        <v>721</v>
      </c>
      <c r="B324" s="9" t="s">
        <v>722</v>
      </c>
      <c r="C324" s="8" t="s">
        <v>708</v>
      </c>
      <c r="D324" s="12" t="s">
        <v>709</v>
      </c>
      <c r="E324" s="10" t="str">
        <f aca="true">IFERROR(IF(INDEX(INDIRECT("'"&amp;$AI324&amp;"'!$E$2:$E$121"),MATCH($A324,INDIRECT("'"&amp;$AI324&amp;"'!$A$2:$A$121"),0))="","",INDEX(INDIRECT("'"&amp;$AI324&amp;"'!$E$2:$E$121"),MATCH($A324,INDIRECT("'"&amp;$AI324&amp;"'!$A$2:$A$121"),0))),"")</f>
        <v/>
      </c>
      <c r="F324" s="9" t="str">
        <f aca="false">IF($E324="","",IFERROR(INDEX(担当者マスタ!$B$2:$B$101,MATCH($E324,担当者マスタ!$A$2:$A$101,0)),"※マスタ未登録"))</f>
        <v/>
      </c>
      <c r="G324" s="11" t="n">
        <v>86.409</v>
      </c>
      <c r="H324" s="11" t="n">
        <v>50.322</v>
      </c>
      <c r="I324" s="11" t="n">
        <v>244.57</v>
      </c>
      <c r="J324" s="11" t="n">
        <v>0</v>
      </c>
      <c r="K324" s="11" t="n">
        <v>109.831</v>
      </c>
      <c r="L324" s="11" t="n">
        <v>276.201</v>
      </c>
      <c r="M324" s="11" t="n">
        <f aca="false">SUM(G324:L324)</f>
        <v>767.333</v>
      </c>
      <c r="N324" s="11" t="n">
        <v>23.722</v>
      </c>
      <c r="O324" s="11" t="n">
        <v>13.597</v>
      </c>
      <c r="P324" s="11" t="n">
        <v>66.994</v>
      </c>
      <c r="Q324" s="11" t="n">
        <v>0</v>
      </c>
      <c r="R324" s="11" t="n">
        <v>30.847</v>
      </c>
      <c r="S324" s="11" t="n">
        <v>76.645</v>
      </c>
      <c r="T324" s="11" t="n">
        <f aca="false">SUM(N324:S324)</f>
        <v>211.805</v>
      </c>
      <c r="U324" s="11" t="n">
        <v>83.827</v>
      </c>
      <c r="V324" s="11" t="n">
        <v>51.25</v>
      </c>
      <c r="W324" s="11" t="n">
        <v>206.802</v>
      </c>
      <c r="X324" s="11" t="n">
        <v>109.442</v>
      </c>
      <c r="Y324" s="11" t="n">
        <v>159.463</v>
      </c>
      <c r="Z324" s="11" t="n">
        <v>126.015</v>
      </c>
      <c r="AA324" s="11" t="n">
        <f aca="false">SUM(U324:Z324)</f>
        <v>736.799</v>
      </c>
      <c r="AB324" s="11" t="n">
        <v>24.306</v>
      </c>
      <c r="AC324" s="11" t="n">
        <v>13.41</v>
      </c>
      <c r="AD324" s="11" t="n">
        <v>58.163</v>
      </c>
      <c r="AE324" s="11" t="n">
        <v>30.106</v>
      </c>
      <c r="AF324" s="11" t="n">
        <v>44.727</v>
      </c>
      <c r="AG324" s="11" t="n">
        <v>36.636</v>
      </c>
      <c r="AH324" s="11" t="n">
        <f aca="false">SUM(AB324:AG324)</f>
        <v>207.348</v>
      </c>
      <c r="AI324" s="12" t="s">
        <v>710</v>
      </c>
    </row>
    <row r="325" customFormat="false" ht="15" hidden="false" customHeight="false" outlineLevel="0" collapsed="false">
      <c r="A325" s="8" t="s">
        <v>723</v>
      </c>
      <c r="B325" s="12" t="s">
        <v>724</v>
      </c>
      <c r="C325" s="8" t="s">
        <v>708</v>
      </c>
      <c r="D325" s="12" t="s">
        <v>709</v>
      </c>
      <c r="E325" s="10" t="str">
        <f aca="true">IFERROR(IF(INDEX(INDIRECT("'"&amp;$AI325&amp;"'!$E$2:$E$121"),MATCH($A325,INDIRECT("'"&amp;$AI325&amp;"'!$A$2:$A$121"),0))="","",INDEX(INDIRECT("'"&amp;$AI325&amp;"'!$E$2:$E$121"),MATCH($A325,INDIRECT("'"&amp;$AI325&amp;"'!$A$2:$A$121"),0))),"")</f>
        <v/>
      </c>
      <c r="F325" s="9" t="str">
        <f aca="false">IF($E325="","",IFERROR(INDEX(担当者マスタ!$B$2:$B$101,MATCH($E325,担当者マスタ!$A$2:$A$101,0)),"※マスタ未登録"))</f>
        <v/>
      </c>
      <c r="G325" s="11" t="n">
        <v>90.048</v>
      </c>
      <c r="H325" s="11" t="n">
        <v>346.4</v>
      </c>
      <c r="I325" s="11" t="n">
        <v>30</v>
      </c>
      <c r="J325" s="11" t="n">
        <v>187</v>
      </c>
      <c r="K325" s="11" t="n">
        <v>159</v>
      </c>
      <c r="L325" s="11" t="n">
        <v>136.526</v>
      </c>
      <c r="M325" s="11" t="n">
        <f aca="false">SUM(G325:L325)</f>
        <v>948.974</v>
      </c>
      <c r="N325" s="11" t="n">
        <v>20.824</v>
      </c>
      <c r="O325" s="11" t="n">
        <v>68.72</v>
      </c>
      <c r="P325" s="11" t="n">
        <v>7</v>
      </c>
      <c r="Q325" s="11" t="n">
        <v>34.5</v>
      </c>
      <c r="R325" s="11" t="n">
        <v>30.2</v>
      </c>
      <c r="S325" s="11" t="n">
        <v>30.896</v>
      </c>
      <c r="T325" s="11" t="n">
        <f aca="false">SUM(N325:S325)</f>
        <v>192.14</v>
      </c>
      <c r="U325" s="11" t="n">
        <v>225.584</v>
      </c>
      <c r="V325" s="11" t="n">
        <v>51</v>
      </c>
      <c r="W325" s="11" t="n">
        <v>136.2</v>
      </c>
      <c r="X325" s="11" t="n">
        <v>244.47</v>
      </c>
      <c r="Y325" s="11" t="n">
        <v>166.2</v>
      </c>
      <c r="Z325" s="11" t="n">
        <v>473.95</v>
      </c>
      <c r="AA325" s="11" t="n">
        <f aca="false">SUM(U325:Z325)</f>
        <v>1297.404</v>
      </c>
      <c r="AB325" s="11" t="n">
        <v>47.204</v>
      </c>
      <c r="AC325" s="11" t="n">
        <v>8</v>
      </c>
      <c r="AD325" s="11" t="n">
        <v>30.2</v>
      </c>
      <c r="AE325" s="11" t="n">
        <v>53.82</v>
      </c>
      <c r="AF325" s="11" t="n">
        <v>36.3</v>
      </c>
      <c r="AG325" s="11" t="n">
        <v>104.63</v>
      </c>
      <c r="AH325" s="11" t="n">
        <f aca="false">SUM(AB325:AG325)</f>
        <v>280.154</v>
      </c>
      <c r="AI325" s="12" t="s">
        <v>710</v>
      </c>
    </row>
    <row r="326" customFormat="false" ht="15" hidden="false" customHeight="false" outlineLevel="0" collapsed="false">
      <c r="A326" s="8" t="s">
        <v>725</v>
      </c>
      <c r="B326" s="12" t="s">
        <v>726</v>
      </c>
      <c r="C326" s="8" t="s">
        <v>708</v>
      </c>
      <c r="D326" s="12" t="s">
        <v>709</v>
      </c>
      <c r="E326" s="10" t="str">
        <f aca="true">IFERROR(IF(INDEX(INDIRECT("'"&amp;$AI326&amp;"'!$E$2:$E$121"),MATCH($A326,INDIRECT("'"&amp;$AI326&amp;"'!$A$2:$A$121"),0))="","",INDEX(INDIRECT("'"&amp;$AI326&amp;"'!$E$2:$E$121"),MATCH($A326,INDIRECT("'"&amp;$AI326&amp;"'!$A$2:$A$121"),0))),"")</f>
        <v/>
      </c>
      <c r="F326" s="9" t="str">
        <f aca="false">IF($E326="","",IFERROR(INDEX(担当者マスタ!$B$2:$B$101,MATCH($E326,担当者マスタ!$A$2:$A$101,0)),"※マスタ未登録"))</f>
        <v/>
      </c>
      <c r="G326" s="11" t="n">
        <v>2243.321</v>
      </c>
      <c r="H326" s="11" t="n">
        <v>1971.139</v>
      </c>
      <c r="I326" s="11" t="n">
        <v>1782.016</v>
      </c>
      <c r="J326" s="11" t="n">
        <v>1355.819</v>
      </c>
      <c r="K326" s="11" t="n">
        <v>1429.735</v>
      </c>
      <c r="L326" s="11" t="n">
        <v>2072.647</v>
      </c>
      <c r="M326" s="11" t="n">
        <f aca="false">SUM(G326:L326)</f>
        <v>10854.677</v>
      </c>
      <c r="N326" s="11" t="n">
        <v>506.575</v>
      </c>
      <c r="O326" s="11" t="n">
        <v>458.214</v>
      </c>
      <c r="P326" s="11" t="n">
        <v>415.525</v>
      </c>
      <c r="Q326" s="11" t="n">
        <v>297.15</v>
      </c>
      <c r="R326" s="11" t="n">
        <v>312.246</v>
      </c>
      <c r="S326" s="11" t="n">
        <v>452.533</v>
      </c>
      <c r="T326" s="11" t="n">
        <f aca="false">SUM(N326:S326)</f>
        <v>2442.243</v>
      </c>
      <c r="U326" s="11" t="n">
        <v>1897.326</v>
      </c>
      <c r="V326" s="11" t="n">
        <v>1752.698</v>
      </c>
      <c r="W326" s="11" t="n">
        <v>2138.748</v>
      </c>
      <c r="X326" s="11" t="n">
        <v>1387.22</v>
      </c>
      <c r="Y326" s="11" t="n">
        <v>1521.007</v>
      </c>
      <c r="Z326" s="11" t="n">
        <v>1888.689</v>
      </c>
      <c r="AA326" s="11" t="n">
        <f aca="false">SUM(U326:Z326)</f>
        <v>10585.688</v>
      </c>
      <c r="AB326" s="11" t="n">
        <v>448.308</v>
      </c>
      <c r="AC326" s="11" t="n">
        <v>415.46</v>
      </c>
      <c r="AD326" s="11" t="n">
        <v>484.266</v>
      </c>
      <c r="AE326" s="11" t="n">
        <v>302.932</v>
      </c>
      <c r="AF326" s="11" t="n">
        <v>319.391</v>
      </c>
      <c r="AG326" s="11" t="n">
        <v>390.061</v>
      </c>
      <c r="AH326" s="11" t="n">
        <f aca="false">SUM(AB326:AG326)</f>
        <v>2360.418</v>
      </c>
      <c r="AI326" s="12" t="s">
        <v>710</v>
      </c>
    </row>
    <row r="327" customFormat="false" ht="15" hidden="false" customHeight="false" outlineLevel="0" collapsed="false">
      <c r="A327" s="8" t="s">
        <v>727</v>
      </c>
      <c r="B327" s="12" t="s">
        <v>728</v>
      </c>
      <c r="C327" s="8" t="s">
        <v>708</v>
      </c>
      <c r="D327" s="12" t="s">
        <v>709</v>
      </c>
      <c r="E327" s="10" t="str">
        <f aca="true">IFERROR(IF(INDEX(INDIRECT("'"&amp;$AI327&amp;"'!$E$2:$E$121"),MATCH($A327,INDIRECT("'"&amp;$AI327&amp;"'!$A$2:$A$121"),0))="","",INDEX(INDIRECT("'"&amp;$AI327&amp;"'!$E$2:$E$121"),MATCH($A327,INDIRECT("'"&amp;$AI327&amp;"'!$A$2:$A$121"),0))),"")</f>
        <v/>
      </c>
      <c r="F327" s="9" t="str">
        <f aca="false">IF($E327="","",IFERROR(INDEX(担当者マスタ!$B$2:$B$101,MATCH($E327,担当者マスタ!$A$2:$A$101,0)),"※マスタ未登録"))</f>
        <v/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118.65</v>
      </c>
      <c r="M327" s="11" t="n">
        <f aca="false">SUM(G327:L327)</f>
        <v>118.65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30.45</v>
      </c>
      <c r="T327" s="11" t="n">
        <f aca="false">SUM(N327:S327)</f>
        <v>30.45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f aca="false">SUM(U327:Z327)</f>
        <v>0</v>
      </c>
      <c r="AB327" s="11" t="n">
        <v>0</v>
      </c>
      <c r="AC327" s="11" t="n">
        <v>0</v>
      </c>
      <c r="AD327" s="11" t="n">
        <v>0</v>
      </c>
      <c r="AE327" s="11" t="n">
        <v>0</v>
      </c>
      <c r="AF327" s="11" t="n">
        <v>0</v>
      </c>
      <c r="AG327" s="11" t="n">
        <v>0</v>
      </c>
      <c r="AH327" s="11" t="n">
        <f aca="false">SUM(AB327:AG327)</f>
        <v>0</v>
      </c>
      <c r="AI327" s="12" t="s">
        <v>710</v>
      </c>
    </row>
    <row r="328" customFormat="false" ht="15" hidden="false" customHeight="false" outlineLevel="0" collapsed="false">
      <c r="A328" s="8" t="s">
        <v>729</v>
      </c>
      <c r="B328" s="12" t="s">
        <v>730</v>
      </c>
      <c r="C328" s="8" t="s">
        <v>708</v>
      </c>
      <c r="D328" s="12" t="s">
        <v>709</v>
      </c>
      <c r="E328" s="10" t="str">
        <f aca="true">IFERROR(IF(INDEX(INDIRECT("'"&amp;$AI328&amp;"'!$E$2:$E$121"),MATCH($A328,INDIRECT("'"&amp;$AI328&amp;"'!$A$2:$A$121"),0))="","",INDEX(INDIRECT("'"&amp;$AI328&amp;"'!$E$2:$E$121"),MATCH($A328,INDIRECT("'"&amp;$AI328&amp;"'!$A$2:$A$121"),0))),"")</f>
        <v/>
      </c>
      <c r="F328" s="9" t="str">
        <f aca="false">IF($E328="","",IFERROR(INDEX(担当者マスタ!$B$2:$B$101,MATCH($E328,担当者マスタ!$A$2:$A$101,0)),"※マスタ未登録"))</f>
        <v/>
      </c>
      <c r="G328" s="11" t="n">
        <v>0</v>
      </c>
      <c r="H328" s="11" t="n">
        <v>0</v>
      </c>
      <c r="I328" s="11" t="n">
        <v>22.2</v>
      </c>
      <c r="J328" s="11" t="n">
        <v>0</v>
      </c>
      <c r="K328" s="11" t="n">
        <v>0</v>
      </c>
      <c r="L328" s="11" t="n">
        <v>0</v>
      </c>
      <c r="M328" s="11" t="n">
        <f aca="false">SUM(G328:L328)</f>
        <v>22.2</v>
      </c>
      <c r="N328" s="11" t="n">
        <v>0</v>
      </c>
      <c r="O328" s="11" t="n">
        <v>0</v>
      </c>
      <c r="P328" s="11" t="n">
        <v>4.695</v>
      </c>
      <c r="Q328" s="11" t="n">
        <v>0</v>
      </c>
      <c r="R328" s="11" t="n">
        <v>0</v>
      </c>
      <c r="S328" s="11" t="n">
        <v>0</v>
      </c>
      <c r="T328" s="11" t="n">
        <f aca="false">SUM(N328:S328)</f>
        <v>4.695</v>
      </c>
      <c r="U328" s="11" t="n">
        <v>0</v>
      </c>
      <c r="V328" s="11" t="n">
        <v>23.975</v>
      </c>
      <c r="W328" s="11" t="n">
        <v>0</v>
      </c>
      <c r="X328" s="11" t="n">
        <v>0</v>
      </c>
      <c r="Y328" s="11" t="n">
        <v>0</v>
      </c>
      <c r="Z328" s="11" t="n">
        <v>23.975</v>
      </c>
      <c r="AA328" s="11" t="n">
        <f aca="false">SUM(U328:Z328)</f>
        <v>47.95</v>
      </c>
      <c r="AB328" s="11" t="n">
        <v>0</v>
      </c>
      <c r="AC328" s="11" t="n">
        <v>5.594</v>
      </c>
      <c r="AD328" s="11" t="n">
        <v>0</v>
      </c>
      <c r="AE328" s="11" t="n">
        <v>0</v>
      </c>
      <c r="AF328" s="11" t="n">
        <v>0</v>
      </c>
      <c r="AG328" s="11" t="n">
        <v>5.594</v>
      </c>
      <c r="AH328" s="11" t="n">
        <f aca="false">SUM(AB328:AG328)</f>
        <v>11.188</v>
      </c>
      <c r="AI328" s="12" t="s">
        <v>710</v>
      </c>
    </row>
    <row r="329" customFormat="false" ht="15" hidden="false" customHeight="false" outlineLevel="0" collapsed="false">
      <c r="A329" s="8" t="s">
        <v>731</v>
      </c>
      <c r="B329" s="9" t="s">
        <v>732</v>
      </c>
      <c r="C329" s="8" t="s">
        <v>708</v>
      </c>
      <c r="D329" s="12" t="s">
        <v>709</v>
      </c>
      <c r="E329" s="10" t="str">
        <f aca="true">IFERROR(IF(INDEX(INDIRECT("'"&amp;$AI329&amp;"'!$E$2:$E$121"),MATCH($A329,INDIRECT("'"&amp;$AI329&amp;"'!$A$2:$A$121"),0))="","",INDEX(INDIRECT("'"&amp;$AI329&amp;"'!$E$2:$E$121"),MATCH($A329,INDIRECT("'"&amp;$AI329&amp;"'!$A$2:$A$121"),0))),"")</f>
        <v/>
      </c>
      <c r="F329" s="9" t="str">
        <f aca="false">IF($E329="","",IFERROR(INDEX(担当者マスタ!$B$2:$B$101,MATCH($E329,担当者マスタ!$A$2:$A$101,0)),"※マスタ未登録"))</f>
        <v/>
      </c>
      <c r="G329" s="11" t="n">
        <v>1724.145</v>
      </c>
      <c r="H329" s="11" t="n">
        <v>1335.487</v>
      </c>
      <c r="I329" s="11" t="n">
        <v>1915.001</v>
      </c>
      <c r="J329" s="11" t="n">
        <v>1205.26</v>
      </c>
      <c r="K329" s="11" t="n">
        <v>1177.54</v>
      </c>
      <c r="L329" s="11" t="n">
        <v>1422.668</v>
      </c>
      <c r="M329" s="11" t="n">
        <f aca="false">SUM(G329:L329)</f>
        <v>8780.101</v>
      </c>
      <c r="N329" s="11" t="n">
        <v>470.723</v>
      </c>
      <c r="O329" s="11" t="n">
        <v>370.242</v>
      </c>
      <c r="P329" s="11" t="n">
        <v>463.538</v>
      </c>
      <c r="Q329" s="11" t="n">
        <v>276.744</v>
      </c>
      <c r="R329" s="11" t="n">
        <v>281.906</v>
      </c>
      <c r="S329" s="11" t="n">
        <v>371.531</v>
      </c>
      <c r="T329" s="11" t="n">
        <f aca="false">SUM(N329:S329)</f>
        <v>2234.684</v>
      </c>
      <c r="U329" s="11" t="n">
        <v>1149.225</v>
      </c>
      <c r="V329" s="11" t="n">
        <v>729.05</v>
      </c>
      <c r="W329" s="11" t="n">
        <v>999.905</v>
      </c>
      <c r="X329" s="11" t="n">
        <v>479.54</v>
      </c>
      <c r="Y329" s="11" t="n">
        <v>387.624</v>
      </c>
      <c r="Z329" s="11" t="n">
        <v>650.449</v>
      </c>
      <c r="AA329" s="11" t="n">
        <f aca="false">SUM(U329:Z329)</f>
        <v>4395.793</v>
      </c>
      <c r="AB329" s="11" t="n">
        <v>279.047</v>
      </c>
      <c r="AC329" s="11" t="n">
        <v>155.947</v>
      </c>
      <c r="AD329" s="11" t="n">
        <v>217.056</v>
      </c>
      <c r="AE329" s="11" t="n">
        <v>133.83</v>
      </c>
      <c r="AF329" s="11" t="n">
        <v>91.77</v>
      </c>
      <c r="AG329" s="11" t="n">
        <v>113.81</v>
      </c>
      <c r="AH329" s="11" t="n">
        <f aca="false">SUM(AB329:AG329)</f>
        <v>991.46</v>
      </c>
      <c r="AI329" s="12" t="s">
        <v>710</v>
      </c>
    </row>
    <row r="330" customFormat="false" ht="15" hidden="false" customHeight="false" outlineLevel="0" collapsed="false">
      <c r="A330" s="8" t="s">
        <v>733</v>
      </c>
      <c r="B330" s="9" t="s">
        <v>734</v>
      </c>
      <c r="C330" s="8" t="s">
        <v>708</v>
      </c>
      <c r="D330" s="12" t="s">
        <v>709</v>
      </c>
      <c r="E330" s="10" t="str">
        <f aca="true">IFERROR(IF(INDEX(INDIRECT("'"&amp;$AI330&amp;"'!$E$2:$E$121"),MATCH($A330,INDIRECT("'"&amp;$AI330&amp;"'!$A$2:$A$121"),0))="","",INDEX(INDIRECT("'"&amp;$AI330&amp;"'!$E$2:$E$121"),MATCH($A330,INDIRECT("'"&amp;$AI330&amp;"'!$A$2:$A$121"),0))),"")</f>
        <v/>
      </c>
      <c r="F330" s="9" t="str">
        <f aca="false">IF($E330="","",IFERROR(INDEX(担当者マスタ!$B$2:$B$101,MATCH($E330,担当者マスタ!$A$2:$A$101,0)),"※マスタ未登録"))</f>
        <v/>
      </c>
      <c r="G330" s="11" t="n">
        <v>22.1</v>
      </c>
      <c r="H330" s="11" t="n">
        <v>0</v>
      </c>
      <c r="I330" s="11" t="n">
        <v>9.3</v>
      </c>
      <c r="J330" s="11" t="n">
        <v>0</v>
      </c>
      <c r="K330" s="11" t="n">
        <v>0</v>
      </c>
      <c r="L330" s="11" t="n">
        <v>8.6</v>
      </c>
      <c r="M330" s="11" t="n">
        <f aca="false">SUM(G330:L330)</f>
        <v>40</v>
      </c>
      <c r="N330" s="11" t="n">
        <v>3.9</v>
      </c>
      <c r="O330" s="11" t="n">
        <v>0</v>
      </c>
      <c r="P330" s="11" t="n">
        <v>1.65</v>
      </c>
      <c r="Q330" s="11" t="n">
        <v>0</v>
      </c>
      <c r="R330" s="11" t="n">
        <v>0</v>
      </c>
      <c r="S330" s="11" t="n">
        <v>1.4</v>
      </c>
      <c r="T330" s="11" t="n">
        <f aca="false">SUM(N330:S330)</f>
        <v>6.95</v>
      </c>
      <c r="U330" s="11" t="n">
        <v>9.95</v>
      </c>
      <c r="V330" s="11" t="n">
        <v>44.05</v>
      </c>
      <c r="W330" s="11" t="n">
        <v>15.34</v>
      </c>
      <c r="X330" s="11" t="n">
        <v>0</v>
      </c>
      <c r="Y330" s="11" t="n">
        <v>9.3</v>
      </c>
      <c r="Z330" s="11" t="n">
        <v>0</v>
      </c>
      <c r="AA330" s="11" t="n">
        <f aca="false">SUM(U330:Z330)</f>
        <v>78.64</v>
      </c>
      <c r="AB330" s="11" t="n">
        <v>1.65</v>
      </c>
      <c r="AC330" s="11" t="n">
        <v>9.66</v>
      </c>
      <c r="AD330" s="11" t="n">
        <v>4.58</v>
      </c>
      <c r="AE330" s="11" t="n">
        <v>0</v>
      </c>
      <c r="AF330" s="11" t="n">
        <v>1.65</v>
      </c>
      <c r="AG330" s="11" t="n">
        <v>0</v>
      </c>
      <c r="AH330" s="11" t="n">
        <f aca="false">SUM(AB330:AG330)</f>
        <v>17.54</v>
      </c>
      <c r="AI330" s="12" t="s">
        <v>710</v>
      </c>
    </row>
    <row r="331" customFormat="false" ht="15" hidden="false" customHeight="false" outlineLevel="0" collapsed="false">
      <c r="A331" s="8" t="s">
        <v>735</v>
      </c>
      <c r="B331" s="12" t="s">
        <v>736</v>
      </c>
      <c r="C331" s="8" t="s">
        <v>708</v>
      </c>
      <c r="D331" s="12" t="s">
        <v>709</v>
      </c>
      <c r="E331" s="10" t="str">
        <f aca="true">IFERROR(IF(INDEX(INDIRECT("'"&amp;$AI331&amp;"'!$E$2:$E$121"),MATCH($A331,INDIRECT("'"&amp;$AI331&amp;"'!$A$2:$A$121"),0))="","",INDEX(INDIRECT("'"&amp;$AI331&amp;"'!$E$2:$E$121"),MATCH($A331,INDIRECT("'"&amp;$AI331&amp;"'!$A$2:$A$121"),0))),"")</f>
        <v/>
      </c>
      <c r="F331" s="9" t="str">
        <f aca="false">IF($E331="","",IFERROR(INDEX(担当者マスタ!$B$2:$B$101,MATCH($E331,担当者マスタ!$A$2:$A$101,0)),"※マスタ未登録"))</f>
        <v/>
      </c>
      <c r="G331" s="11" t="n">
        <v>0</v>
      </c>
      <c r="H331" s="11" t="n">
        <v>29.8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f aca="false">SUM(G331:L331)</f>
        <v>29.8</v>
      </c>
      <c r="N331" s="11" t="n">
        <v>0</v>
      </c>
      <c r="O331" s="11" t="n">
        <v>15.59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f aca="false">SUM(N331:S331)</f>
        <v>15.59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21.5</v>
      </c>
      <c r="Z331" s="11" t="n">
        <v>0</v>
      </c>
      <c r="AA331" s="11" t="n">
        <f aca="false">SUM(U331:Z331)</f>
        <v>21.5</v>
      </c>
      <c r="AB331" s="11" t="n">
        <v>0</v>
      </c>
      <c r="AC331" s="11" t="n">
        <v>0</v>
      </c>
      <c r="AD331" s="11" t="n">
        <v>0</v>
      </c>
      <c r="AE331" s="11" t="n">
        <v>0</v>
      </c>
      <c r="AF331" s="11" t="n">
        <v>14.35</v>
      </c>
      <c r="AG331" s="11" t="n">
        <v>0</v>
      </c>
      <c r="AH331" s="11" t="n">
        <f aca="false">SUM(AB331:AG331)</f>
        <v>14.35</v>
      </c>
      <c r="AI331" s="12" t="s">
        <v>710</v>
      </c>
    </row>
    <row r="332" customFormat="false" ht="15" hidden="false" customHeight="false" outlineLevel="0" collapsed="false">
      <c r="A332" s="8" t="s">
        <v>737</v>
      </c>
      <c r="B332" s="12" t="s">
        <v>738</v>
      </c>
      <c r="C332" s="8" t="s">
        <v>708</v>
      </c>
      <c r="D332" s="12" t="s">
        <v>709</v>
      </c>
      <c r="E332" s="10" t="str">
        <f aca="true">IFERROR(IF(INDEX(INDIRECT("'"&amp;$AI332&amp;"'!$E$2:$E$121"),MATCH($A332,INDIRECT("'"&amp;$AI332&amp;"'!$A$2:$A$121"),0))="","",INDEX(INDIRECT("'"&amp;$AI332&amp;"'!$E$2:$E$121"),MATCH($A332,INDIRECT("'"&amp;$AI332&amp;"'!$A$2:$A$121"),0))),"")</f>
        <v/>
      </c>
      <c r="F332" s="9" t="str">
        <f aca="false">IF($E332="","",IFERROR(INDEX(担当者マスタ!$B$2:$B$101,MATCH($E332,担当者マスタ!$A$2:$A$101,0)),"※マスタ未登録"))</f>
        <v/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f aca="false">SUM(G332:L332)</f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f aca="false">SUM(N332:S332)</f>
        <v>0</v>
      </c>
      <c r="U332" s="11" t="n">
        <v>0</v>
      </c>
      <c r="V332" s="11" t="n">
        <v>0</v>
      </c>
      <c r="W332" s="11" t="n">
        <v>4</v>
      </c>
      <c r="X332" s="11" t="n">
        <v>0</v>
      </c>
      <c r="Y332" s="11" t="n">
        <v>0</v>
      </c>
      <c r="Z332" s="11" t="n">
        <v>0</v>
      </c>
      <c r="AA332" s="11" t="n">
        <f aca="false">SUM(U332:Z332)</f>
        <v>4</v>
      </c>
      <c r="AB332" s="11" t="n">
        <v>0</v>
      </c>
      <c r="AC332" s="11" t="n">
        <v>0</v>
      </c>
      <c r="AD332" s="11" t="n">
        <v>1</v>
      </c>
      <c r="AE332" s="11" t="n">
        <v>0</v>
      </c>
      <c r="AF332" s="11" t="n">
        <v>0</v>
      </c>
      <c r="AG332" s="11" t="n">
        <v>0</v>
      </c>
      <c r="AH332" s="11" t="n">
        <f aca="false">SUM(AB332:AG332)</f>
        <v>1</v>
      </c>
      <c r="AI332" s="12" t="s">
        <v>710</v>
      </c>
    </row>
    <row r="333" customFormat="false" ht="15" hidden="false" customHeight="false" outlineLevel="0" collapsed="false">
      <c r="A333" s="8" t="s">
        <v>739</v>
      </c>
      <c r="B333" s="9" t="s">
        <v>740</v>
      </c>
      <c r="C333" s="8" t="s">
        <v>708</v>
      </c>
      <c r="D333" s="12" t="s">
        <v>709</v>
      </c>
      <c r="E333" s="10" t="str">
        <f aca="true">IFERROR(IF(INDEX(INDIRECT("'"&amp;$AI333&amp;"'!$E$2:$E$121"),MATCH($A333,INDIRECT("'"&amp;$AI333&amp;"'!$A$2:$A$121"),0))="","",INDEX(INDIRECT("'"&amp;$AI333&amp;"'!$E$2:$E$121"),MATCH($A333,INDIRECT("'"&amp;$AI333&amp;"'!$A$2:$A$121"),0))),"")</f>
        <v/>
      </c>
      <c r="F333" s="9" t="str">
        <f aca="false">IF($E333="","",IFERROR(INDEX(担当者マスタ!$B$2:$B$101,MATCH($E333,担当者マスタ!$A$2:$A$101,0)),"※マスタ未登録"))</f>
        <v/>
      </c>
      <c r="G333" s="11" t="n">
        <v>0</v>
      </c>
      <c r="H333" s="11" t="n">
        <v>0</v>
      </c>
      <c r="I333" s="11" t="n">
        <v>44.8</v>
      </c>
      <c r="J333" s="11" t="n">
        <v>0</v>
      </c>
      <c r="K333" s="11" t="n">
        <v>0</v>
      </c>
      <c r="L333" s="11" t="n">
        <v>0</v>
      </c>
      <c r="M333" s="11" t="n">
        <f aca="false">SUM(G333:L333)</f>
        <v>44.8</v>
      </c>
      <c r="N333" s="11" t="n">
        <v>0</v>
      </c>
      <c r="O333" s="11" t="n">
        <v>0</v>
      </c>
      <c r="P333" s="11" t="n">
        <v>14.88</v>
      </c>
      <c r="Q333" s="11" t="n">
        <v>0</v>
      </c>
      <c r="R333" s="11" t="n">
        <v>0</v>
      </c>
      <c r="S333" s="11" t="n">
        <v>0</v>
      </c>
      <c r="T333" s="11" t="n">
        <f aca="false">SUM(N333:S333)</f>
        <v>14.88</v>
      </c>
      <c r="U333" s="11" t="n">
        <v>0</v>
      </c>
      <c r="V333" s="11" t="n">
        <v>44.8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f aca="false">SUM(U333:Z333)</f>
        <v>44.8</v>
      </c>
      <c r="AB333" s="11" t="n">
        <v>0</v>
      </c>
      <c r="AC333" s="11" t="n">
        <v>14.88</v>
      </c>
      <c r="AD333" s="11" t="n">
        <v>0</v>
      </c>
      <c r="AE333" s="11" t="n">
        <v>0</v>
      </c>
      <c r="AF333" s="11" t="n">
        <v>0</v>
      </c>
      <c r="AG333" s="11" t="n">
        <v>0</v>
      </c>
      <c r="AH333" s="11" t="n">
        <f aca="false">SUM(AB333:AG333)</f>
        <v>14.88</v>
      </c>
      <c r="AI333" s="12" t="s">
        <v>710</v>
      </c>
    </row>
    <row r="334" customFormat="false" ht="15" hidden="false" customHeight="false" outlineLevel="0" collapsed="false">
      <c r="A334" s="8" t="s">
        <v>741</v>
      </c>
      <c r="B334" s="12" t="s">
        <v>742</v>
      </c>
      <c r="C334" s="8" t="s">
        <v>708</v>
      </c>
      <c r="D334" s="12" t="s">
        <v>709</v>
      </c>
      <c r="E334" s="10" t="str">
        <f aca="true">IFERROR(IF(INDEX(INDIRECT("'"&amp;$AI334&amp;"'!$E$2:$E$121"),MATCH($A334,INDIRECT("'"&amp;$AI334&amp;"'!$A$2:$A$121"),0))="","",INDEX(INDIRECT("'"&amp;$AI334&amp;"'!$E$2:$E$121"),MATCH($A334,INDIRECT("'"&amp;$AI334&amp;"'!$A$2:$A$121"),0))),"")</f>
        <v/>
      </c>
      <c r="F334" s="9" t="str">
        <f aca="false">IF($E334="","",IFERROR(INDEX(担当者マスタ!$B$2:$B$101,MATCH($E334,担当者マスタ!$A$2:$A$101,0)),"※マスタ未登録"))</f>
        <v/>
      </c>
      <c r="G334" s="11" t="n">
        <v>231.418</v>
      </c>
      <c r="H334" s="11" t="n">
        <v>435.585</v>
      </c>
      <c r="I334" s="11" t="n">
        <v>389.642</v>
      </c>
      <c r="J334" s="11" t="n">
        <v>52.57</v>
      </c>
      <c r="K334" s="11" t="n">
        <v>91.684</v>
      </c>
      <c r="L334" s="11" t="n">
        <v>417.82</v>
      </c>
      <c r="M334" s="11" t="n">
        <f aca="false">SUM(G334:L334)</f>
        <v>1618.719</v>
      </c>
      <c r="N334" s="11" t="n">
        <v>50.803</v>
      </c>
      <c r="O334" s="11" t="n">
        <v>81.359</v>
      </c>
      <c r="P334" s="11" t="n">
        <v>79.309</v>
      </c>
      <c r="Q334" s="11" t="n">
        <v>14.452</v>
      </c>
      <c r="R334" s="11" t="n">
        <v>26.998</v>
      </c>
      <c r="S334" s="11" t="n">
        <v>99.971</v>
      </c>
      <c r="T334" s="11" t="n">
        <f aca="false">SUM(N334:S334)</f>
        <v>352.892</v>
      </c>
      <c r="U334" s="11" t="n">
        <v>472.884</v>
      </c>
      <c r="V334" s="11" t="n">
        <v>158.014</v>
      </c>
      <c r="W334" s="11" t="n">
        <v>462.574</v>
      </c>
      <c r="X334" s="11" t="n">
        <v>120.863</v>
      </c>
      <c r="Y334" s="11" t="n">
        <v>140.898</v>
      </c>
      <c r="Z334" s="11" t="n">
        <v>380.724</v>
      </c>
      <c r="AA334" s="11" t="n">
        <f aca="false">SUM(U334:Z334)</f>
        <v>1735.957</v>
      </c>
      <c r="AB334" s="11" t="n">
        <v>111.555</v>
      </c>
      <c r="AC334" s="11" t="n">
        <v>33.166</v>
      </c>
      <c r="AD334" s="11" t="n">
        <v>104.097</v>
      </c>
      <c r="AE334" s="11" t="n">
        <v>34.038</v>
      </c>
      <c r="AF334" s="11" t="n">
        <v>30.023</v>
      </c>
      <c r="AG334" s="11" t="n">
        <v>93.604</v>
      </c>
      <c r="AH334" s="11" t="n">
        <f aca="false">SUM(AB334:AG334)</f>
        <v>406.483</v>
      </c>
      <c r="AI334" s="12" t="s">
        <v>710</v>
      </c>
    </row>
    <row r="335" customFormat="false" ht="15" hidden="false" customHeight="false" outlineLevel="0" collapsed="false">
      <c r="A335" s="8" t="s">
        <v>743</v>
      </c>
      <c r="B335" s="12" t="s">
        <v>744</v>
      </c>
      <c r="C335" s="8" t="s">
        <v>708</v>
      </c>
      <c r="D335" s="12" t="s">
        <v>709</v>
      </c>
      <c r="E335" s="10" t="str">
        <f aca="true">IFERROR(IF(INDEX(INDIRECT("'"&amp;$AI335&amp;"'!$E$2:$E$121"),MATCH($A335,INDIRECT("'"&amp;$AI335&amp;"'!$A$2:$A$121"),0))="","",INDEX(INDIRECT("'"&amp;$AI335&amp;"'!$E$2:$E$121"),MATCH($A335,INDIRECT("'"&amp;$AI335&amp;"'!$A$2:$A$121"),0))),"")</f>
        <v/>
      </c>
      <c r="F335" s="9" t="str">
        <f aca="false">IF($E335="","",IFERROR(INDEX(担当者マスタ!$B$2:$B$101,MATCH($E335,担当者マスタ!$A$2:$A$101,0)),"※マスタ未登録"))</f>
        <v/>
      </c>
      <c r="G335" s="11" t="n">
        <v>2401.115</v>
      </c>
      <c r="H335" s="11" t="n">
        <v>2270.849</v>
      </c>
      <c r="I335" s="11" t="n">
        <v>2139.909</v>
      </c>
      <c r="J335" s="11" t="n">
        <v>1527.388</v>
      </c>
      <c r="K335" s="11" t="n">
        <v>1856.907</v>
      </c>
      <c r="L335" s="11" t="n">
        <v>2150.936</v>
      </c>
      <c r="M335" s="11" t="n">
        <f aca="false">SUM(G335:L335)</f>
        <v>12347.104</v>
      </c>
      <c r="N335" s="11" t="n">
        <v>576.028</v>
      </c>
      <c r="O335" s="11" t="n">
        <v>577.284</v>
      </c>
      <c r="P335" s="11" t="n">
        <v>553.423</v>
      </c>
      <c r="Q335" s="11" t="n">
        <v>384.73</v>
      </c>
      <c r="R335" s="11" t="n">
        <v>484.249</v>
      </c>
      <c r="S335" s="11" t="n">
        <v>533.149</v>
      </c>
      <c r="T335" s="11" t="n">
        <f aca="false">SUM(N335:S335)</f>
        <v>3108.863</v>
      </c>
      <c r="U335" s="11" t="n">
        <v>2031.655</v>
      </c>
      <c r="V335" s="11" t="n">
        <v>3048.948</v>
      </c>
      <c r="W335" s="11" t="n">
        <v>2005.17</v>
      </c>
      <c r="X335" s="11" t="n">
        <v>1815.995</v>
      </c>
      <c r="Y335" s="11" t="n">
        <v>1812.964</v>
      </c>
      <c r="Z335" s="11" t="n">
        <v>1357.72</v>
      </c>
      <c r="AA335" s="11" t="n">
        <f aca="false">SUM(U335:Z335)</f>
        <v>12072.452</v>
      </c>
      <c r="AB335" s="11" t="n">
        <v>550.738</v>
      </c>
      <c r="AC335" s="11" t="n">
        <v>710.701</v>
      </c>
      <c r="AD335" s="11" t="n">
        <v>509.501</v>
      </c>
      <c r="AE335" s="11" t="n">
        <v>444.219</v>
      </c>
      <c r="AF335" s="11" t="n">
        <v>463.114</v>
      </c>
      <c r="AG335" s="11" t="n">
        <v>401.768</v>
      </c>
      <c r="AH335" s="11" t="n">
        <f aca="false">SUM(AB335:AG335)</f>
        <v>3080.041</v>
      </c>
      <c r="AI335" s="12" t="s">
        <v>710</v>
      </c>
    </row>
    <row r="336" customFormat="false" ht="15" hidden="false" customHeight="false" outlineLevel="0" collapsed="false">
      <c r="A336" s="8" t="s">
        <v>745</v>
      </c>
      <c r="B336" s="12" t="s">
        <v>746</v>
      </c>
      <c r="C336" s="8" t="s">
        <v>708</v>
      </c>
      <c r="D336" s="12" t="s">
        <v>709</v>
      </c>
      <c r="E336" s="10" t="str">
        <f aca="true">IFERROR(IF(INDEX(INDIRECT("'"&amp;$AI336&amp;"'!$E$2:$E$121"),MATCH($A336,INDIRECT("'"&amp;$AI336&amp;"'!$A$2:$A$121"),0))="","",INDEX(INDIRECT("'"&amp;$AI336&amp;"'!$E$2:$E$121"),MATCH($A336,INDIRECT("'"&amp;$AI336&amp;"'!$A$2:$A$121"),0))),"")</f>
        <v/>
      </c>
      <c r="F336" s="9" t="str">
        <f aca="false">IF($E336="","",IFERROR(INDEX(担当者マスタ!$B$2:$B$101,MATCH($E336,担当者マスタ!$A$2:$A$101,0)),"※マスタ未登録"))</f>
        <v/>
      </c>
      <c r="G336" s="11" t="n">
        <v>108.34</v>
      </c>
      <c r="H336" s="11" t="n">
        <v>168.86</v>
      </c>
      <c r="I336" s="11" t="n">
        <v>130.8</v>
      </c>
      <c r="J336" s="11" t="n">
        <v>48.4</v>
      </c>
      <c r="K336" s="11" t="n">
        <v>19.5</v>
      </c>
      <c r="L336" s="11" t="n">
        <v>46.16</v>
      </c>
      <c r="M336" s="11" t="n">
        <f aca="false">SUM(G336:L336)</f>
        <v>522.06</v>
      </c>
      <c r="N336" s="11" t="n">
        <v>19.955</v>
      </c>
      <c r="O336" s="11" t="n">
        <v>30.2</v>
      </c>
      <c r="P336" s="11" t="n">
        <v>22.3</v>
      </c>
      <c r="Q336" s="11" t="n">
        <v>11.32</v>
      </c>
      <c r="R336" s="11" t="n">
        <v>4.1</v>
      </c>
      <c r="S336" s="11" t="n">
        <v>6.96</v>
      </c>
      <c r="T336" s="11" t="n">
        <f aca="false">SUM(N336:S336)</f>
        <v>94.835</v>
      </c>
      <c r="U336" s="11" t="n">
        <v>112.14</v>
      </c>
      <c r="V336" s="11" t="n">
        <v>115.2</v>
      </c>
      <c r="W336" s="11" t="n">
        <v>69.14</v>
      </c>
      <c r="X336" s="11" t="n">
        <v>61.5</v>
      </c>
      <c r="Y336" s="11" t="n">
        <v>64.94</v>
      </c>
      <c r="Z336" s="11" t="n">
        <v>15.54</v>
      </c>
      <c r="AA336" s="11" t="n">
        <f aca="false">SUM(U336:Z336)</f>
        <v>438.46</v>
      </c>
      <c r="AB336" s="11" t="n">
        <v>24</v>
      </c>
      <c r="AC336" s="11" t="n">
        <v>24.76</v>
      </c>
      <c r="AD336" s="11" t="n">
        <v>12.48</v>
      </c>
      <c r="AE336" s="11" t="n">
        <v>15.38</v>
      </c>
      <c r="AF336" s="11" t="n">
        <v>12.94</v>
      </c>
      <c r="AG336" s="11" t="n">
        <v>2.94</v>
      </c>
      <c r="AH336" s="11" t="n">
        <f aca="false">SUM(AB336:AG336)</f>
        <v>92.5</v>
      </c>
      <c r="AI336" s="12" t="s">
        <v>710</v>
      </c>
    </row>
    <row r="337" customFormat="false" ht="15" hidden="false" customHeight="false" outlineLevel="0" collapsed="false">
      <c r="A337" s="8" t="s">
        <v>747</v>
      </c>
      <c r="B337" s="12" t="s">
        <v>748</v>
      </c>
      <c r="C337" s="8" t="s">
        <v>708</v>
      </c>
      <c r="D337" s="12" t="s">
        <v>709</v>
      </c>
      <c r="E337" s="10" t="str">
        <f aca="true">IFERROR(IF(INDEX(INDIRECT("'"&amp;$AI337&amp;"'!$E$2:$E$121"),MATCH($A337,INDIRECT("'"&amp;$AI337&amp;"'!$A$2:$A$121"),0))="","",INDEX(INDIRECT("'"&amp;$AI337&amp;"'!$E$2:$E$121"),MATCH($A337,INDIRECT("'"&amp;$AI337&amp;"'!$A$2:$A$121"),0))),"")</f>
        <v/>
      </c>
      <c r="F337" s="9" t="str">
        <f aca="false">IF($E337="","",IFERROR(INDEX(担当者マスタ!$B$2:$B$101,MATCH($E337,担当者マスタ!$A$2:$A$101,0)),"※マスタ未登録"))</f>
        <v/>
      </c>
      <c r="G337" s="11" t="n">
        <v>730.596</v>
      </c>
      <c r="H337" s="11" t="n">
        <v>863.646</v>
      </c>
      <c r="I337" s="11" t="n">
        <v>1458.725</v>
      </c>
      <c r="J337" s="11" t="n">
        <v>400.412</v>
      </c>
      <c r="K337" s="11" t="n">
        <v>697.224</v>
      </c>
      <c r="L337" s="11" t="n">
        <v>772.658</v>
      </c>
      <c r="M337" s="11" t="n">
        <f aca="false">SUM(G337:L337)</f>
        <v>4923.261</v>
      </c>
      <c r="N337" s="11" t="n">
        <v>133.763</v>
      </c>
      <c r="O337" s="11" t="n">
        <v>157.075</v>
      </c>
      <c r="P337" s="11" t="n">
        <v>308.718</v>
      </c>
      <c r="Q337" s="11" t="n">
        <v>75.382</v>
      </c>
      <c r="R337" s="11" t="n">
        <v>146.909</v>
      </c>
      <c r="S337" s="11" t="n">
        <v>207.256</v>
      </c>
      <c r="T337" s="11" t="n">
        <f aca="false">SUM(N337:S337)</f>
        <v>1029.103</v>
      </c>
      <c r="U337" s="11" t="n">
        <v>691.702</v>
      </c>
      <c r="V337" s="11" t="n">
        <v>650.831</v>
      </c>
      <c r="W337" s="11" t="n">
        <v>1018.52</v>
      </c>
      <c r="X337" s="11" t="n">
        <v>1004.79</v>
      </c>
      <c r="Y337" s="11" t="n">
        <v>555.548</v>
      </c>
      <c r="Z337" s="11" t="n">
        <v>467.524</v>
      </c>
      <c r="AA337" s="11" t="n">
        <f aca="false">SUM(U337:Z337)</f>
        <v>4388.915</v>
      </c>
      <c r="AB337" s="11" t="n">
        <v>143.496</v>
      </c>
      <c r="AC337" s="11" t="n">
        <v>147.395</v>
      </c>
      <c r="AD337" s="11" t="n">
        <v>255.306</v>
      </c>
      <c r="AE337" s="11" t="n">
        <v>227.203</v>
      </c>
      <c r="AF337" s="11" t="n">
        <v>119.914</v>
      </c>
      <c r="AG337" s="11" t="n">
        <v>109.154</v>
      </c>
      <c r="AH337" s="11" t="n">
        <f aca="false">SUM(AB337:AG337)</f>
        <v>1002.468</v>
      </c>
      <c r="AI337" s="12" t="s">
        <v>710</v>
      </c>
    </row>
    <row r="338" customFormat="false" ht="15" hidden="false" customHeight="false" outlineLevel="0" collapsed="false">
      <c r="A338" s="8" t="s">
        <v>749</v>
      </c>
      <c r="B338" s="12" t="s">
        <v>750</v>
      </c>
      <c r="C338" s="8" t="s">
        <v>708</v>
      </c>
      <c r="D338" s="12" t="s">
        <v>709</v>
      </c>
      <c r="E338" s="10" t="str">
        <f aca="true">IFERROR(IF(INDEX(INDIRECT("'"&amp;$AI338&amp;"'!$E$2:$E$121"),MATCH($A338,INDIRECT("'"&amp;$AI338&amp;"'!$A$2:$A$121"),0))="","",INDEX(INDIRECT("'"&amp;$AI338&amp;"'!$E$2:$E$121"),MATCH($A338,INDIRECT("'"&amp;$AI338&amp;"'!$A$2:$A$121"),0))),"")</f>
        <v/>
      </c>
      <c r="F338" s="9" t="str">
        <f aca="false">IF($E338="","",IFERROR(INDEX(担当者マスタ!$B$2:$B$101,MATCH($E338,担当者マスタ!$A$2:$A$101,0)),"※マスタ未登録"))</f>
        <v/>
      </c>
      <c r="G338" s="11" t="n">
        <v>51.7</v>
      </c>
      <c r="H338" s="11" t="n">
        <v>18</v>
      </c>
      <c r="I338" s="11" t="n">
        <v>48.22</v>
      </c>
      <c r="J338" s="11" t="n">
        <v>0</v>
      </c>
      <c r="K338" s="11" t="n">
        <v>18</v>
      </c>
      <c r="L338" s="11" t="n">
        <v>14.52</v>
      </c>
      <c r="M338" s="11" t="n">
        <f aca="false">SUM(G338:L338)</f>
        <v>150.44</v>
      </c>
      <c r="N338" s="11" t="n">
        <v>11.755</v>
      </c>
      <c r="O338" s="11" t="n">
        <v>4.1</v>
      </c>
      <c r="P338" s="11" t="n">
        <v>12.745</v>
      </c>
      <c r="Q338" s="11" t="n">
        <v>0</v>
      </c>
      <c r="R338" s="11" t="n">
        <v>4.1</v>
      </c>
      <c r="S338" s="11" t="n">
        <v>4.74</v>
      </c>
      <c r="T338" s="11" t="n">
        <f aca="false">SUM(N338:S338)</f>
        <v>37.44</v>
      </c>
      <c r="U338" s="11" t="n">
        <v>0</v>
      </c>
      <c r="V338" s="11" t="n">
        <v>26.9</v>
      </c>
      <c r="W338" s="11" t="n">
        <v>24.8</v>
      </c>
      <c r="X338" s="11" t="n">
        <v>14.52</v>
      </c>
      <c r="Y338" s="11" t="n">
        <v>0</v>
      </c>
      <c r="Z338" s="11" t="n">
        <v>24.8</v>
      </c>
      <c r="AA338" s="11" t="n">
        <f aca="false">SUM(U338:Z338)</f>
        <v>91.02</v>
      </c>
      <c r="AB338" s="11" t="n">
        <v>0</v>
      </c>
      <c r="AC338" s="11" t="n">
        <v>6.155</v>
      </c>
      <c r="AD338" s="11" t="n">
        <v>5.95</v>
      </c>
      <c r="AE338" s="11" t="n">
        <v>4.74</v>
      </c>
      <c r="AF338" s="11" t="n">
        <v>0</v>
      </c>
      <c r="AG338" s="11" t="n">
        <v>5.95</v>
      </c>
      <c r="AH338" s="11" t="n">
        <f aca="false">SUM(AB338:AG338)</f>
        <v>22.795</v>
      </c>
      <c r="AI338" s="12" t="s">
        <v>710</v>
      </c>
    </row>
    <row r="339" customFormat="false" ht="15" hidden="false" customHeight="false" outlineLevel="0" collapsed="false">
      <c r="A339" s="8" t="s">
        <v>751</v>
      </c>
      <c r="B339" s="9" t="s">
        <v>752</v>
      </c>
      <c r="C339" s="8" t="s">
        <v>708</v>
      </c>
      <c r="D339" s="12" t="s">
        <v>709</v>
      </c>
      <c r="E339" s="10" t="str">
        <f aca="true">IFERROR(IF(INDEX(INDIRECT("'"&amp;$AI339&amp;"'!$E$2:$E$121"),MATCH($A339,INDIRECT("'"&amp;$AI339&amp;"'!$A$2:$A$121"),0))="","",INDEX(INDIRECT("'"&amp;$AI339&amp;"'!$E$2:$E$121"),MATCH($A339,INDIRECT("'"&amp;$AI339&amp;"'!$A$2:$A$121"),0))),"")</f>
        <v/>
      </c>
      <c r="F339" s="9" t="str">
        <f aca="false">IF($E339="","",IFERROR(INDEX(担当者マスタ!$B$2:$B$101,MATCH($E339,担当者マスタ!$A$2:$A$101,0)),"※マスタ未登録"))</f>
        <v/>
      </c>
      <c r="G339" s="11" t="n">
        <v>0</v>
      </c>
      <c r="H339" s="11" t="n">
        <v>164.82</v>
      </c>
      <c r="I339" s="11" t="n">
        <v>0</v>
      </c>
      <c r="J339" s="11" t="n">
        <v>568.1</v>
      </c>
      <c r="K339" s="11" t="n">
        <v>0</v>
      </c>
      <c r="L339" s="11" t="n">
        <v>10.92</v>
      </c>
      <c r="M339" s="11" t="n">
        <f aca="false">SUM(G339:L339)</f>
        <v>743.84</v>
      </c>
      <c r="N339" s="11" t="n">
        <v>0</v>
      </c>
      <c r="O339" s="11" t="n">
        <v>37.06</v>
      </c>
      <c r="P339" s="11" t="n">
        <v>0</v>
      </c>
      <c r="Q339" s="11" t="n">
        <v>143.58</v>
      </c>
      <c r="R339" s="11" t="n">
        <v>0</v>
      </c>
      <c r="S339" s="11" t="n">
        <v>3.36</v>
      </c>
      <c r="T339" s="11" t="n">
        <f aca="false">SUM(N339:S339)</f>
        <v>184</v>
      </c>
      <c r="U339" s="11" t="n">
        <v>92.906</v>
      </c>
      <c r="V339" s="11" t="n">
        <v>104.42</v>
      </c>
      <c r="W339" s="11" t="n">
        <v>0</v>
      </c>
      <c r="X339" s="11" t="n">
        <v>242.5</v>
      </c>
      <c r="Y339" s="11" t="n">
        <v>10.92</v>
      </c>
      <c r="Z339" s="11" t="n">
        <v>58.2</v>
      </c>
      <c r="AA339" s="11" t="n">
        <f aca="false">SUM(U339:Z339)</f>
        <v>508.946</v>
      </c>
      <c r="AB339" s="11" t="n">
        <v>14.729</v>
      </c>
      <c r="AC339" s="11" t="n">
        <v>24.86</v>
      </c>
      <c r="AD339" s="11" t="n">
        <v>0</v>
      </c>
      <c r="AE339" s="11" t="n">
        <v>61.5</v>
      </c>
      <c r="AF339" s="11" t="n">
        <v>3.36</v>
      </c>
      <c r="AG339" s="11" t="n">
        <v>11.8</v>
      </c>
      <c r="AH339" s="11" t="n">
        <f aca="false">SUM(AB339:AG339)</f>
        <v>116.249</v>
      </c>
      <c r="AI339" s="12" t="s">
        <v>710</v>
      </c>
    </row>
    <row r="340" customFormat="false" ht="15" hidden="false" customHeight="false" outlineLevel="0" collapsed="false">
      <c r="A340" s="8" t="s">
        <v>753</v>
      </c>
      <c r="B340" s="9" t="s">
        <v>754</v>
      </c>
      <c r="C340" s="8" t="s">
        <v>708</v>
      </c>
      <c r="D340" s="12" t="s">
        <v>709</v>
      </c>
      <c r="E340" s="10" t="str">
        <f aca="true">IFERROR(IF(INDEX(INDIRECT("'"&amp;$AI340&amp;"'!$E$2:$E$121"),MATCH($A340,INDIRECT("'"&amp;$AI340&amp;"'!$A$2:$A$121"),0))="","",INDEX(INDIRECT("'"&amp;$AI340&amp;"'!$E$2:$E$121"),MATCH($A340,INDIRECT("'"&amp;$AI340&amp;"'!$A$2:$A$121"),0))),"")</f>
        <v/>
      </c>
      <c r="F340" s="9" t="str">
        <f aca="false">IF($E340="","",IFERROR(INDEX(担当者マスタ!$B$2:$B$101,MATCH($E340,担当者マスタ!$A$2:$A$101,0)),"※マスタ未登録"))</f>
        <v/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f aca="false">SUM(G340:L340)</f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f aca="false">SUM(N340:S340)</f>
        <v>0</v>
      </c>
      <c r="U340" s="11" t="n">
        <v>0</v>
      </c>
      <c r="V340" s="11" t="n">
        <v>0</v>
      </c>
      <c r="W340" s="11" t="n">
        <v>32.9</v>
      </c>
      <c r="X340" s="11" t="n">
        <v>0</v>
      </c>
      <c r="Y340" s="11" t="n">
        <v>0</v>
      </c>
      <c r="Z340" s="11" t="n">
        <v>81.2</v>
      </c>
      <c r="AA340" s="11" t="n">
        <f aca="false">SUM(U340:Z340)</f>
        <v>114.1</v>
      </c>
      <c r="AB340" s="11" t="n">
        <v>0</v>
      </c>
      <c r="AC340" s="11" t="n">
        <v>0</v>
      </c>
      <c r="AD340" s="11" t="n">
        <v>8.2</v>
      </c>
      <c r="AE340" s="11" t="n">
        <v>0</v>
      </c>
      <c r="AF340" s="11" t="n">
        <v>0</v>
      </c>
      <c r="AG340" s="11" t="n">
        <v>20.1</v>
      </c>
      <c r="AH340" s="11" t="n">
        <f aca="false">SUM(AB340:AG340)</f>
        <v>28.3</v>
      </c>
      <c r="AI340" s="12" t="s">
        <v>710</v>
      </c>
    </row>
    <row r="341" customFormat="false" ht="15" hidden="false" customHeight="false" outlineLevel="0" collapsed="false">
      <c r="A341" s="8" t="s">
        <v>755</v>
      </c>
      <c r="B341" s="12" t="s">
        <v>756</v>
      </c>
      <c r="C341" s="8" t="s">
        <v>708</v>
      </c>
      <c r="D341" s="12" t="s">
        <v>709</v>
      </c>
      <c r="E341" s="10" t="str">
        <f aca="true">IFERROR(IF(INDEX(INDIRECT("'"&amp;$AI341&amp;"'!$E$2:$E$121"),MATCH($A341,INDIRECT("'"&amp;$AI341&amp;"'!$A$2:$A$121"),0))="","",INDEX(INDIRECT("'"&amp;$AI341&amp;"'!$E$2:$E$121"),MATCH($A341,INDIRECT("'"&amp;$AI341&amp;"'!$A$2:$A$121"),0))),"")</f>
        <v/>
      </c>
      <c r="F341" s="9" t="str">
        <f aca="false">IF($E341="","",IFERROR(INDEX(担当者マスタ!$B$2:$B$101,MATCH($E341,担当者マスタ!$A$2:$A$101,0)),"※マスタ未登録"))</f>
        <v/>
      </c>
      <c r="G341" s="11" t="n">
        <v>17.6</v>
      </c>
      <c r="H341" s="11" t="n">
        <v>0</v>
      </c>
      <c r="I341" s="11" t="n">
        <v>0</v>
      </c>
      <c r="J341" s="11" t="n">
        <v>17.6</v>
      </c>
      <c r="K341" s="11" t="n">
        <v>0</v>
      </c>
      <c r="L341" s="11" t="n">
        <v>17.82</v>
      </c>
      <c r="M341" s="11" t="n">
        <f aca="false">SUM(G341:L341)</f>
        <v>53.02</v>
      </c>
      <c r="N341" s="11" t="n">
        <v>6.06</v>
      </c>
      <c r="O341" s="11" t="n">
        <v>0</v>
      </c>
      <c r="P341" s="11" t="n">
        <v>0</v>
      </c>
      <c r="Q341" s="11" t="n">
        <v>6.06</v>
      </c>
      <c r="R341" s="11" t="n">
        <v>0</v>
      </c>
      <c r="S341" s="11" t="n">
        <v>5.328</v>
      </c>
      <c r="T341" s="11" t="n">
        <f aca="false">SUM(N341:S341)</f>
        <v>17.448</v>
      </c>
      <c r="U341" s="11" t="n">
        <v>0</v>
      </c>
      <c r="V341" s="11" t="n">
        <v>0</v>
      </c>
      <c r="W341" s="11" t="n">
        <v>35.42</v>
      </c>
      <c r="X341" s="11" t="n">
        <v>0</v>
      </c>
      <c r="Y341" s="11" t="n">
        <v>0</v>
      </c>
      <c r="Z341" s="11" t="n">
        <v>0</v>
      </c>
      <c r="AA341" s="11" t="n">
        <f aca="false">SUM(U341:Z341)</f>
        <v>35.42</v>
      </c>
      <c r="AB341" s="11" t="n">
        <v>0</v>
      </c>
      <c r="AC341" s="11" t="n">
        <v>0</v>
      </c>
      <c r="AD341" s="11" t="n">
        <v>11.388</v>
      </c>
      <c r="AE341" s="11" t="n">
        <v>0</v>
      </c>
      <c r="AF341" s="11" t="n">
        <v>0</v>
      </c>
      <c r="AG341" s="11" t="n">
        <v>0</v>
      </c>
      <c r="AH341" s="11" t="n">
        <f aca="false">SUM(AB341:AG341)</f>
        <v>11.388</v>
      </c>
      <c r="AI341" s="12" t="s">
        <v>710</v>
      </c>
    </row>
    <row r="342" customFormat="false" ht="15" hidden="false" customHeight="false" outlineLevel="0" collapsed="false">
      <c r="A342" s="8" t="s">
        <v>757</v>
      </c>
      <c r="B342" s="12" t="s">
        <v>758</v>
      </c>
      <c r="C342" s="8" t="s">
        <v>708</v>
      </c>
      <c r="D342" s="12" t="s">
        <v>709</v>
      </c>
      <c r="E342" s="10" t="str">
        <f aca="true">IFERROR(IF(INDEX(INDIRECT("'"&amp;$AI342&amp;"'!$E$2:$E$121"),MATCH($A342,INDIRECT("'"&amp;$AI342&amp;"'!$A$2:$A$121"),0))="","",INDEX(INDIRECT("'"&amp;$AI342&amp;"'!$E$2:$E$121"),MATCH($A342,INDIRECT("'"&amp;$AI342&amp;"'!$A$2:$A$121"),0))),"")</f>
        <v/>
      </c>
      <c r="F342" s="9" t="str">
        <f aca="false">IF($E342="","",IFERROR(INDEX(担当者マスタ!$B$2:$B$101,MATCH($E342,担当者マスタ!$A$2:$A$101,0)),"※マスタ未登録"))</f>
        <v/>
      </c>
      <c r="G342" s="11" t="n">
        <v>0</v>
      </c>
      <c r="H342" s="11" t="n">
        <v>23.868</v>
      </c>
      <c r="I342" s="11" t="n">
        <v>0</v>
      </c>
      <c r="J342" s="11" t="n">
        <v>0</v>
      </c>
      <c r="K342" s="11" t="n">
        <v>0</v>
      </c>
      <c r="L342" s="11" t="n">
        <v>93.804</v>
      </c>
      <c r="M342" s="11" t="n">
        <f aca="false">SUM(G342:L342)</f>
        <v>117.672</v>
      </c>
      <c r="N342" s="11" t="n">
        <v>0</v>
      </c>
      <c r="O342" s="11" t="n">
        <v>7.284</v>
      </c>
      <c r="P342" s="11" t="n">
        <v>0</v>
      </c>
      <c r="Q342" s="11" t="n">
        <v>0</v>
      </c>
      <c r="R342" s="11" t="n">
        <v>0</v>
      </c>
      <c r="S342" s="11" t="n">
        <v>15.522</v>
      </c>
      <c r="T342" s="11" t="n">
        <f aca="false">SUM(N342:S342)</f>
        <v>22.806</v>
      </c>
      <c r="U342" s="11" t="n">
        <v>96.668</v>
      </c>
      <c r="V342" s="11" t="n">
        <v>20</v>
      </c>
      <c r="W342" s="11" t="n">
        <v>147.56</v>
      </c>
      <c r="X342" s="11" t="n">
        <v>49.76</v>
      </c>
      <c r="Y342" s="11" t="n">
        <v>97.18</v>
      </c>
      <c r="Z342" s="11" t="n">
        <v>224.392</v>
      </c>
      <c r="AA342" s="11" t="n">
        <f aca="false">SUM(U342:Z342)</f>
        <v>635.56</v>
      </c>
      <c r="AB342" s="11" t="n">
        <v>21.484</v>
      </c>
      <c r="AC342" s="11" t="n">
        <v>4.5</v>
      </c>
      <c r="AD342" s="11" t="n">
        <v>28.85</v>
      </c>
      <c r="AE342" s="11" t="n">
        <v>10.26</v>
      </c>
      <c r="AF342" s="11" t="n">
        <v>19.65</v>
      </c>
      <c r="AG342" s="11" t="n">
        <v>43.73</v>
      </c>
      <c r="AH342" s="11" t="n">
        <f aca="false">SUM(AB342:AG342)</f>
        <v>128.474</v>
      </c>
      <c r="AI342" s="12" t="s">
        <v>710</v>
      </c>
    </row>
    <row r="343" customFormat="false" ht="15" hidden="false" customHeight="false" outlineLevel="0" collapsed="false">
      <c r="A343" s="8" t="s">
        <v>759</v>
      </c>
      <c r="B343" s="12" t="s">
        <v>760</v>
      </c>
      <c r="C343" s="8" t="s">
        <v>708</v>
      </c>
      <c r="D343" s="12" t="s">
        <v>709</v>
      </c>
      <c r="E343" s="10" t="str">
        <f aca="true">IFERROR(IF(INDEX(INDIRECT("'"&amp;$AI343&amp;"'!$E$2:$E$121"),MATCH($A343,INDIRECT("'"&amp;$AI343&amp;"'!$A$2:$A$121"),0))="","",INDEX(INDIRECT("'"&amp;$AI343&amp;"'!$E$2:$E$121"),MATCH($A343,INDIRECT("'"&amp;$AI343&amp;"'!$A$2:$A$121"),0))),"")</f>
        <v/>
      </c>
      <c r="F343" s="9" t="str">
        <f aca="false">IF($E343="","",IFERROR(INDEX(担当者マスタ!$B$2:$B$101,MATCH($E343,担当者マスタ!$A$2:$A$101,0)),"※マスタ未登録"))</f>
        <v/>
      </c>
      <c r="G343" s="11" t="n">
        <v>0</v>
      </c>
      <c r="H343" s="11" t="n">
        <v>0</v>
      </c>
      <c r="I343" s="11" t="n">
        <v>0</v>
      </c>
      <c r="J343" s="11" t="n">
        <v>53.68</v>
      </c>
      <c r="K343" s="11" t="n">
        <v>15.9</v>
      </c>
      <c r="L343" s="11" t="n">
        <v>4.8</v>
      </c>
      <c r="M343" s="11" t="n">
        <f aca="false">SUM(G343:L343)</f>
        <v>74.38</v>
      </c>
      <c r="N343" s="11" t="n">
        <v>0</v>
      </c>
      <c r="O343" s="11" t="n">
        <v>0</v>
      </c>
      <c r="P343" s="11" t="n">
        <v>0</v>
      </c>
      <c r="Q343" s="11" t="n">
        <v>14.28</v>
      </c>
      <c r="R343" s="11" t="n">
        <v>5.128</v>
      </c>
      <c r="S343" s="11" t="n">
        <v>1.424</v>
      </c>
      <c r="T343" s="11" t="n">
        <f aca="false">SUM(N343:S343)</f>
        <v>20.832</v>
      </c>
      <c r="U343" s="11" t="n">
        <v>0</v>
      </c>
      <c r="V343" s="11" t="n">
        <v>0</v>
      </c>
      <c r="W343" s="11" t="n">
        <v>0</v>
      </c>
      <c r="X343" s="11" t="n">
        <v>78.88</v>
      </c>
      <c r="Y343" s="11" t="n">
        <v>9.6</v>
      </c>
      <c r="Z343" s="11" t="n">
        <v>9.6</v>
      </c>
      <c r="AA343" s="11" t="n">
        <f aca="false">SUM(U343:Z343)</f>
        <v>98.08</v>
      </c>
      <c r="AB343" s="11" t="n">
        <v>0</v>
      </c>
      <c r="AC343" s="11" t="n">
        <v>0</v>
      </c>
      <c r="AD343" s="11" t="n">
        <v>0</v>
      </c>
      <c r="AE343" s="11" t="n">
        <v>20.4</v>
      </c>
      <c r="AF343" s="11" t="n">
        <v>2.848</v>
      </c>
      <c r="AG343" s="11" t="n">
        <v>2.848</v>
      </c>
      <c r="AH343" s="11" t="n">
        <f aca="false">SUM(AB343:AG343)</f>
        <v>26.096</v>
      </c>
      <c r="AI343" s="12" t="s">
        <v>710</v>
      </c>
    </row>
    <row r="344" customFormat="false" ht="15" hidden="false" customHeight="false" outlineLevel="0" collapsed="false">
      <c r="A344" s="8" t="s">
        <v>761</v>
      </c>
      <c r="B344" s="12" t="s">
        <v>762</v>
      </c>
      <c r="C344" s="8" t="s">
        <v>708</v>
      </c>
      <c r="D344" s="12" t="s">
        <v>709</v>
      </c>
      <c r="E344" s="10" t="str">
        <f aca="true">IFERROR(IF(INDEX(INDIRECT("'"&amp;$AI344&amp;"'!$E$2:$E$121"),MATCH($A344,INDIRECT("'"&amp;$AI344&amp;"'!$A$2:$A$121"),0))="","",INDEX(INDIRECT("'"&amp;$AI344&amp;"'!$E$2:$E$121"),MATCH($A344,INDIRECT("'"&amp;$AI344&amp;"'!$A$2:$A$121"),0))),"")</f>
        <v/>
      </c>
      <c r="F344" s="9" t="str">
        <f aca="false">IF($E344="","",IFERROR(INDEX(担当者マスタ!$B$2:$B$101,MATCH($E344,担当者マスタ!$A$2:$A$101,0)),"※マスタ未登録"))</f>
        <v/>
      </c>
      <c r="G344" s="11" t="n">
        <v>0</v>
      </c>
      <c r="H344" s="11" t="n">
        <v>3.038</v>
      </c>
      <c r="I344" s="11" t="n">
        <v>0</v>
      </c>
      <c r="J344" s="11" t="n">
        <v>3.038</v>
      </c>
      <c r="K344" s="11" t="n">
        <v>3.038</v>
      </c>
      <c r="L344" s="11" t="n">
        <v>0</v>
      </c>
      <c r="M344" s="11" t="n">
        <f aca="false">SUM(G344:L344)</f>
        <v>9.114</v>
      </c>
      <c r="N344" s="11" t="n">
        <v>0</v>
      </c>
      <c r="O344" s="11" t="n">
        <v>0.8</v>
      </c>
      <c r="P344" s="11" t="n">
        <v>0</v>
      </c>
      <c r="Q344" s="11" t="n">
        <v>0.8</v>
      </c>
      <c r="R344" s="11" t="n">
        <v>0.8</v>
      </c>
      <c r="S344" s="11" t="n">
        <v>0</v>
      </c>
      <c r="T344" s="11" t="n">
        <f aca="false">SUM(N344:S344)</f>
        <v>2.4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3.038</v>
      </c>
      <c r="AA344" s="11" t="n">
        <f aca="false">SUM(U344:Z344)</f>
        <v>3.038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0.8</v>
      </c>
      <c r="AH344" s="11" t="n">
        <f aca="false">SUM(AB344:AG344)</f>
        <v>0.8</v>
      </c>
      <c r="AI344" s="12" t="s">
        <v>710</v>
      </c>
    </row>
    <row r="345" customFormat="false" ht="15" hidden="false" customHeight="false" outlineLevel="0" collapsed="false">
      <c r="A345" s="8" t="s">
        <v>763</v>
      </c>
      <c r="B345" s="12" t="s">
        <v>764</v>
      </c>
      <c r="C345" s="8" t="s">
        <v>708</v>
      </c>
      <c r="D345" s="12" t="s">
        <v>709</v>
      </c>
      <c r="E345" s="10" t="str">
        <f aca="true">IFERROR(IF(INDEX(INDIRECT("'"&amp;$AI345&amp;"'!$E$2:$E$121"),MATCH($A345,INDIRECT("'"&amp;$AI345&amp;"'!$A$2:$A$121"),0))="","",INDEX(INDIRECT("'"&amp;$AI345&amp;"'!$E$2:$E$121"),MATCH($A345,INDIRECT("'"&amp;$AI345&amp;"'!$A$2:$A$121"),0))),"")</f>
        <v/>
      </c>
      <c r="F345" s="9" t="str">
        <f aca="false">IF($E345="","",IFERROR(INDEX(担当者マスタ!$B$2:$B$101,MATCH($E345,担当者マスタ!$A$2:$A$101,0)),"※マスタ未登録"))</f>
        <v/>
      </c>
      <c r="G345" s="11" t="n">
        <v>139.78</v>
      </c>
      <c r="H345" s="11" t="n">
        <v>139.78</v>
      </c>
      <c r="I345" s="11" t="n">
        <v>0</v>
      </c>
      <c r="J345" s="11" t="n">
        <v>0</v>
      </c>
      <c r="K345" s="11" t="n">
        <v>100</v>
      </c>
      <c r="L345" s="11" t="n">
        <v>0</v>
      </c>
      <c r="M345" s="11" t="n">
        <f aca="false">SUM(G345:L345)</f>
        <v>379.56</v>
      </c>
      <c r="N345" s="11" t="n">
        <v>50.79</v>
      </c>
      <c r="O345" s="11" t="n">
        <v>50.79</v>
      </c>
      <c r="P345" s="11" t="n">
        <v>0</v>
      </c>
      <c r="Q345" s="11" t="n">
        <v>0</v>
      </c>
      <c r="R345" s="11" t="n">
        <v>36</v>
      </c>
      <c r="S345" s="11" t="n">
        <v>0</v>
      </c>
      <c r="T345" s="11" t="n">
        <f aca="false">SUM(N345:S345)</f>
        <v>137.58</v>
      </c>
      <c r="U345" s="11" t="n">
        <v>139.78</v>
      </c>
      <c r="V345" s="11" t="n">
        <v>139.78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f aca="false">SUM(U345:Z345)</f>
        <v>279.56</v>
      </c>
      <c r="AB345" s="11" t="n">
        <v>50.79</v>
      </c>
      <c r="AC345" s="11" t="n">
        <v>50.79</v>
      </c>
      <c r="AD345" s="11" t="n">
        <v>0</v>
      </c>
      <c r="AE345" s="11" t="n">
        <v>0</v>
      </c>
      <c r="AF345" s="11" t="n">
        <v>0</v>
      </c>
      <c r="AG345" s="11" t="n">
        <v>0</v>
      </c>
      <c r="AH345" s="11" t="n">
        <f aca="false">SUM(AB345:AG345)</f>
        <v>101.58</v>
      </c>
      <c r="AI345" s="12" t="s">
        <v>710</v>
      </c>
    </row>
    <row r="346" customFormat="false" ht="15" hidden="false" customHeight="false" outlineLevel="0" collapsed="false">
      <c r="A346" s="8" t="s">
        <v>765</v>
      </c>
      <c r="B346" s="12" t="s">
        <v>766</v>
      </c>
      <c r="C346" s="8" t="s">
        <v>708</v>
      </c>
      <c r="D346" s="12" t="s">
        <v>709</v>
      </c>
      <c r="E346" s="10" t="str">
        <f aca="true">IFERROR(IF(INDEX(INDIRECT("'"&amp;$AI346&amp;"'!$E$2:$E$121"),MATCH($A346,INDIRECT("'"&amp;$AI346&amp;"'!$A$2:$A$121"),0))="","",INDEX(INDIRECT("'"&amp;$AI346&amp;"'!$E$2:$E$121"),MATCH($A346,INDIRECT("'"&amp;$AI346&amp;"'!$A$2:$A$121"),0))),"")</f>
        <v/>
      </c>
      <c r="F346" s="9" t="str">
        <f aca="false">IF($E346="","",IFERROR(INDEX(担当者マスタ!$B$2:$B$101,MATCH($E346,担当者マスタ!$A$2:$A$101,0)),"※マスタ未登録"))</f>
        <v/>
      </c>
      <c r="G346" s="11" t="n">
        <v>48.866</v>
      </c>
      <c r="H346" s="11" t="n">
        <v>114.069</v>
      </c>
      <c r="I346" s="11" t="n">
        <v>292.909</v>
      </c>
      <c r="J346" s="11" t="n">
        <v>197.243</v>
      </c>
      <c r="K346" s="11" t="n">
        <v>130.32</v>
      </c>
      <c r="L346" s="11" t="n">
        <v>142.761</v>
      </c>
      <c r="M346" s="11" t="n">
        <f aca="false">SUM(G346:L346)</f>
        <v>926.168</v>
      </c>
      <c r="N346" s="11" t="n">
        <v>10.5</v>
      </c>
      <c r="O346" s="11" t="n">
        <v>24.536</v>
      </c>
      <c r="P346" s="11" t="n">
        <v>71.746</v>
      </c>
      <c r="Q346" s="11" t="n">
        <v>42.576</v>
      </c>
      <c r="R346" s="11" t="n">
        <v>28.587</v>
      </c>
      <c r="S346" s="11" t="n">
        <v>29.913</v>
      </c>
      <c r="T346" s="11" t="n">
        <f aca="false">SUM(N346:S346)</f>
        <v>207.858</v>
      </c>
      <c r="U346" s="11" t="n">
        <v>125.999</v>
      </c>
      <c r="V346" s="11" t="n">
        <v>89.765</v>
      </c>
      <c r="W346" s="11" t="n">
        <v>228.251</v>
      </c>
      <c r="X346" s="11" t="n">
        <v>54.91</v>
      </c>
      <c r="Y346" s="11" t="n">
        <v>18.81</v>
      </c>
      <c r="Z346" s="11" t="n">
        <v>163.318</v>
      </c>
      <c r="AA346" s="11" t="n">
        <f aca="false">SUM(U346:Z346)</f>
        <v>681.053</v>
      </c>
      <c r="AB346" s="11" t="n">
        <v>30.701</v>
      </c>
      <c r="AC346" s="11" t="n">
        <v>27.258</v>
      </c>
      <c r="AD346" s="11" t="n">
        <v>59.48</v>
      </c>
      <c r="AE346" s="11" t="n">
        <v>12.629</v>
      </c>
      <c r="AF346" s="11" t="n">
        <v>4.702</v>
      </c>
      <c r="AG346" s="11" t="n">
        <v>36.17</v>
      </c>
      <c r="AH346" s="11" t="n">
        <f aca="false">SUM(AB346:AG346)</f>
        <v>170.94</v>
      </c>
      <c r="AI346" s="12" t="s">
        <v>710</v>
      </c>
    </row>
    <row r="347" customFormat="false" ht="15" hidden="false" customHeight="false" outlineLevel="0" collapsed="false">
      <c r="A347" s="8" t="s">
        <v>767</v>
      </c>
      <c r="B347" s="9" t="s">
        <v>768</v>
      </c>
      <c r="C347" s="8" t="s">
        <v>708</v>
      </c>
      <c r="D347" s="12" t="s">
        <v>709</v>
      </c>
      <c r="E347" s="10" t="str">
        <f aca="true">IFERROR(IF(INDEX(INDIRECT("'"&amp;$AI347&amp;"'!$E$2:$E$121"),MATCH($A347,INDIRECT("'"&amp;$AI347&amp;"'!$A$2:$A$121"),0))="","",INDEX(INDIRECT("'"&amp;$AI347&amp;"'!$E$2:$E$121"),MATCH($A347,INDIRECT("'"&amp;$AI347&amp;"'!$A$2:$A$121"),0))),"")</f>
        <v/>
      </c>
      <c r="F347" s="9" t="str">
        <f aca="false">IF($E347="","",IFERROR(INDEX(担当者マスタ!$B$2:$B$101,MATCH($E347,担当者マスタ!$A$2:$A$101,0)),"※マスタ未登録"))</f>
        <v/>
      </c>
      <c r="G347" s="11" t="n">
        <v>28.8</v>
      </c>
      <c r="H347" s="11" t="n">
        <v>57.6</v>
      </c>
      <c r="I347" s="11" t="n">
        <v>75.6</v>
      </c>
      <c r="J347" s="11" t="n">
        <v>0</v>
      </c>
      <c r="K347" s="11" t="n">
        <v>28.8</v>
      </c>
      <c r="L347" s="11" t="n">
        <v>28.8</v>
      </c>
      <c r="M347" s="11" t="n">
        <f aca="false">SUM(G347:L347)</f>
        <v>219.6</v>
      </c>
      <c r="N347" s="11" t="n">
        <v>5.1</v>
      </c>
      <c r="O347" s="11" t="n">
        <v>10.2</v>
      </c>
      <c r="P347" s="11" t="n">
        <v>23.2</v>
      </c>
      <c r="Q347" s="11" t="n">
        <v>0</v>
      </c>
      <c r="R347" s="11" t="n">
        <v>5.1</v>
      </c>
      <c r="S347" s="11" t="n">
        <v>5.1</v>
      </c>
      <c r="T347" s="11" t="n">
        <f aca="false">SUM(N347:S347)</f>
        <v>48.7</v>
      </c>
      <c r="U347" s="11" t="n">
        <v>18</v>
      </c>
      <c r="V347" s="11" t="n">
        <v>0</v>
      </c>
      <c r="W347" s="11" t="n">
        <v>0</v>
      </c>
      <c r="X347" s="11" t="n">
        <v>0</v>
      </c>
      <c r="Y347" s="11" t="n">
        <v>18</v>
      </c>
      <c r="Z347" s="11" t="n">
        <v>27.2</v>
      </c>
      <c r="AA347" s="11" t="n">
        <f aca="false">SUM(U347:Z347)</f>
        <v>63.2</v>
      </c>
      <c r="AB347" s="11" t="n">
        <v>13</v>
      </c>
      <c r="AC347" s="11" t="n">
        <v>0</v>
      </c>
      <c r="AD347" s="11" t="n">
        <v>0</v>
      </c>
      <c r="AE347" s="11" t="n">
        <v>0</v>
      </c>
      <c r="AF347" s="11" t="n">
        <v>13</v>
      </c>
      <c r="AG347" s="11" t="n">
        <v>4</v>
      </c>
      <c r="AH347" s="11" t="n">
        <f aca="false">SUM(AB347:AG347)</f>
        <v>30</v>
      </c>
      <c r="AI347" s="12" t="s">
        <v>710</v>
      </c>
    </row>
    <row r="348" customFormat="false" ht="15" hidden="false" customHeight="false" outlineLevel="0" collapsed="false">
      <c r="A348" s="8" t="s">
        <v>769</v>
      </c>
      <c r="B348" s="12" t="s">
        <v>770</v>
      </c>
      <c r="C348" s="8" t="s">
        <v>708</v>
      </c>
      <c r="D348" s="12" t="s">
        <v>709</v>
      </c>
      <c r="E348" s="10" t="str">
        <f aca="true">IFERROR(IF(INDEX(INDIRECT("'"&amp;$AI348&amp;"'!$E$2:$E$121"),MATCH($A348,INDIRECT("'"&amp;$AI348&amp;"'!$A$2:$A$121"),0))="","",INDEX(INDIRECT("'"&amp;$AI348&amp;"'!$E$2:$E$121"),MATCH($A348,INDIRECT("'"&amp;$AI348&amp;"'!$A$2:$A$121"),0))),"")</f>
        <v/>
      </c>
      <c r="F348" s="9" t="str">
        <f aca="false">IF($E348="","",IFERROR(INDEX(担当者マスタ!$B$2:$B$101,MATCH($E348,担当者マスタ!$A$2:$A$101,0)),"※マスタ未登録"))</f>
        <v/>
      </c>
      <c r="G348" s="11" t="n">
        <v>150.415</v>
      </c>
      <c r="H348" s="11" t="n">
        <v>148.53</v>
      </c>
      <c r="I348" s="11" t="n">
        <v>167.6</v>
      </c>
      <c r="J348" s="11" t="n">
        <v>86.76</v>
      </c>
      <c r="K348" s="11" t="n">
        <v>125.85</v>
      </c>
      <c r="L348" s="11" t="n">
        <v>128.52</v>
      </c>
      <c r="M348" s="11" t="n">
        <f aca="false">SUM(G348:L348)</f>
        <v>807.675</v>
      </c>
      <c r="N348" s="11" t="n">
        <v>41.055</v>
      </c>
      <c r="O348" s="11" t="n">
        <v>40.35</v>
      </c>
      <c r="P348" s="11" t="n">
        <v>45.76</v>
      </c>
      <c r="Q348" s="11" t="n">
        <v>22.66</v>
      </c>
      <c r="R348" s="11" t="n">
        <v>34.17</v>
      </c>
      <c r="S348" s="11" t="n">
        <v>35.02</v>
      </c>
      <c r="T348" s="11" t="n">
        <f aca="false">SUM(N348:S348)</f>
        <v>219.015</v>
      </c>
      <c r="U348" s="11" t="n">
        <v>114.68</v>
      </c>
      <c r="V348" s="11" t="n">
        <v>100.2</v>
      </c>
      <c r="W348" s="11" t="n">
        <v>190.28</v>
      </c>
      <c r="X348" s="11" t="n">
        <v>129.8</v>
      </c>
      <c r="Y348" s="11" t="n">
        <v>110.73</v>
      </c>
      <c r="Z348" s="11" t="n">
        <v>220.25</v>
      </c>
      <c r="AA348" s="11" t="n">
        <f aca="false">SUM(U348:Z348)</f>
        <v>865.94</v>
      </c>
      <c r="AB348" s="11" t="n">
        <v>31.34</v>
      </c>
      <c r="AC348" s="11" t="n">
        <v>27.44</v>
      </c>
      <c r="AD348" s="11" t="n">
        <v>51.94</v>
      </c>
      <c r="AE348" s="11" t="n">
        <v>35.46</v>
      </c>
      <c r="AF348" s="11" t="n">
        <v>30.05</v>
      </c>
      <c r="AG348" s="11" t="n">
        <v>59.33</v>
      </c>
      <c r="AH348" s="11" t="n">
        <f aca="false">SUM(AB348:AG348)</f>
        <v>235.56</v>
      </c>
      <c r="AI348" s="12" t="s">
        <v>710</v>
      </c>
    </row>
    <row r="349" customFormat="false" ht="15" hidden="false" customHeight="false" outlineLevel="0" collapsed="false">
      <c r="A349" s="8" t="s">
        <v>771</v>
      </c>
      <c r="B349" s="9" t="s">
        <v>772</v>
      </c>
      <c r="C349" s="8" t="s">
        <v>708</v>
      </c>
      <c r="D349" s="12" t="s">
        <v>709</v>
      </c>
      <c r="E349" s="10" t="str">
        <f aca="true">IFERROR(IF(INDEX(INDIRECT("'"&amp;$AI349&amp;"'!$E$2:$E$121"),MATCH($A349,INDIRECT("'"&amp;$AI349&amp;"'!$A$2:$A$121"),0))="","",INDEX(INDIRECT("'"&amp;$AI349&amp;"'!$E$2:$E$121"),MATCH($A349,INDIRECT("'"&amp;$AI349&amp;"'!$A$2:$A$121"),0))),"")</f>
        <v/>
      </c>
      <c r="F349" s="9" t="str">
        <f aca="false">IF($E349="","",IFERROR(INDEX(担当者マスタ!$B$2:$B$101,MATCH($E349,担当者マスタ!$A$2:$A$101,0)),"※マスタ未登録"))</f>
        <v/>
      </c>
      <c r="G349" s="11" t="n">
        <v>12</v>
      </c>
      <c r="H349" s="11" t="n">
        <v>0</v>
      </c>
      <c r="I349" s="11" t="n">
        <v>36</v>
      </c>
      <c r="J349" s="11" t="n">
        <v>0</v>
      </c>
      <c r="K349" s="11" t="n">
        <v>12</v>
      </c>
      <c r="L349" s="11" t="n">
        <v>36</v>
      </c>
      <c r="M349" s="11" t="n">
        <f aca="false">SUM(G349:L349)</f>
        <v>96</v>
      </c>
      <c r="N349" s="11" t="n">
        <v>3</v>
      </c>
      <c r="O349" s="11" t="n">
        <v>0</v>
      </c>
      <c r="P349" s="11" t="n">
        <v>9</v>
      </c>
      <c r="Q349" s="11" t="n">
        <v>0</v>
      </c>
      <c r="R349" s="11" t="n">
        <v>3</v>
      </c>
      <c r="S349" s="11" t="n">
        <v>9</v>
      </c>
      <c r="T349" s="11" t="n">
        <f aca="false">SUM(N349:S349)</f>
        <v>24</v>
      </c>
      <c r="U349" s="11" t="n">
        <v>0</v>
      </c>
      <c r="V349" s="11" t="n">
        <v>0</v>
      </c>
      <c r="W349" s="11" t="n">
        <v>0</v>
      </c>
      <c r="X349" s="11" t="n">
        <v>0</v>
      </c>
      <c r="Y349" s="11" t="n">
        <v>0</v>
      </c>
      <c r="Z349" s="11" t="n">
        <v>0</v>
      </c>
      <c r="AA349" s="11" t="n">
        <f aca="false">SUM(U349:Z349)</f>
        <v>0</v>
      </c>
      <c r="AB349" s="11" t="n">
        <v>0</v>
      </c>
      <c r="AC349" s="11" t="n">
        <v>0</v>
      </c>
      <c r="AD349" s="11" t="n">
        <v>0</v>
      </c>
      <c r="AE349" s="11" t="n">
        <v>0</v>
      </c>
      <c r="AF349" s="11" t="n">
        <v>0</v>
      </c>
      <c r="AG349" s="11" t="n">
        <v>0</v>
      </c>
      <c r="AH349" s="11" t="n">
        <f aca="false">SUM(AB349:AG349)</f>
        <v>0</v>
      </c>
      <c r="AI349" s="12" t="s">
        <v>710</v>
      </c>
    </row>
    <row r="350" customFormat="false" ht="15" hidden="false" customHeight="false" outlineLevel="0" collapsed="false">
      <c r="A350" s="8" t="s">
        <v>773</v>
      </c>
      <c r="B350" s="12" t="s">
        <v>774</v>
      </c>
      <c r="C350" s="8" t="s">
        <v>708</v>
      </c>
      <c r="D350" s="12" t="s">
        <v>709</v>
      </c>
      <c r="E350" s="10" t="str">
        <f aca="true">IFERROR(IF(INDEX(INDIRECT("'"&amp;$AI350&amp;"'!$E$2:$E$121"),MATCH($A350,INDIRECT("'"&amp;$AI350&amp;"'!$A$2:$A$121"),0))="","",INDEX(INDIRECT("'"&amp;$AI350&amp;"'!$E$2:$E$121"),MATCH($A350,INDIRECT("'"&amp;$AI350&amp;"'!$A$2:$A$121"),0))),"")</f>
        <v/>
      </c>
      <c r="F350" s="9" t="str">
        <f aca="false">IF($E350="","",IFERROR(INDEX(担当者マスタ!$B$2:$B$101,MATCH($E350,担当者マスタ!$A$2:$A$101,0)),"※マスタ未登録"))</f>
        <v/>
      </c>
      <c r="G350" s="11" t="n">
        <v>0</v>
      </c>
      <c r="H350" s="11" t="n">
        <v>0</v>
      </c>
      <c r="I350" s="11" t="n">
        <v>0</v>
      </c>
      <c r="J350" s="11" t="n">
        <v>354.293</v>
      </c>
      <c r="K350" s="11" t="n">
        <v>160.923</v>
      </c>
      <c r="L350" s="11" t="n">
        <v>0</v>
      </c>
      <c r="M350" s="11" t="n">
        <f aca="false">SUM(G350:L350)</f>
        <v>515.216</v>
      </c>
      <c r="N350" s="11" t="n">
        <v>0</v>
      </c>
      <c r="O350" s="11" t="n">
        <v>0</v>
      </c>
      <c r="P350" s="11" t="n">
        <v>0</v>
      </c>
      <c r="Q350" s="11" t="n">
        <v>71.833</v>
      </c>
      <c r="R350" s="11" t="n">
        <v>32.627</v>
      </c>
      <c r="S350" s="11" t="n">
        <v>0</v>
      </c>
      <c r="T350" s="11" t="n">
        <f aca="false">SUM(N350:S350)</f>
        <v>104.46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584.037</v>
      </c>
      <c r="Z350" s="11" t="n">
        <v>0</v>
      </c>
      <c r="AA350" s="11" t="n">
        <f aca="false">SUM(U350:Z350)</f>
        <v>584.037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118.413</v>
      </c>
      <c r="AG350" s="11" t="n">
        <v>0</v>
      </c>
      <c r="AH350" s="11" t="n">
        <f aca="false">SUM(AB350:AG350)</f>
        <v>118.413</v>
      </c>
      <c r="AI350" s="12" t="s">
        <v>710</v>
      </c>
    </row>
    <row r="351" customFormat="false" ht="15" hidden="false" customHeight="false" outlineLevel="0" collapsed="false">
      <c r="A351" s="8" t="s">
        <v>775</v>
      </c>
      <c r="B351" s="12" t="s">
        <v>776</v>
      </c>
      <c r="C351" s="8" t="s">
        <v>708</v>
      </c>
      <c r="D351" s="12" t="s">
        <v>709</v>
      </c>
      <c r="E351" s="10" t="str">
        <f aca="true">IFERROR(IF(INDEX(INDIRECT("'"&amp;$AI351&amp;"'!$E$2:$E$121"),MATCH($A351,INDIRECT("'"&amp;$AI351&amp;"'!$A$2:$A$121"),0))="","",INDEX(INDIRECT("'"&amp;$AI351&amp;"'!$E$2:$E$121"),MATCH($A351,INDIRECT("'"&amp;$AI351&amp;"'!$A$2:$A$121"),0))),"")</f>
        <v/>
      </c>
      <c r="F351" s="9" t="str">
        <f aca="false">IF($E351="","",IFERROR(INDEX(担当者マスタ!$B$2:$B$101,MATCH($E351,担当者マスタ!$A$2:$A$101,0)),"※マスタ未登録"))</f>
        <v/>
      </c>
      <c r="G351" s="11" t="n">
        <v>107.968</v>
      </c>
      <c r="H351" s="11" t="n">
        <v>20.22</v>
      </c>
      <c r="I351" s="11" t="n">
        <v>172.767</v>
      </c>
      <c r="J351" s="11" t="n">
        <v>64.786</v>
      </c>
      <c r="K351" s="11" t="n">
        <v>77.571</v>
      </c>
      <c r="L351" s="11" t="n">
        <v>179.377</v>
      </c>
      <c r="M351" s="11" t="n">
        <f aca="false">SUM(G351:L351)</f>
        <v>622.689</v>
      </c>
      <c r="N351" s="11" t="n">
        <v>24.048</v>
      </c>
      <c r="O351" s="11" t="n">
        <v>5.83</v>
      </c>
      <c r="P351" s="11" t="n">
        <v>36.928</v>
      </c>
      <c r="Q351" s="11" t="n">
        <v>15.294</v>
      </c>
      <c r="R351" s="11" t="n">
        <v>19.124</v>
      </c>
      <c r="S351" s="11" t="n">
        <v>39.166</v>
      </c>
      <c r="T351" s="11" t="n">
        <f aca="false">SUM(N351:S351)</f>
        <v>140.39</v>
      </c>
      <c r="U351" s="11" t="n">
        <v>105.996</v>
      </c>
      <c r="V351" s="11" t="n">
        <v>100.744</v>
      </c>
      <c r="W351" s="11" t="n">
        <v>113.918</v>
      </c>
      <c r="X351" s="11" t="n">
        <v>114.306</v>
      </c>
      <c r="Y351" s="11" t="n">
        <v>80.166</v>
      </c>
      <c r="Z351" s="11" t="n">
        <v>95.098</v>
      </c>
      <c r="AA351" s="11" t="n">
        <f aca="false">SUM(U351:Z351)</f>
        <v>610.228</v>
      </c>
      <c r="AB351" s="11" t="n">
        <v>24.698</v>
      </c>
      <c r="AC351" s="11" t="n">
        <v>24.657</v>
      </c>
      <c r="AD351" s="11" t="n">
        <v>28.613</v>
      </c>
      <c r="AE351" s="11" t="n">
        <v>26.846</v>
      </c>
      <c r="AF351" s="11" t="n">
        <v>20.034</v>
      </c>
      <c r="AG351" s="11" t="n">
        <v>23.198</v>
      </c>
      <c r="AH351" s="11" t="n">
        <f aca="false">SUM(AB351:AG351)</f>
        <v>148.046</v>
      </c>
      <c r="AI351" s="12" t="s">
        <v>710</v>
      </c>
    </row>
    <row r="352" customFormat="false" ht="15" hidden="false" customHeight="false" outlineLevel="0" collapsed="false">
      <c r="A352" s="8" t="s">
        <v>777</v>
      </c>
      <c r="B352" s="12" t="s">
        <v>778</v>
      </c>
      <c r="C352" s="8" t="s">
        <v>708</v>
      </c>
      <c r="D352" s="12" t="s">
        <v>709</v>
      </c>
      <c r="E352" s="10" t="str">
        <f aca="true">IFERROR(IF(INDEX(INDIRECT("'"&amp;$AI352&amp;"'!$E$2:$E$121"),MATCH($A352,INDIRECT("'"&amp;$AI352&amp;"'!$A$2:$A$121"),0))="","",INDEX(INDIRECT("'"&amp;$AI352&amp;"'!$E$2:$E$121"),MATCH($A352,INDIRECT("'"&amp;$AI352&amp;"'!$A$2:$A$121"),0))),"")</f>
        <v/>
      </c>
      <c r="F352" s="9" t="str">
        <f aca="false">IF($E352="","",IFERROR(INDEX(担当者マスタ!$B$2:$B$101,MATCH($E352,担当者マスタ!$A$2:$A$101,0)),"※マスタ未登録"))</f>
        <v/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f aca="false">SUM(G352:L352)</f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f aca="false">SUM(N352:S352)</f>
        <v>0</v>
      </c>
      <c r="U352" s="11" t="n">
        <v>7.6</v>
      </c>
      <c r="V352" s="11" t="n">
        <v>26.25</v>
      </c>
      <c r="W352" s="11" t="n">
        <v>15.2</v>
      </c>
      <c r="X352" s="11" t="n">
        <v>0</v>
      </c>
      <c r="Y352" s="11" t="n">
        <v>15.2</v>
      </c>
      <c r="Z352" s="11" t="n">
        <v>15.2</v>
      </c>
      <c r="AA352" s="11" t="n">
        <f aca="false">SUM(U352:Z352)</f>
        <v>79.45</v>
      </c>
      <c r="AB352" s="11" t="n">
        <v>1.4</v>
      </c>
      <c r="AC352" s="11" t="n">
        <v>4.9</v>
      </c>
      <c r="AD352" s="11" t="n">
        <v>2.8</v>
      </c>
      <c r="AE352" s="11" t="n">
        <v>0</v>
      </c>
      <c r="AF352" s="11" t="n">
        <v>2.8</v>
      </c>
      <c r="AG352" s="11" t="n">
        <v>2.8</v>
      </c>
      <c r="AH352" s="11" t="n">
        <f aca="false">SUM(AB352:AG352)</f>
        <v>14.7</v>
      </c>
      <c r="AI352" s="12" t="s">
        <v>710</v>
      </c>
    </row>
    <row r="353" customFormat="false" ht="15" hidden="false" customHeight="false" outlineLevel="0" collapsed="false">
      <c r="A353" s="8" t="s">
        <v>779</v>
      </c>
      <c r="B353" s="12" t="s">
        <v>780</v>
      </c>
      <c r="C353" s="8" t="s">
        <v>781</v>
      </c>
      <c r="D353" s="12" t="s">
        <v>782</v>
      </c>
      <c r="E353" s="10" t="str">
        <f aca="true">IFERROR(IF(INDEX(INDIRECT("'"&amp;$AI353&amp;"'!$E$2:$E$121"),MATCH($A353,INDIRECT("'"&amp;$AI353&amp;"'!$A$2:$A$121"),0))="","",INDEX(INDIRECT("'"&amp;$AI353&amp;"'!$E$2:$E$121"),MATCH($A353,INDIRECT("'"&amp;$AI353&amp;"'!$A$2:$A$121"),0))),"")</f>
        <v/>
      </c>
      <c r="F353" s="9" t="str">
        <f aca="false">IF($E353="","",IFERROR(INDEX(担当者マスタ!$B$2:$B$101,MATCH($E353,担当者マスタ!$A$2:$A$101,0)),"※マスタ未登録"))</f>
        <v/>
      </c>
      <c r="G353" s="11" t="n">
        <v>1762.784</v>
      </c>
      <c r="H353" s="11" t="n">
        <v>2011.437</v>
      </c>
      <c r="I353" s="11" t="n">
        <v>2030.469</v>
      </c>
      <c r="J353" s="11" t="n">
        <v>389.063</v>
      </c>
      <c r="K353" s="11" t="n">
        <v>644.198</v>
      </c>
      <c r="L353" s="11" t="n">
        <v>357.816</v>
      </c>
      <c r="M353" s="11" t="n">
        <f aca="false">SUM(G353:L353)</f>
        <v>7195.767</v>
      </c>
      <c r="N353" s="11" t="n">
        <v>380.734</v>
      </c>
      <c r="O353" s="11" t="n">
        <v>416.234</v>
      </c>
      <c r="P353" s="11" t="n">
        <v>449.041</v>
      </c>
      <c r="Q353" s="11" t="n">
        <v>80.852</v>
      </c>
      <c r="R353" s="11" t="n">
        <v>139.69</v>
      </c>
      <c r="S353" s="11" t="n">
        <v>78.898</v>
      </c>
      <c r="T353" s="11" t="n">
        <f aca="false">SUM(N353:S353)</f>
        <v>1545.449</v>
      </c>
      <c r="U353" s="11" t="n">
        <v>2038.455</v>
      </c>
      <c r="V353" s="11" t="n">
        <v>2042.949</v>
      </c>
      <c r="W353" s="11" t="n">
        <v>3446.565</v>
      </c>
      <c r="X353" s="11" t="n">
        <v>498.12</v>
      </c>
      <c r="Y353" s="11" t="n">
        <v>517.755</v>
      </c>
      <c r="Z353" s="11" t="n">
        <v>415.208</v>
      </c>
      <c r="AA353" s="11" t="n">
        <f aca="false">SUM(U353:Z353)</f>
        <v>8959.052</v>
      </c>
      <c r="AB353" s="11" t="n">
        <v>485.763</v>
      </c>
      <c r="AC353" s="11" t="n">
        <v>481.774</v>
      </c>
      <c r="AD353" s="11" t="n">
        <v>756.734</v>
      </c>
      <c r="AE353" s="11" t="n">
        <v>129.237</v>
      </c>
      <c r="AF353" s="11" t="n">
        <v>98.946</v>
      </c>
      <c r="AG353" s="11" t="n">
        <v>108.582</v>
      </c>
      <c r="AH353" s="11" t="n">
        <f aca="false">SUM(AB353:AG353)</f>
        <v>2061.036</v>
      </c>
      <c r="AI353" s="12" t="s">
        <v>710</v>
      </c>
    </row>
    <row r="354" customFormat="false" ht="15" hidden="false" customHeight="false" outlineLevel="0" collapsed="false">
      <c r="A354" s="8" t="s">
        <v>783</v>
      </c>
      <c r="B354" s="9" t="s">
        <v>784</v>
      </c>
      <c r="C354" s="8" t="s">
        <v>781</v>
      </c>
      <c r="D354" s="12" t="s">
        <v>782</v>
      </c>
      <c r="E354" s="10" t="str">
        <f aca="true">IFERROR(IF(INDEX(INDIRECT("'"&amp;$AI354&amp;"'!$E$2:$E$121"),MATCH($A354,INDIRECT("'"&amp;$AI354&amp;"'!$A$2:$A$121"),0))="","",INDEX(INDIRECT("'"&amp;$AI354&amp;"'!$E$2:$E$121"),MATCH($A354,INDIRECT("'"&amp;$AI354&amp;"'!$A$2:$A$121"),0))),"")</f>
        <v/>
      </c>
      <c r="F354" s="9" t="str">
        <f aca="false">IF($E354="","",IFERROR(INDEX(担当者マスタ!$B$2:$B$101,MATCH($E354,担当者マスタ!$A$2:$A$101,0)),"※マスタ未登録"))</f>
        <v/>
      </c>
      <c r="G354" s="11" t="n">
        <v>0</v>
      </c>
      <c r="H354" s="11" t="n">
        <v>273.724</v>
      </c>
      <c r="I354" s="11" t="n">
        <v>900.84</v>
      </c>
      <c r="J354" s="11" t="n">
        <v>84.6</v>
      </c>
      <c r="K354" s="11" t="n">
        <v>84.6</v>
      </c>
      <c r="L354" s="11" t="n">
        <v>102.54</v>
      </c>
      <c r="M354" s="11" t="n">
        <f aca="false">SUM(G354:L354)</f>
        <v>1446.304</v>
      </c>
      <c r="N354" s="11" t="n">
        <v>0</v>
      </c>
      <c r="O354" s="11" t="n">
        <v>39.686</v>
      </c>
      <c r="P354" s="11" t="n">
        <v>128.655</v>
      </c>
      <c r="Q354" s="11" t="n">
        <v>16.38</v>
      </c>
      <c r="R354" s="11" t="n">
        <v>16.38</v>
      </c>
      <c r="S354" s="11" t="n">
        <v>19.98</v>
      </c>
      <c r="T354" s="11" t="n">
        <f aca="false">SUM(N354:S354)</f>
        <v>221.081</v>
      </c>
      <c r="U354" s="11" t="n">
        <v>155.1</v>
      </c>
      <c r="V354" s="11" t="n">
        <v>328.8</v>
      </c>
      <c r="W354" s="11" t="n">
        <v>436.8</v>
      </c>
      <c r="X354" s="11" t="n">
        <v>238.74</v>
      </c>
      <c r="Y354" s="11" t="n">
        <v>98.7</v>
      </c>
      <c r="Z354" s="11" t="n">
        <v>84.6</v>
      </c>
      <c r="AA354" s="11" t="n">
        <f aca="false">SUM(U354:Z354)</f>
        <v>1342.74</v>
      </c>
      <c r="AB354" s="11" t="n">
        <v>30.03</v>
      </c>
      <c r="AC354" s="11" t="n">
        <v>50.55</v>
      </c>
      <c r="AD354" s="11" t="n">
        <v>64.905</v>
      </c>
      <c r="AE354" s="11" t="n">
        <v>39.795</v>
      </c>
      <c r="AF354" s="11" t="n">
        <v>19.11</v>
      </c>
      <c r="AG354" s="11" t="n">
        <v>16.38</v>
      </c>
      <c r="AH354" s="11" t="n">
        <f aca="false">SUM(AB354:AG354)</f>
        <v>220.77</v>
      </c>
      <c r="AI354" s="12" t="s">
        <v>710</v>
      </c>
    </row>
    <row r="355" customFormat="false" ht="15" hidden="false" customHeight="false" outlineLevel="0" collapsed="false">
      <c r="A355" s="8" t="s">
        <v>785</v>
      </c>
      <c r="B355" s="12" t="s">
        <v>786</v>
      </c>
      <c r="C355" s="8" t="s">
        <v>781</v>
      </c>
      <c r="D355" s="12" t="s">
        <v>782</v>
      </c>
      <c r="E355" s="10" t="str">
        <f aca="true">IFERROR(IF(INDEX(INDIRECT("'"&amp;$AI355&amp;"'!$E$2:$E$121"),MATCH($A355,INDIRECT("'"&amp;$AI355&amp;"'!$A$2:$A$121"),0))="","",INDEX(INDIRECT("'"&amp;$AI355&amp;"'!$E$2:$E$121"),MATCH($A355,INDIRECT("'"&amp;$AI355&amp;"'!$A$2:$A$121"),0))),"")</f>
        <v/>
      </c>
      <c r="F355" s="9" t="str">
        <f aca="false">IF($E355="","",IFERROR(INDEX(担当者マスタ!$B$2:$B$101,MATCH($E355,担当者マスタ!$A$2:$A$101,0)),"※マスタ未登録"))</f>
        <v/>
      </c>
      <c r="G355" s="11" t="n">
        <v>20.58</v>
      </c>
      <c r="H355" s="11" t="n">
        <v>3.54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f aca="false">SUM(G355:L355)</f>
        <v>24.12</v>
      </c>
      <c r="N355" s="11" t="n">
        <v>1.512</v>
      </c>
      <c r="O355" s="11" t="n">
        <v>0.216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f aca="false">SUM(N355:S355)</f>
        <v>1.728</v>
      </c>
      <c r="U355" s="11" t="n">
        <v>0</v>
      </c>
      <c r="V355" s="11" t="n">
        <v>0</v>
      </c>
      <c r="W355" s="11" t="n">
        <v>0</v>
      </c>
      <c r="X355" s="11" t="n">
        <v>0</v>
      </c>
      <c r="Y355" s="11" t="n">
        <v>0</v>
      </c>
      <c r="Z355" s="11" t="n">
        <v>0</v>
      </c>
      <c r="AA355" s="11" t="n">
        <f aca="false">SUM(U355:Z355)</f>
        <v>0</v>
      </c>
      <c r="AB355" s="11" t="n">
        <v>0</v>
      </c>
      <c r="AC355" s="11" t="n">
        <v>0</v>
      </c>
      <c r="AD355" s="11" t="n">
        <v>0</v>
      </c>
      <c r="AE355" s="11" t="n">
        <v>0</v>
      </c>
      <c r="AF355" s="11" t="n">
        <v>0</v>
      </c>
      <c r="AG355" s="11" t="n">
        <v>0</v>
      </c>
      <c r="AH355" s="11" t="n">
        <f aca="false">SUM(AB355:AG355)</f>
        <v>0</v>
      </c>
      <c r="AI355" s="12" t="s">
        <v>710</v>
      </c>
    </row>
    <row r="356" customFormat="false" ht="15" hidden="false" customHeight="false" outlineLevel="0" collapsed="false">
      <c r="A356" s="8" t="s">
        <v>787</v>
      </c>
      <c r="B356" s="9" t="s">
        <v>788</v>
      </c>
      <c r="C356" s="8" t="s">
        <v>781</v>
      </c>
      <c r="D356" s="12" t="s">
        <v>782</v>
      </c>
      <c r="E356" s="10" t="str">
        <f aca="true">IFERROR(IF(INDEX(INDIRECT("'"&amp;$AI356&amp;"'!$E$2:$E$121"),MATCH($A356,INDIRECT("'"&amp;$AI356&amp;"'!$A$2:$A$121"),0))="","",INDEX(INDIRECT("'"&amp;$AI356&amp;"'!$E$2:$E$121"),MATCH($A356,INDIRECT("'"&amp;$AI356&amp;"'!$A$2:$A$121"),0))),"")</f>
        <v/>
      </c>
      <c r="F356" s="9" t="str">
        <f aca="false">IF($E356="","",IFERROR(INDEX(担当者マスタ!$B$2:$B$101,MATCH($E356,担当者マスタ!$A$2:$A$101,0)),"※マスタ未登録"))</f>
        <v/>
      </c>
      <c r="G356" s="11" t="n">
        <v>39.54</v>
      </c>
      <c r="H356" s="11" t="n">
        <v>36.54</v>
      </c>
      <c r="I356" s="11" t="n">
        <v>435.303</v>
      </c>
      <c r="J356" s="11" t="n">
        <v>18</v>
      </c>
      <c r="K356" s="11" t="n">
        <v>28.14</v>
      </c>
      <c r="L356" s="11" t="n">
        <v>27.54</v>
      </c>
      <c r="M356" s="11" t="n">
        <f aca="false">SUM(G356:L356)</f>
        <v>585.063</v>
      </c>
      <c r="N356" s="11" t="n">
        <v>7.299</v>
      </c>
      <c r="O356" s="11" t="n">
        <v>6.699</v>
      </c>
      <c r="P356" s="11" t="n">
        <v>65.645</v>
      </c>
      <c r="Q356" s="11" t="n">
        <v>3.3</v>
      </c>
      <c r="R356" s="11" t="n">
        <v>5.26</v>
      </c>
      <c r="S356" s="11" t="n">
        <v>5.049</v>
      </c>
      <c r="T356" s="11" t="n">
        <f aca="false">SUM(N356:S356)</f>
        <v>93.252</v>
      </c>
      <c r="U356" s="11" t="n">
        <v>57.57</v>
      </c>
      <c r="V356" s="11" t="n">
        <v>37.17</v>
      </c>
      <c r="W356" s="11" t="n">
        <v>421.22</v>
      </c>
      <c r="X356" s="11" t="n">
        <v>18</v>
      </c>
      <c r="Y356" s="11" t="n">
        <v>30.12</v>
      </c>
      <c r="Z356" s="11" t="n">
        <v>27</v>
      </c>
      <c r="AA356" s="11" t="n">
        <f aca="false">SUM(U356:Z356)</f>
        <v>591.08</v>
      </c>
      <c r="AB356" s="11" t="n">
        <v>10.77</v>
      </c>
      <c r="AC356" s="11" t="n">
        <v>6.814</v>
      </c>
      <c r="AD356" s="11" t="n">
        <v>78.339</v>
      </c>
      <c r="AE356" s="11" t="n">
        <v>3.3</v>
      </c>
      <c r="AF356" s="11" t="n">
        <v>5.67</v>
      </c>
      <c r="AG356" s="11" t="n">
        <v>4.95</v>
      </c>
      <c r="AH356" s="11" t="n">
        <f aca="false">SUM(AB356:AG356)</f>
        <v>109.843</v>
      </c>
      <c r="AI356" s="12" t="s">
        <v>710</v>
      </c>
    </row>
    <row r="357" customFormat="false" ht="15" hidden="false" customHeight="false" outlineLevel="0" collapsed="false">
      <c r="A357" s="8" t="s">
        <v>789</v>
      </c>
      <c r="B357" s="12" t="s">
        <v>790</v>
      </c>
      <c r="C357" s="8" t="s">
        <v>781</v>
      </c>
      <c r="D357" s="12" t="s">
        <v>782</v>
      </c>
      <c r="E357" s="10" t="str">
        <f aca="true">IFERROR(IF(INDEX(INDIRECT("'"&amp;$AI357&amp;"'!$E$2:$E$121"),MATCH($A357,INDIRECT("'"&amp;$AI357&amp;"'!$A$2:$A$121"),0))="","",INDEX(INDIRECT("'"&amp;$AI357&amp;"'!$E$2:$E$121"),MATCH($A357,INDIRECT("'"&amp;$AI357&amp;"'!$A$2:$A$121"),0))),"")</f>
        <v/>
      </c>
      <c r="F357" s="9" t="str">
        <f aca="false">IF($E357="","",IFERROR(INDEX(担当者マスタ!$B$2:$B$101,MATCH($E357,担当者マスタ!$A$2:$A$101,0)),"※マスタ未登録"))</f>
        <v/>
      </c>
      <c r="G357" s="11" t="n">
        <v>217.7</v>
      </c>
      <c r="H357" s="11" t="n">
        <v>84.6</v>
      </c>
      <c r="I357" s="11" t="n">
        <v>58</v>
      </c>
      <c r="J357" s="11" t="n">
        <v>188</v>
      </c>
      <c r="K357" s="11" t="n">
        <v>112.8</v>
      </c>
      <c r="L357" s="11" t="n">
        <v>75.2</v>
      </c>
      <c r="M357" s="11" t="n">
        <f aca="false">SUM(G357:L357)</f>
        <v>736.3</v>
      </c>
      <c r="N357" s="11" t="n">
        <v>54.99</v>
      </c>
      <c r="O357" s="11" t="n">
        <v>18.81</v>
      </c>
      <c r="P357" s="11" t="n">
        <v>17.34</v>
      </c>
      <c r="Q357" s="11" t="n">
        <v>41.8</v>
      </c>
      <c r="R357" s="11" t="n">
        <v>25.08</v>
      </c>
      <c r="S357" s="11" t="n">
        <v>16.72</v>
      </c>
      <c r="T357" s="11" t="n">
        <f aca="false">SUM(N357:S357)</f>
        <v>174.74</v>
      </c>
      <c r="U357" s="11" t="n">
        <v>338.4</v>
      </c>
      <c r="V357" s="11" t="n">
        <v>263.2</v>
      </c>
      <c r="W357" s="11" t="n">
        <v>9.4</v>
      </c>
      <c r="X357" s="11" t="n">
        <v>198.5</v>
      </c>
      <c r="Y357" s="11" t="n">
        <v>176.72</v>
      </c>
      <c r="Z357" s="11" t="n">
        <v>94</v>
      </c>
      <c r="AA357" s="11" t="n">
        <f aca="false">SUM(U357:Z357)</f>
        <v>1080.22</v>
      </c>
      <c r="AB357" s="11" t="n">
        <v>75.24</v>
      </c>
      <c r="AC357" s="11" t="n">
        <v>58.52</v>
      </c>
      <c r="AD357" s="11" t="n">
        <v>2.09</v>
      </c>
      <c r="AE357" s="11" t="n">
        <v>43.36</v>
      </c>
      <c r="AF357" s="11" t="n">
        <v>39.292</v>
      </c>
      <c r="AG357" s="11" t="n">
        <v>20.9</v>
      </c>
      <c r="AH357" s="11" t="n">
        <f aca="false">SUM(AB357:AG357)</f>
        <v>239.402</v>
      </c>
      <c r="AI357" s="12" t="s">
        <v>710</v>
      </c>
    </row>
    <row r="358" customFormat="false" ht="15" hidden="false" customHeight="false" outlineLevel="0" collapsed="false">
      <c r="A358" s="8" t="s">
        <v>791</v>
      </c>
      <c r="B358" s="12" t="s">
        <v>792</v>
      </c>
      <c r="C358" s="8" t="s">
        <v>781</v>
      </c>
      <c r="D358" s="12" t="s">
        <v>782</v>
      </c>
      <c r="E358" s="10" t="str">
        <f aca="true">IFERROR(IF(INDEX(INDIRECT("'"&amp;$AI358&amp;"'!$E$2:$E$121"),MATCH($A358,INDIRECT("'"&amp;$AI358&amp;"'!$A$2:$A$121"),0))="","",INDEX(INDIRECT("'"&amp;$AI358&amp;"'!$E$2:$E$121"),MATCH($A358,INDIRECT("'"&amp;$AI358&amp;"'!$A$2:$A$121"),0))),"")</f>
        <v/>
      </c>
      <c r="F358" s="9" t="str">
        <f aca="false">IF($E358="","",IFERROR(INDEX(担当者マスタ!$B$2:$B$101,MATCH($E358,担当者マスタ!$A$2:$A$101,0)),"※マスタ未登録"))</f>
        <v/>
      </c>
      <c r="G358" s="11" t="n">
        <v>42.13</v>
      </c>
      <c r="H358" s="11" t="n">
        <v>326.75</v>
      </c>
      <c r="I358" s="11" t="n">
        <v>122.818</v>
      </c>
      <c r="J358" s="11" t="n">
        <v>130.548</v>
      </c>
      <c r="K358" s="11" t="n">
        <v>84.15</v>
      </c>
      <c r="L358" s="11" t="n">
        <v>0</v>
      </c>
      <c r="M358" s="11" t="n">
        <f aca="false">SUM(G358:L358)</f>
        <v>706.396</v>
      </c>
      <c r="N358" s="11" t="n">
        <v>8.36</v>
      </c>
      <c r="O358" s="11" t="n">
        <v>48.32</v>
      </c>
      <c r="P358" s="11" t="n">
        <v>24.242</v>
      </c>
      <c r="Q358" s="11" t="n">
        <v>26.11</v>
      </c>
      <c r="R358" s="11" t="n">
        <v>16.812</v>
      </c>
      <c r="S358" s="11" t="n">
        <v>0</v>
      </c>
      <c r="T358" s="11" t="n">
        <f aca="false">SUM(N358:S358)</f>
        <v>123.844</v>
      </c>
      <c r="U358" s="11" t="n">
        <v>27.152</v>
      </c>
      <c r="V358" s="11" t="n">
        <v>71.446</v>
      </c>
      <c r="W358" s="11" t="n">
        <v>148.11</v>
      </c>
      <c r="X358" s="11" t="n">
        <v>30.012</v>
      </c>
      <c r="Y358" s="11" t="n">
        <v>0</v>
      </c>
      <c r="Z358" s="11" t="n">
        <v>31.442</v>
      </c>
      <c r="AA358" s="11" t="n">
        <f aca="false">SUM(U358:Z358)</f>
        <v>308.162</v>
      </c>
      <c r="AB358" s="11" t="n">
        <v>5.338</v>
      </c>
      <c r="AC358" s="11" t="n">
        <v>14.254</v>
      </c>
      <c r="AD358" s="11" t="n">
        <v>32.59</v>
      </c>
      <c r="AE358" s="11" t="n">
        <v>5.998</v>
      </c>
      <c r="AF358" s="11" t="n">
        <v>0</v>
      </c>
      <c r="AG358" s="11" t="n">
        <v>6.278</v>
      </c>
      <c r="AH358" s="11" t="n">
        <f aca="false">SUM(AB358:AG358)</f>
        <v>64.458</v>
      </c>
      <c r="AI358" s="12" t="s">
        <v>710</v>
      </c>
    </row>
    <row r="359" customFormat="false" ht="15" hidden="false" customHeight="false" outlineLevel="0" collapsed="false">
      <c r="A359" s="8" t="s">
        <v>793</v>
      </c>
      <c r="B359" s="12" t="s">
        <v>794</v>
      </c>
      <c r="C359" s="8" t="s">
        <v>781</v>
      </c>
      <c r="D359" s="12" t="s">
        <v>782</v>
      </c>
      <c r="E359" s="10" t="str">
        <f aca="true">IFERROR(IF(INDEX(INDIRECT("'"&amp;$AI359&amp;"'!$E$2:$E$121"),MATCH($A359,INDIRECT("'"&amp;$AI359&amp;"'!$A$2:$A$121"),0))="","",INDEX(INDIRECT("'"&amp;$AI359&amp;"'!$E$2:$E$121"),MATCH($A359,INDIRECT("'"&amp;$AI359&amp;"'!$A$2:$A$121"),0))),"")</f>
        <v/>
      </c>
      <c r="F359" s="9" t="str">
        <f aca="false">IF($E359="","",IFERROR(INDEX(担当者マスタ!$B$2:$B$101,MATCH($E359,担当者マスタ!$A$2:$A$101,0)),"※マスタ未登録"))</f>
        <v/>
      </c>
      <c r="G359" s="11" t="n">
        <v>90.26</v>
      </c>
      <c r="H359" s="11" t="n">
        <v>133.969</v>
      </c>
      <c r="I359" s="11" t="n">
        <v>404.927</v>
      </c>
      <c r="J359" s="11" t="n">
        <v>345.105</v>
      </c>
      <c r="K359" s="11" t="n">
        <v>65.568</v>
      </c>
      <c r="L359" s="11" t="n">
        <v>310.248</v>
      </c>
      <c r="M359" s="11" t="n">
        <f aca="false">SUM(G359:L359)</f>
        <v>1350.077</v>
      </c>
      <c r="N359" s="11" t="n">
        <v>23.21</v>
      </c>
      <c r="O359" s="11" t="n">
        <v>36.085</v>
      </c>
      <c r="P359" s="11" t="n">
        <v>91.202</v>
      </c>
      <c r="Q359" s="11" t="n">
        <v>77.473</v>
      </c>
      <c r="R359" s="11" t="n">
        <v>14.858</v>
      </c>
      <c r="S359" s="11" t="n">
        <v>71.616</v>
      </c>
      <c r="T359" s="11" t="n">
        <f aca="false">SUM(N359:S359)</f>
        <v>314.444</v>
      </c>
      <c r="U359" s="11" t="n">
        <v>250.742</v>
      </c>
      <c r="V359" s="11" t="n">
        <v>150.096</v>
      </c>
      <c r="W359" s="11" t="n">
        <v>292.419</v>
      </c>
      <c r="X359" s="11" t="n">
        <v>104.402</v>
      </c>
      <c r="Y359" s="11" t="n">
        <v>84.016</v>
      </c>
      <c r="Z359" s="11" t="n">
        <v>318.931</v>
      </c>
      <c r="AA359" s="11" t="n">
        <f aca="false">SUM(U359:Z359)</f>
        <v>1200.606</v>
      </c>
      <c r="AB359" s="11" t="n">
        <v>49.032</v>
      </c>
      <c r="AC359" s="11" t="n">
        <v>35.076</v>
      </c>
      <c r="AD359" s="11" t="n">
        <v>27.998</v>
      </c>
      <c r="AE359" s="11" t="n">
        <v>25.492</v>
      </c>
      <c r="AF359" s="11" t="n">
        <v>17.886</v>
      </c>
      <c r="AG359" s="11" t="n">
        <v>69.758</v>
      </c>
      <c r="AH359" s="11" t="n">
        <f aca="false">SUM(AB359:AG359)</f>
        <v>225.242</v>
      </c>
      <c r="AI359" s="12" t="s">
        <v>710</v>
      </c>
    </row>
    <row r="360" customFormat="false" ht="15" hidden="false" customHeight="false" outlineLevel="0" collapsed="false">
      <c r="A360" s="8" t="s">
        <v>795</v>
      </c>
      <c r="B360" s="12" t="s">
        <v>796</v>
      </c>
      <c r="C360" s="8" t="s">
        <v>781</v>
      </c>
      <c r="D360" s="12" t="s">
        <v>782</v>
      </c>
      <c r="E360" s="10" t="str">
        <f aca="true">IFERROR(IF(INDEX(INDIRECT("'"&amp;$AI360&amp;"'!$E$2:$E$121"),MATCH($A360,INDIRECT("'"&amp;$AI360&amp;"'!$A$2:$A$121"),0))="","",INDEX(INDIRECT("'"&amp;$AI360&amp;"'!$E$2:$E$121"),MATCH($A360,INDIRECT("'"&amp;$AI360&amp;"'!$A$2:$A$121"),0))),"")</f>
        <v/>
      </c>
      <c r="F360" s="9" t="str">
        <f aca="false">IF($E360="","",IFERROR(INDEX(担当者マスタ!$B$2:$B$101,MATCH($E360,担当者マスタ!$A$2:$A$101,0)),"※マスタ未登録"))</f>
        <v/>
      </c>
      <c r="G360" s="11" t="n">
        <v>625.111</v>
      </c>
      <c r="H360" s="11" t="n">
        <v>639.235</v>
      </c>
      <c r="I360" s="11" t="n">
        <v>796.815</v>
      </c>
      <c r="J360" s="11" t="n">
        <v>821.839</v>
      </c>
      <c r="K360" s="11" t="n">
        <v>230.353</v>
      </c>
      <c r="L360" s="11" t="n">
        <v>428.225</v>
      </c>
      <c r="M360" s="11" t="n">
        <f aca="false">SUM(G360:L360)</f>
        <v>3541.578</v>
      </c>
      <c r="N360" s="11" t="n">
        <v>159.515</v>
      </c>
      <c r="O360" s="11" t="n">
        <v>151.861</v>
      </c>
      <c r="P360" s="11" t="n">
        <v>204.217</v>
      </c>
      <c r="Q360" s="11" t="n">
        <v>204.313</v>
      </c>
      <c r="R360" s="11" t="n">
        <v>56.48</v>
      </c>
      <c r="S360" s="11" t="n">
        <v>101.597</v>
      </c>
      <c r="T360" s="11" t="n">
        <f aca="false">SUM(N360:S360)</f>
        <v>877.983</v>
      </c>
      <c r="U360" s="11" t="n">
        <v>290.013</v>
      </c>
      <c r="V360" s="11" t="n">
        <v>839.446</v>
      </c>
      <c r="W360" s="11" t="n">
        <v>479.412</v>
      </c>
      <c r="X360" s="11" t="n">
        <v>192.677</v>
      </c>
      <c r="Y360" s="11" t="n">
        <v>298.033</v>
      </c>
      <c r="Z360" s="11" t="n">
        <v>285.062</v>
      </c>
      <c r="AA360" s="11" t="n">
        <f aca="false">SUM(U360:Z360)</f>
        <v>2384.643</v>
      </c>
      <c r="AB360" s="11" t="n">
        <v>81.865</v>
      </c>
      <c r="AC360" s="11" t="n">
        <v>205.207</v>
      </c>
      <c r="AD360" s="11" t="n">
        <v>124.034</v>
      </c>
      <c r="AE360" s="11" t="n">
        <v>50.292</v>
      </c>
      <c r="AF360" s="11" t="n">
        <v>73.585</v>
      </c>
      <c r="AG360" s="11" t="n">
        <v>74.489</v>
      </c>
      <c r="AH360" s="11" t="n">
        <f aca="false">SUM(AB360:AG360)</f>
        <v>609.472</v>
      </c>
      <c r="AI360" s="12" t="s">
        <v>710</v>
      </c>
    </row>
    <row r="361" customFormat="false" ht="15" hidden="false" customHeight="false" outlineLevel="0" collapsed="false">
      <c r="A361" s="8" t="s">
        <v>797</v>
      </c>
      <c r="B361" s="9" t="s">
        <v>798</v>
      </c>
      <c r="C361" s="8" t="s">
        <v>781</v>
      </c>
      <c r="D361" s="12" t="s">
        <v>782</v>
      </c>
      <c r="E361" s="10" t="str">
        <f aca="true">IFERROR(IF(INDEX(INDIRECT("'"&amp;$AI361&amp;"'!$E$2:$E$121"),MATCH($A361,INDIRECT("'"&amp;$AI361&amp;"'!$A$2:$A$121"),0))="","",INDEX(INDIRECT("'"&amp;$AI361&amp;"'!$E$2:$E$121"),MATCH($A361,INDIRECT("'"&amp;$AI361&amp;"'!$A$2:$A$121"),0))),"")</f>
        <v/>
      </c>
      <c r="F361" s="9" t="str">
        <f aca="false">IF($E361="","",IFERROR(INDEX(担当者マスタ!$B$2:$B$101,MATCH($E361,担当者マスタ!$A$2:$A$101,0)),"※マスタ未登録"))</f>
        <v/>
      </c>
      <c r="G361" s="11" t="n">
        <v>5578.825</v>
      </c>
      <c r="H361" s="11" t="n">
        <v>4730.735</v>
      </c>
      <c r="I361" s="11" t="n">
        <v>5569.238</v>
      </c>
      <c r="J361" s="11" t="n">
        <v>4286.951</v>
      </c>
      <c r="K361" s="11" t="n">
        <v>4816.183</v>
      </c>
      <c r="L361" s="11" t="n">
        <v>5478.672</v>
      </c>
      <c r="M361" s="11" t="n">
        <f aca="false">SUM(G361:L361)</f>
        <v>30460.604</v>
      </c>
      <c r="N361" s="11" t="n">
        <v>1075.24</v>
      </c>
      <c r="O361" s="11" t="n">
        <v>950.484</v>
      </c>
      <c r="P361" s="11" t="n">
        <v>1120.074</v>
      </c>
      <c r="Q361" s="11" t="n">
        <v>941.276</v>
      </c>
      <c r="R361" s="11" t="n">
        <v>973.068</v>
      </c>
      <c r="S361" s="11" t="n">
        <v>1107.501</v>
      </c>
      <c r="T361" s="11" t="n">
        <f aca="false">SUM(N361:S361)</f>
        <v>6167.643</v>
      </c>
      <c r="U361" s="11" t="n">
        <v>6590.83</v>
      </c>
      <c r="V361" s="11" t="n">
        <v>5360.717</v>
      </c>
      <c r="W361" s="11" t="n">
        <v>4536.32</v>
      </c>
      <c r="X361" s="11" t="n">
        <v>4828.818</v>
      </c>
      <c r="Y361" s="11" t="n">
        <v>4998.983</v>
      </c>
      <c r="Z361" s="11" t="n">
        <v>5419.214</v>
      </c>
      <c r="AA361" s="11" t="n">
        <f aca="false">SUM(U361:Z361)</f>
        <v>31734.882</v>
      </c>
      <c r="AB361" s="11" t="n">
        <v>1384.232</v>
      </c>
      <c r="AC361" s="11" t="n">
        <v>1115.755</v>
      </c>
      <c r="AD361" s="11" t="n">
        <v>939.629</v>
      </c>
      <c r="AE361" s="11" t="n">
        <v>987.557</v>
      </c>
      <c r="AF361" s="11" t="n">
        <v>1055.15</v>
      </c>
      <c r="AG361" s="11" t="n">
        <v>1127.381</v>
      </c>
      <c r="AH361" s="11" t="n">
        <f aca="false">SUM(AB361:AG361)</f>
        <v>6609.704</v>
      </c>
      <c r="AI361" s="12" t="s">
        <v>710</v>
      </c>
    </row>
    <row r="362" customFormat="false" ht="15" hidden="false" customHeight="false" outlineLevel="0" collapsed="false">
      <c r="A362" s="8" t="s">
        <v>799</v>
      </c>
      <c r="B362" s="12" t="s">
        <v>800</v>
      </c>
      <c r="C362" s="8" t="s">
        <v>781</v>
      </c>
      <c r="D362" s="12" t="s">
        <v>782</v>
      </c>
      <c r="E362" s="10" t="str">
        <f aca="true">IFERROR(IF(INDEX(INDIRECT("'"&amp;$AI362&amp;"'!$E$2:$E$121"),MATCH($A362,INDIRECT("'"&amp;$AI362&amp;"'!$A$2:$A$121"),0))="","",INDEX(INDIRECT("'"&amp;$AI362&amp;"'!$E$2:$E$121"),MATCH($A362,INDIRECT("'"&amp;$AI362&amp;"'!$A$2:$A$121"),0))),"")</f>
        <v/>
      </c>
      <c r="F362" s="9" t="str">
        <f aca="false">IF($E362="","",IFERROR(INDEX(担当者マスタ!$B$2:$B$101,MATCH($E362,担当者マスタ!$A$2:$A$101,0)),"※マスタ未登録"))</f>
        <v/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484.753</v>
      </c>
      <c r="L362" s="11" t="n">
        <v>0</v>
      </c>
      <c r="M362" s="11" t="n">
        <f aca="false">SUM(G362:L362)</f>
        <v>484.753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116.846</v>
      </c>
      <c r="S362" s="11" t="n">
        <v>0</v>
      </c>
      <c r="T362" s="11" t="n">
        <f aca="false">SUM(N362:S362)</f>
        <v>116.846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f aca="false">SUM(U362:Z362)</f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f aca="false">SUM(AB362:AG362)</f>
        <v>0</v>
      </c>
      <c r="AI362" s="12" t="s">
        <v>710</v>
      </c>
    </row>
    <row r="363" customFormat="false" ht="15" hidden="false" customHeight="false" outlineLevel="0" collapsed="false">
      <c r="A363" s="8" t="s">
        <v>801</v>
      </c>
      <c r="B363" s="12" t="s">
        <v>802</v>
      </c>
      <c r="C363" s="8" t="s">
        <v>781</v>
      </c>
      <c r="D363" s="12" t="s">
        <v>782</v>
      </c>
      <c r="E363" s="10" t="str">
        <f aca="true">IFERROR(IF(INDEX(INDIRECT("'"&amp;$AI363&amp;"'!$E$2:$E$121"),MATCH($A363,INDIRECT("'"&amp;$AI363&amp;"'!$A$2:$A$121"),0))="","",INDEX(INDIRECT("'"&amp;$AI363&amp;"'!$E$2:$E$121"),MATCH($A363,INDIRECT("'"&amp;$AI363&amp;"'!$A$2:$A$121"),0))),"")</f>
        <v/>
      </c>
      <c r="F363" s="9" t="str">
        <f aca="false">IF($E363="","",IFERROR(INDEX(担当者マスタ!$B$2:$B$101,MATCH($E363,担当者マスタ!$A$2:$A$101,0)),"※マスタ未登録"))</f>
        <v/>
      </c>
      <c r="G363" s="11" t="n">
        <v>25.42</v>
      </c>
      <c r="H363" s="11" t="n">
        <v>11.02</v>
      </c>
      <c r="I363" s="11" t="n">
        <v>20.16</v>
      </c>
      <c r="J363" s="11" t="n">
        <v>0</v>
      </c>
      <c r="K363" s="11" t="n">
        <v>27.62</v>
      </c>
      <c r="L363" s="11" t="n">
        <v>0</v>
      </c>
      <c r="M363" s="11" t="n">
        <f aca="false">SUM(G363:L363)</f>
        <v>84.22</v>
      </c>
      <c r="N363" s="11" t="n">
        <v>3.34</v>
      </c>
      <c r="O363" s="11" t="n">
        <v>1.44</v>
      </c>
      <c r="P363" s="11" t="n">
        <v>2.66</v>
      </c>
      <c r="Q363" s="11" t="n">
        <v>0</v>
      </c>
      <c r="R363" s="11" t="n">
        <v>4.29</v>
      </c>
      <c r="S363" s="11" t="n">
        <v>0</v>
      </c>
      <c r="T363" s="11" t="n">
        <f aca="false">SUM(N363:S363)</f>
        <v>11.73</v>
      </c>
      <c r="U363" s="11" t="n">
        <v>0</v>
      </c>
      <c r="V363" s="11" t="n">
        <v>0</v>
      </c>
      <c r="W363" s="11" t="n">
        <v>27.62</v>
      </c>
      <c r="X363" s="11" t="n">
        <v>0</v>
      </c>
      <c r="Y363" s="11" t="n">
        <v>5.51</v>
      </c>
      <c r="Z363" s="11" t="n">
        <v>0</v>
      </c>
      <c r="AA363" s="11" t="n">
        <f aca="false">SUM(U363:Z363)</f>
        <v>33.13</v>
      </c>
      <c r="AB363" s="11" t="n">
        <v>0</v>
      </c>
      <c r="AC363" s="11" t="n">
        <v>0</v>
      </c>
      <c r="AD363" s="11" t="n">
        <v>4.47</v>
      </c>
      <c r="AE363" s="11" t="n">
        <v>0</v>
      </c>
      <c r="AF363" s="11" t="n">
        <v>0.81</v>
      </c>
      <c r="AG363" s="11" t="n">
        <v>0</v>
      </c>
      <c r="AH363" s="11" t="n">
        <f aca="false">SUM(AB363:AG363)</f>
        <v>5.28</v>
      </c>
      <c r="AI363" s="12" t="s">
        <v>710</v>
      </c>
    </row>
    <row r="364" customFormat="false" ht="15" hidden="false" customHeight="false" outlineLevel="0" collapsed="false">
      <c r="A364" s="8" t="s">
        <v>803</v>
      </c>
      <c r="B364" s="12" t="s">
        <v>804</v>
      </c>
      <c r="C364" s="8" t="s">
        <v>781</v>
      </c>
      <c r="D364" s="12" t="s">
        <v>782</v>
      </c>
      <c r="E364" s="10" t="str">
        <f aca="true">IFERROR(IF(INDEX(INDIRECT("'"&amp;$AI364&amp;"'!$E$2:$E$121"),MATCH($A364,INDIRECT("'"&amp;$AI364&amp;"'!$A$2:$A$121"),0))="","",INDEX(INDIRECT("'"&amp;$AI364&amp;"'!$E$2:$E$121"),MATCH($A364,INDIRECT("'"&amp;$AI364&amp;"'!$A$2:$A$121"),0))),"")</f>
        <v/>
      </c>
      <c r="F364" s="9" t="str">
        <f aca="false">IF($E364="","",IFERROR(INDEX(担当者マスタ!$B$2:$B$101,MATCH($E364,担当者マスタ!$A$2:$A$101,0)),"※マスタ未登録"))</f>
        <v/>
      </c>
      <c r="G364" s="11" t="n">
        <v>0</v>
      </c>
      <c r="H364" s="11" t="n">
        <v>0</v>
      </c>
      <c r="I364" s="11" t="n">
        <v>52.8</v>
      </c>
      <c r="J364" s="11" t="n">
        <v>0</v>
      </c>
      <c r="K364" s="11" t="n">
        <v>0</v>
      </c>
      <c r="L364" s="11" t="n">
        <v>0</v>
      </c>
      <c r="M364" s="11" t="n">
        <f aca="false">SUM(G364:L364)</f>
        <v>52.8</v>
      </c>
      <c r="N364" s="11" t="n">
        <v>0</v>
      </c>
      <c r="O364" s="11" t="n">
        <v>0</v>
      </c>
      <c r="P364" s="11" t="n">
        <v>3.2</v>
      </c>
      <c r="Q364" s="11" t="n">
        <v>0</v>
      </c>
      <c r="R364" s="11" t="n">
        <v>0</v>
      </c>
      <c r="S364" s="11" t="n">
        <v>0</v>
      </c>
      <c r="T364" s="11" t="n">
        <f aca="false">SUM(N364:S364)</f>
        <v>3.2</v>
      </c>
      <c r="U364" s="11" t="n">
        <v>0</v>
      </c>
      <c r="V364" s="11" t="n">
        <v>0</v>
      </c>
      <c r="W364" s="11" t="n">
        <v>66.688</v>
      </c>
      <c r="X364" s="11" t="n">
        <v>0</v>
      </c>
      <c r="Y364" s="11" t="n">
        <v>0</v>
      </c>
      <c r="Z364" s="11" t="n">
        <v>0</v>
      </c>
      <c r="AA364" s="11" t="n">
        <f aca="false">SUM(U364:Z364)</f>
        <v>66.688</v>
      </c>
      <c r="AB364" s="11" t="n">
        <v>0</v>
      </c>
      <c r="AC364" s="11" t="n">
        <v>0</v>
      </c>
      <c r="AD364" s="11" t="n">
        <v>2.688</v>
      </c>
      <c r="AE364" s="11" t="n">
        <v>0</v>
      </c>
      <c r="AF364" s="11" t="n">
        <v>0</v>
      </c>
      <c r="AG364" s="11" t="n">
        <v>0</v>
      </c>
      <c r="AH364" s="11" t="n">
        <f aca="false">SUM(AB364:AG364)</f>
        <v>2.688</v>
      </c>
      <c r="AI364" s="12" t="s">
        <v>710</v>
      </c>
    </row>
    <row r="365" customFormat="false" ht="15" hidden="false" customHeight="false" outlineLevel="0" collapsed="false">
      <c r="A365" s="8" t="s">
        <v>805</v>
      </c>
      <c r="B365" s="9" t="s">
        <v>806</v>
      </c>
      <c r="C365" s="8" t="s">
        <v>781</v>
      </c>
      <c r="D365" s="12" t="s">
        <v>782</v>
      </c>
      <c r="E365" s="10" t="str">
        <f aca="true">IFERROR(IF(INDEX(INDIRECT("'"&amp;$AI365&amp;"'!$E$2:$E$121"),MATCH($A365,INDIRECT("'"&amp;$AI365&amp;"'!$A$2:$A$121"),0))="","",INDEX(INDIRECT("'"&amp;$AI365&amp;"'!$E$2:$E$121"),MATCH($A365,INDIRECT("'"&amp;$AI365&amp;"'!$A$2:$A$121"),0))),"")</f>
        <v/>
      </c>
      <c r="F365" s="9" t="str">
        <f aca="false">IF($E365="","",IFERROR(INDEX(担当者マスタ!$B$2:$B$101,MATCH($E365,担当者マスタ!$A$2:$A$101,0)),"※マスタ未登録"))</f>
        <v/>
      </c>
      <c r="G365" s="11" t="n">
        <v>138.406</v>
      </c>
      <c r="H365" s="11" t="n">
        <v>200.17</v>
      </c>
      <c r="I365" s="11" t="n">
        <v>629.556</v>
      </c>
      <c r="J365" s="11" t="n">
        <v>38.02</v>
      </c>
      <c r="K365" s="11" t="n">
        <v>15.3</v>
      </c>
      <c r="L365" s="11" t="n">
        <v>30.116</v>
      </c>
      <c r="M365" s="11" t="n">
        <f aca="false">SUM(G365:L365)</f>
        <v>1051.568</v>
      </c>
      <c r="N365" s="11" t="n">
        <v>19.222</v>
      </c>
      <c r="O365" s="11" t="n">
        <v>30.142</v>
      </c>
      <c r="P365" s="11" t="n">
        <v>87.872</v>
      </c>
      <c r="Q365" s="11" t="n">
        <v>2.512</v>
      </c>
      <c r="R365" s="11" t="n">
        <v>0.96</v>
      </c>
      <c r="S365" s="11" t="n">
        <v>1.672</v>
      </c>
      <c r="T365" s="11" t="n">
        <f aca="false">SUM(N365:S365)</f>
        <v>142.38</v>
      </c>
      <c r="U365" s="11" t="n">
        <v>0</v>
      </c>
      <c r="V365" s="11" t="n">
        <v>83.725</v>
      </c>
      <c r="W365" s="11" t="n">
        <v>526.55</v>
      </c>
      <c r="X365" s="11" t="n">
        <v>35.37</v>
      </c>
      <c r="Y365" s="11" t="n">
        <v>13.05</v>
      </c>
      <c r="Z365" s="11" t="n">
        <v>29.175</v>
      </c>
      <c r="AA365" s="11" t="n">
        <f aca="false">SUM(U365:Z365)</f>
        <v>687.87</v>
      </c>
      <c r="AB365" s="11" t="n">
        <v>0</v>
      </c>
      <c r="AC365" s="11" t="n">
        <v>10.911</v>
      </c>
      <c r="AD365" s="11" t="n">
        <v>76.378</v>
      </c>
      <c r="AE365" s="11" t="n">
        <v>5.52</v>
      </c>
      <c r="AF365" s="11" t="n">
        <v>1.92</v>
      </c>
      <c r="AG365" s="11" t="n">
        <v>4.815</v>
      </c>
      <c r="AH365" s="11" t="n">
        <f aca="false">SUM(AB365:AG365)</f>
        <v>99.544</v>
      </c>
      <c r="AI365" s="12" t="s">
        <v>710</v>
      </c>
    </row>
    <row r="366" customFormat="false" ht="15" hidden="false" customHeight="false" outlineLevel="0" collapsed="false">
      <c r="A366" s="8" t="s">
        <v>807</v>
      </c>
      <c r="B366" s="12" t="s">
        <v>808</v>
      </c>
      <c r="C366" s="8" t="s">
        <v>781</v>
      </c>
      <c r="D366" s="12" t="s">
        <v>782</v>
      </c>
      <c r="E366" s="10" t="str">
        <f aca="true">IFERROR(IF(INDEX(INDIRECT("'"&amp;$AI366&amp;"'!$E$2:$E$121"),MATCH($A366,INDIRECT("'"&amp;$AI366&amp;"'!$A$2:$A$121"),0))="","",INDEX(INDIRECT("'"&amp;$AI366&amp;"'!$E$2:$E$121"),MATCH($A366,INDIRECT("'"&amp;$AI366&amp;"'!$A$2:$A$121"),0))),"")</f>
        <v/>
      </c>
      <c r="F366" s="9" t="str">
        <f aca="false">IF($E366="","",IFERROR(INDEX(担当者マスタ!$B$2:$B$101,MATCH($E366,担当者マスタ!$A$2:$A$101,0)),"※マスタ未登録"))</f>
        <v/>
      </c>
      <c r="G366" s="11" t="n">
        <v>0</v>
      </c>
      <c r="H366" s="11" t="n">
        <v>124.1</v>
      </c>
      <c r="I366" s="11" t="n">
        <v>125.5</v>
      </c>
      <c r="J366" s="11" t="n">
        <v>125.5</v>
      </c>
      <c r="K366" s="11" t="n">
        <v>112</v>
      </c>
      <c r="L366" s="11" t="n">
        <v>112</v>
      </c>
      <c r="M366" s="11" t="n">
        <f aca="false">SUM(G366:L366)</f>
        <v>599.1</v>
      </c>
      <c r="N366" s="11" t="n">
        <v>0</v>
      </c>
      <c r="O366" s="11" t="n">
        <v>30.044</v>
      </c>
      <c r="P366" s="11" t="n">
        <v>30.38</v>
      </c>
      <c r="Q366" s="11" t="n">
        <v>30.38</v>
      </c>
      <c r="R366" s="11" t="n">
        <v>26.88</v>
      </c>
      <c r="S366" s="11" t="n">
        <v>26.88</v>
      </c>
      <c r="T366" s="11" t="n">
        <f aca="false">SUM(N366:S366)</f>
        <v>144.564</v>
      </c>
      <c r="U366" s="11" t="n">
        <v>261.3</v>
      </c>
      <c r="V366" s="11" t="n">
        <v>123.2</v>
      </c>
      <c r="W366" s="11" t="n">
        <v>276.2</v>
      </c>
      <c r="X366" s="11" t="n">
        <v>154</v>
      </c>
      <c r="Y366" s="11" t="n">
        <v>215.6</v>
      </c>
      <c r="Z366" s="11" t="n">
        <v>138.1</v>
      </c>
      <c r="AA366" s="11" t="n">
        <f aca="false">SUM(U366:Z366)</f>
        <v>1168.4</v>
      </c>
      <c r="AB366" s="11" t="n">
        <v>63.26</v>
      </c>
      <c r="AC366" s="11" t="n">
        <v>29.68</v>
      </c>
      <c r="AD366" s="11" t="n">
        <v>67.16</v>
      </c>
      <c r="AE366" s="11" t="n">
        <v>37.1</v>
      </c>
      <c r="AF366" s="11" t="n">
        <v>51.94</v>
      </c>
      <c r="AG366" s="11" t="n">
        <v>33.58</v>
      </c>
      <c r="AH366" s="11" t="n">
        <f aca="false">SUM(AB366:AG366)</f>
        <v>282.72</v>
      </c>
      <c r="AI366" s="12" t="s">
        <v>710</v>
      </c>
    </row>
    <row r="367" customFormat="false" ht="15" hidden="false" customHeight="false" outlineLevel="0" collapsed="false">
      <c r="A367" s="8" t="s">
        <v>809</v>
      </c>
      <c r="B367" s="12" t="s">
        <v>810</v>
      </c>
      <c r="C367" s="8" t="s">
        <v>781</v>
      </c>
      <c r="D367" s="12" t="s">
        <v>782</v>
      </c>
      <c r="E367" s="10" t="str">
        <f aca="true">IFERROR(IF(INDEX(INDIRECT("'"&amp;$AI367&amp;"'!$E$2:$E$121"),MATCH($A367,INDIRECT("'"&amp;$AI367&amp;"'!$A$2:$A$121"),0))="","",INDEX(INDIRECT("'"&amp;$AI367&amp;"'!$E$2:$E$121"),MATCH($A367,INDIRECT("'"&amp;$AI367&amp;"'!$A$2:$A$121"),0))),"")</f>
        <v/>
      </c>
      <c r="F367" s="9" t="str">
        <f aca="false">IF($E367="","",IFERROR(INDEX(担当者マスタ!$B$2:$B$101,MATCH($E367,担当者マスタ!$A$2:$A$101,0)),"※マスタ未登録"))</f>
        <v/>
      </c>
      <c r="G367" s="11" t="n">
        <v>8.97</v>
      </c>
      <c r="H367" s="11" t="n">
        <v>0</v>
      </c>
      <c r="I367" s="11" t="n">
        <v>16.528</v>
      </c>
      <c r="J367" s="11" t="n">
        <v>0</v>
      </c>
      <c r="K367" s="11" t="n">
        <v>0</v>
      </c>
      <c r="L367" s="11" t="n">
        <v>0</v>
      </c>
      <c r="M367" s="11" t="n">
        <f aca="false">SUM(G367:L367)</f>
        <v>25.498</v>
      </c>
      <c r="N367" s="11" t="n">
        <v>2.13</v>
      </c>
      <c r="O367" s="11" t="n">
        <v>0</v>
      </c>
      <c r="P367" s="11" t="n">
        <v>3.968</v>
      </c>
      <c r="Q367" s="11" t="n">
        <v>0</v>
      </c>
      <c r="R367" s="11" t="n">
        <v>0</v>
      </c>
      <c r="S367" s="11" t="n">
        <v>0</v>
      </c>
      <c r="T367" s="11" t="n">
        <f aca="false">SUM(N367:S367)</f>
        <v>6.098</v>
      </c>
      <c r="U367" s="11" t="n">
        <v>0</v>
      </c>
      <c r="V367" s="11" t="n">
        <v>0</v>
      </c>
      <c r="W367" s="11" t="n">
        <v>0</v>
      </c>
      <c r="X367" s="11" t="n">
        <v>0</v>
      </c>
      <c r="Y367" s="11" t="n">
        <v>0</v>
      </c>
      <c r="Z367" s="11" t="n">
        <v>0</v>
      </c>
      <c r="AA367" s="11" t="n">
        <f aca="false">SUM(U367:Z367)</f>
        <v>0</v>
      </c>
      <c r="AB367" s="11" t="n">
        <v>0</v>
      </c>
      <c r="AC367" s="11" t="n">
        <v>0</v>
      </c>
      <c r="AD367" s="11" t="n">
        <v>0</v>
      </c>
      <c r="AE367" s="11" t="n">
        <v>0</v>
      </c>
      <c r="AF367" s="11" t="n">
        <v>0</v>
      </c>
      <c r="AG367" s="11" t="n">
        <v>0</v>
      </c>
      <c r="AH367" s="11" t="n">
        <f aca="false">SUM(AB367:AG367)</f>
        <v>0</v>
      </c>
      <c r="AI367" s="12" t="s">
        <v>710</v>
      </c>
    </row>
    <row r="368" customFormat="false" ht="15" hidden="false" customHeight="false" outlineLevel="0" collapsed="false">
      <c r="A368" s="8" t="s">
        <v>811</v>
      </c>
      <c r="B368" s="12" t="s">
        <v>812</v>
      </c>
      <c r="C368" s="8" t="s">
        <v>781</v>
      </c>
      <c r="D368" s="12" t="s">
        <v>782</v>
      </c>
      <c r="E368" s="10" t="str">
        <f aca="true">IFERROR(IF(INDEX(INDIRECT("'"&amp;$AI368&amp;"'!$E$2:$E$121"),MATCH($A368,INDIRECT("'"&amp;$AI368&amp;"'!$A$2:$A$121"),0))="","",INDEX(INDIRECT("'"&amp;$AI368&amp;"'!$E$2:$E$121"),MATCH($A368,INDIRECT("'"&amp;$AI368&amp;"'!$A$2:$A$121"),0))),"")</f>
        <v/>
      </c>
      <c r="F368" s="9" t="str">
        <f aca="false">IF($E368="","",IFERROR(INDEX(担当者マスタ!$B$2:$B$101,MATCH($E368,担当者マスタ!$A$2:$A$101,0)),"※マスタ未登録"))</f>
        <v/>
      </c>
      <c r="G368" s="11" t="n">
        <v>2722.476</v>
      </c>
      <c r="H368" s="11" t="n">
        <v>4106.296</v>
      </c>
      <c r="I368" s="11" t="n">
        <v>3883.11</v>
      </c>
      <c r="J368" s="11" t="n">
        <v>3534.434</v>
      </c>
      <c r="K368" s="11" t="n">
        <v>3665.369</v>
      </c>
      <c r="L368" s="11" t="n">
        <v>5117.966</v>
      </c>
      <c r="M368" s="11" t="n">
        <f aca="false">SUM(G368:L368)</f>
        <v>23029.651</v>
      </c>
      <c r="N368" s="11" t="n">
        <v>569.994</v>
      </c>
      <c r="O368" s="11" t="n">
        <v>937.109</v>
      </c>
      <c r="P368" s="11" t="n">
        <v>892.183</v>
      </c>
      <c r="Q368" s="11" t="n">
        <v>838.708</v>
      </c>
      <c r="R368" s="11" t="n">
        <v>905.232</v>
      </c>
      <c r="S368" s="11" t="n">
        <v>1247.375</v>
      </c>
      <c r="T368" s="11" t="n">
        <f aca="false">SUM(N368:S368)</f>
        <v>5390.601</v>
      </c>
      <c r="U368" s="11" t="n">
        <v>4558.754</v>
      </c>
      <c r="V368" s="11" t="n">
        <v>2349.957</v>
      </c>
      <c r="W368" s="11" t="n">
        <v>2163.499</v>
      </c>
      <c r="X368" s="11" t="n">
        <v>3650.703</v>
      </c>
      <c r="Y368" s="11" t="n">
        <v>1871.974</v>
      </c>
      <c r="Z368" s="11" t="n">
        <v>3316.142</v>
      </c>
      <c r="AA368" s="11" t="n">
        <f aca="false">SUM(U368:Z368)</f>
        <v>17911.029</v>
      </c>
      <c r="AB368" s="11" t="n">
        <v>1087.119</v>
      </c>
      <c r="AC368" s="11" t="n">
        <v>543.47</v>
      </c>
      <c r="AD368" s="11" t="n">
        <v>482.657</v>
      </c>
      <c r="AE368" s="11" t="n">
        <v>820.281</v>
      </c>
      <c r="AF368" s="11" t="n">
        <v>428.559</v>
      </c>
      <c r="AG368" s="11" t="n">
        <v>743.915</v>
      </c>
      <c r="AH368" s="11" t="n">
        <f aca="false">SUM(AB368:AG368)</f>
        <v>4106.001</v>
      </c>
      <c r="AI368" s="12" t="s">
        <v>710</v>
      </c>
    </row>
    <row r="369" customFormat="false" ht="15" hidden="false" customHeight="false" outlineLevel="0" collapsed="false">
      <c r="A369" s="8" t="s">
        <v>813</v>
      </c>
      <c r="B369" s="12" t="s">
        <v>814</v>
      </c>
      <c r="C369" s="8" t="s">
        <v>781</v>
      </c>
      <c r="D369" s="12" t="s">
        <v>782</v>
      </c>
      <c r="E369" s="10" t="str">
        <f aca="true">IFERROR(IF(INDEX(INDIRECT("'"&amp;$AI369&amp;"'!$E$2:$E$121"),MATCH($A369,INDIRECT("'"&amp;$AI369&amp;"'!$A$2:$A$121"),0))="","",INDEX(INDIRECT("'"&amp;$AI369&amp;"'!$E$2:$E$121"),MATCH($A369,INDIRECT("'"&amp;$AI369&amp;"'!$A$2:$A$121"),0))),"")</f>
        <v/>
      </c>
      <c r="F369" s="9" t="str">
        <f aca="false">IF($E369="","",IFERROR(INDEX(担当者マスタ!$B$2:$B$101,MATCH($E369,担当者マスタ!$A$2:$A$101,0)),"※マスタ未登録"))</f>
        <v/>
      </c>
      <c r="G369" s="11" t="n">
        <v>0</v>
      </c>
      <c r="H369" s="11" t="n">
        <v>28</v>
      </c>
      <c r="I369" s="11" t="n">
        <v>0</v>
      </c>
      <c r="J369" s="11" t="n">
        <v>28</v>
      </c>
      <c r="K369" s="11" t="n">
        <v>0</v>
      </c>
      <c r="L369" s="11" t="n">
        <v>28</v>
      </c>
      <c r="M369" s="11" t="n">
        <f aca="false">SUM(G369:L369)</f>
        <v>84</v>
      </c>
      <c r="N369" s="11" t="n">
        <v>0</v>
      </c>
      <c r="O369" s="11" t="n">
        <v>5</v>
      </c>
      <c r="P369" s="11" t="n">
        <v>0</v>
      </c>
      <c r="Q369" s="11" t="n">
        <v>5</v>
      </c>
      <c r="R369" s="11" t="n">
        <v>0</v>
      </c>
      <c r="S369" s="11" t="n">
        <v>5</v>
      </c>
      <c r="T369" s="11" t="n">
        <f aca="false">SUM(N369:S369)</f>
        <v>15</v>
      </c>
      <c r="U369" s="11" t="n">
        <v>0</v>
      </c>
      <c r="V369" s="11" t="n">
        <v>28</v>
      </c>
      <c r="W369" s="11" t="n">
        <v>28</v>
      </c>
      <c r="X369" s="11" t="n">
        <v>0</v>
      </c>
      <c r="Y369" s="11" t="n">
        <v>28</v>
      </c>
      <c r="Z369" s="11" t="n">
        <v>0</v>
      </c>
      <c r="AA369" s="11" t="n">
        <f aca="false">SUM(U369:Z369)</f>
        <v>84</v>
      </c>
      <c r="AB369" s="11" t="n">
        <v>0</v>
      </c>
      <c r="AC369" s="11" t="n">
        <v>5</v>
      </c>
      <c r="AD369" s="11" t="n">
        <v>5</v>
      </c>
      <c r="AE369" s="11" t="n">
        <v>0</v>
      </c>
      <c r="AF369" s="11" t="n">
        <v>5</v>
      </c>
      <c r="AG369" s="11" t="n">
        <v>0</v>
      </c>
      <c r="AH369" s="11" t="n">
        <f aca="false">SUM(AB369:AG369)</f>
        <v>15</v>
      </c>
      <c r="AI369" s="12" t="s">
        <v>710</v>
      </c>
    </row>
    <row r="370" customFormat="false" ht="15" hidden="false" customHeight="false" outlineLevel="0" collapsed="false">
      <c r="A370" s="8" t="s">
        <v>815</v>
      </c>
      <c r="B370" s="12" t="s">
        <v>816</v>
      </c>
      <c r="C370" s="8" t="s">
        <v>781</v>
      </c>
      <c r="D370" s="12" t="s">
        <v>782</v>
      </c>
      <c r="E370" s="10" t="str">
        <f aca="true">IFERROR(IF(INDEX(INDIRECT("'"&amp;$AI370&amp;"'!$E$2:$E$121"),MATCH($A370,INDIRECT("'"&amp;$AI370&amp;"'!$A$2:$A$121"),0))="","",INDEX(INDIRECT("'"&amp;$AI370&amp;"'!$E$2:$E$121"),MATCH($A370,INDIRECT("'"&amp;$AI370&amp;"'!$A$2:$A$121"),0))),"")</f>
        <v/>
      </c>
      <c r="F370" s="9" t="str">
        <f aca="false">IF($E370="","",IFERROR(INDEX(担当者マスタ!$B$2:$B$101,MATCH($E370,担当者マスタ!$A$2:$A$101,0)),"※マスタ未登録"))</f>
        <v/>
      </c>
      <c r="G370" s="11" t="n">
        <v>27.8</v>
      </c>
      <c r="H370" s="11" t="n">
        <v>0</v>
      </c>
      <c r="I370" s="11" t="n">
        <v>36.56</v>
      </c>
      <c r="J370" s="11" t="n">
        <v>0</v>
      </c>
      <c r="K370" s="11" t="n">
        <v>395.762</v>
      </c>
      <c r="L370" s="11" t="n">
        <v>163.52</v>
      </c>
      <c r="M370" s="11" t="n">
        <f aca="false">SUM(G370:L370)</f>
        <v>623.642</v>
      </c>
      <c r="N370" s="11" t="n">
        <v>4.474</v>
      </c>
      <c r="O370" s="11" t="n">
        <v>0</v>
      </c>
      <c r="P370" s="11" t="n">
        <v>5.954</v>
      </c>
      <c r="Q370" s="11" t="n">
        <v>0</v>
      </c>
      <c r="R370" s="11" t="n">
        <v>53.401</v>
      </c>
      <c r="S370" s="11" t="n">
        <v>24.64</v>
      </c>
      <c r="T370" s="11" t="n">
        <f aca="false">SUM(N370:S370)</f>
        <v>88.469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f aca="false">SUM(U370:Z370)</f>
        <v>0</v>
      </c>
      <c r="AB370" s="11" t="n">
        <v>0</v>
      </c>
      <c r="AC370" s="11" t="n">
        <v>0</v>
      </c>
      <c r="AD370" s="11" t="n">
        <v>0</v>
      </c>
      <c r="AE370" s="11" t="n">
        <v>0</v>
      </c>
      <c r="AF370" s="11" t="n">
        <v>0</v>
      </c>
      <c r="AG370" s="11" t="n">
        <v>0</v>
      </c>
      <c r="AH370" s="11" t="n">
        <f aca="false">SUM(AB370:AG370)</f>
        <v>0</v>
      </c>
      <c r="AI370" s="12" t="s">
        <v>710</v>
      </c>
    </row>
    <row r="371" customFormat="false" ht="15" hidden="false" customHeight="false" outlineLevel="0" collapsed="false">
      <c r="A371" s="8" t="s">
        <v>817</v>
      </c>
      <c r="B371" s="12" t="s">
        <v>818</v>
      </c>
      <c r="C371" s="8" t="s">
        <v>781</v>
      </c>
      <c r="D371" s="12" t="s">
        <v>782</v>
      </c>
      <c r="E371" s="10" t="str">
        <f aca="true">IFERROR(IF(INDEX(INDIRECT("'"&amp;$AI371&amp;"'!$E$2:$E$121"),MATCH($A371,INDIRECT("'"&amp;$AI371&amp;"'!$A$2:$A$121"),0))="","",INDEX(INDIRECT("'"&amp;$AI371&amp;"'!$E$2:$E$121"),MATCH($A371,INDIRECT("'"&amp;$AI371&amp;"'!$A$2:$A$121"),0))),"")</f>
        <v/>
      </c>
      <c r="F371" s="9" t="str">
        <f aca="false">IF($E371="","",IFERROR(INDEX(担当者マスタ!$B$2:$B$101,MATCH($E371,担当者マスタ!$A$2:$A$101,0)),"※マスタ未登録"))</f>
        <v/>
      </c>
      <c r="G371" s="11" t="n">
        <v>148.4</v>
      </c>
      <c r="H371" s="11" t="n">
        <v>117.75</v>
      </c>
      <c r="I371" s="11" t="n">
        <v>116.35</v>
      </c>
      <c r="J371" s="11" t="n">
        <v>78.35</v>
      </c>
      <c r="K371" s="11" t="n">
        <v>118.7</v>
      </c>
      <c r="L371" s="11" t="n">
        <v>78.35</v>
      </c>
      <c r="M371" s="11" t="n">
        <f aca="false">SUM(G371:L371)</f>
        <v>657.9</v>
      </c>
      <c r="N371" s="11" t="n">
        <v>19.15</v>
      </c>
      <c r="O371" s="11" t="n">
        <v>19.59</v>
      </c>
      <c r="P371" s="11" t="n">
        <v>22.5</v>
      </c>
      <c r="Q371" s="11" t="n">
        <v>14.1</v>
      </c>
      <c r="R371" s="11" t="n">
        <v>19.8</v>
      </c>
      <c r="S371" s="11" t="n">
        <v>14.1</v>
      </c>
      <c r="T371" s="11" t="n">
        <f aca="false">SUM(N371:S371)</f>
        <v>109.24</v>
      </c>
      <c r="U371" s="11" t="n">
        <v>118.7</v>
      </c>
      <c r="V371" s="11" t="n">
        <v>78.35</v>
      </c>
      <c r="W371" s="11" t="n">
        <v>156.7</v>
      </c>
      <c r="X371" s="11" t="n">
        <v>38</v>
      </c>
      <c r="Y371" s="11" t="n">
        <v>78.35</v>
      </c>
      <c r="Z371" s="11" t="n">
        <v>78.35</v>
      </c>
      <c r="AA371" s="11" t="n">
        <f aca="false">SUM(U371:Z371)</f>
        <v>548.45</v>
      </c>
      <c r="AB371" s="11" t="n">
        <v>19.8</v>
      </c>
      <c r="AC371" s="11" t="n">
        <v>14.1</v>
      </c>
      <c r="AD371" s="11" t="n">
        <v>28.2</v>
      </c>
      <c r="AE371" s="11" t="n">
        <v>8.4</v>
      </c>
      <c r="AF371" s="11" t="n">
        <v>14.1</v>
      </c>
      <c r="AG371" s="11" t="n">
        <v>14.1</v>
      </c>
      <c r="AH371" s="11" t="n">
        <f aca="false">SUM(AB371:AG371)</f>
        <v>98.7</v>
      </c>
      <c r="AI371" s="12" t="s">
        <v>710</v>
      </c>
    </row>
    <row r="372" customFormat="false" ht="15" hidden="false" customHeight="false" outlineLevel="0" collapsed="false">
      <c r="A372" s="8" t="s">
        <v>819</v>
      </c>
      <c r="B372" s="12" t="s">
        <v>820</v>
      </c>
      <c r="C372" s="8" t="s">
        <v>781</v>
      </c>
      <c r="D372" s="12" t="s">
        <v>782</v>
      </c>
      <c r="E372" s="10" t="str">
        <f aca="true">IFERROR(IF(INDEX(INDIRECT("'"&amp;$AI372&amp;"'!$E$2:$E$121"),MATCH($A372,INDIRECT("'"&amp;$AI372&amp;"'!$A$2:$A$121"),0))="","",INDEX(INDIRECT("'"&amp;$AI372&amp;"'!$E$2:$E$121"),MATCH($A372,INDIRECT("'"&amp;$AI372&amp;"'!$A$2:$A$121"),0))),"")</f>
        <v/>
      </c>
      <c r="F372" s="9" t="str">
        <f aca="false">IF($E372="","",IFERROR(INDEX(担当者マスタ!$B$2:$B$101,MATCH($E372,担当者マスタ!$A$2:$A$101,0)),"※マスタ未登録"))</f>
        <v/>
      </c>
      <c r="G372" s="11" t="n">
        <v>63.92</v>
      </c>
      <c r="H372" s="11" t="n">
        <v>47</v>
      </c>
      <c r="I372" s="11" t="n">
        <v>28.2</v>
      </c>
      <c r="J372" s="11" t="n">
        <v>0</v>
      </c>
      <c r="K372" s="11" t="n">
        <v>0</v>
      </c>
      <c r="L372" s="11" t="n">
        <v>0</v>
      </c>
      <c r="M372" s="11" t="n">
        <f aca="false">SUM(G372:L372)</f>
        <v>139.12</v>
      </c>
      <c r="N372" s="11" t="n">
        <v>14.212</v>
      </c>
      <c r="O372" s="11" t="n">
        <v>10.45</v>
      </c>
      <c r="P372" s="11" t="n">
        <v>6.27</v>
      </c>
      <c r="Q372" s="11" t="n">
        <v>0</v>
      </c>
      <c r="R372" s="11" t="n">
        <v>0</v>
      </c>
      <c r="S372" s="11" t="n">
        <v>0</v>
      </c>
      <c r="T372" s="11" t="n">
        <f aca="false">SUM(N372:S372)</f>
        <v>30.932</v>
      </c>
      <c r="U372" s="11" t="n">
        <v>0</v>
      </c>
      <c r="V372" s="11" t="n">
        <v>0</v>
      </c>
      <c r="W372" s="11" t="n">
        <v>0</v>
      </c>
      <c r="X372" s="11" t="n">
        <v>0</v>
      </c>
      <c r="Y372" s="11" t="n">
        <v>0</v>
      </c>
      <c r="Z372" s="11" t="n">
        <v>0</v>
      </c>
      <c r="AA372" s="11" t="n">
        <f aca="false">SUM(U372:Z372)</f>
        <v>0</v>
      </c>
      <c r="AB372" s="11" t="n">
        <v>0</v>
      </c>
      <c r="AC372" s="11" t="n">
        <v>0</v>
      </c>
      <c r="AD372" s="11" t="n">
        <v>0</v>
      </c>
      <c r="AE372" s="11" t="n">
        <v>0</v>
      </c>
      <c r="AF372" s="11" t="n">
        <v>0</v>
      </c>
      <c r="AG372" s="11" t="n">
        <v>0</v>
      </c>
      <c r="AH372" s="11" t="n">
        <f aca="false">SUM(AB372:AG372)</f>
        <v>0</v>
      </c>
      <c r="AI372" s="12" t="s">
        <v>710</v>
      </c>
    </row>
    <row r="373" customFormat="false" ht="15" hidden="false" customHeight="false" outlineLevel="0" collapsed="false">
      <c r="A373" s="8" t="s">
        <v>821</v>
      </c>
      <c r="B373" s="12" t="s">
        <v>822</v>
      </c>
      <c r="C373" s="8" t="s">
        <v>781</v>
      </c>
      <c r="D373" s="12" t="s">
        <v>782</v>
      </c>
      <c r="E373" s="10" t="str">
        <f aca="true">IFERROR(IF(INDEX(INDIRECT("'"&amp;$AI373&amp;"'!$E$2:$E$121"),MATCH($A373,INDIRECT("'"&amp;$AI373&amp;"'!$A$2:$A$121"),0))="","",INDEX(INDIRECT("'"&amp;$AI373&amp;"'!$E$2:$E$121"),MATCH($A373,INDIRECT("'"&amp;$AI373&amp;"'!$A$2:$A$121"),0))),"")</f>
        <v/>
      </c>
      <c r="F373" s="9" t="str">
        <f aca="false">IF($E373="","",IFERROR(INDEX(担当者マスタ!$B$2:$B$101,MATCH($E373,担当者マスタ!$A$2:$A$101,0)),"※マスタ未登録"))</f>
        <v/>
      </c>
      <c r="G373" s="11" t="n">
        <v>0</v>
      </c>
      <c r="H373" s="11" t="n">
        <v>0</v>
      </c>
      <c r="I373" s="11" t="n">
        <v>0</v>
      </c>
      <c r="J373" s="11" t="n">
        <v>249.6</v>
      </c>
      <c r="K373" s="11" t="n">
        <v>0</v>
      </c>
      <c r="L373" s="11" t="n">
        <v>0</v>
      </c>
      <c r="M373" s="11" t="n">
        <f aca="false">SUM(G373:L373)</f>
        <v>249.6</v>
      </c>
      <c r="N373" s="11" t="n">
        <v>0</v>
      </c>
      <c r="O373" s="11" t="n">
        <v>0</v>
      </c>
      <c r="P373" s="11" t="n">
        <v>0</v>
      </c>
      <c r="Q373" s="11" t="n">
        <v>61.4</v>
      </c>
      <c r="R373" s="11" t="n">
        <v>0</v>
      </c>
      <c r="S373" s="11" t="n">
        <v>0</v>
      </c>
      <c r="T373" s="11" t="n">
        <f aca="false">SUM(N373:S373)</f>
        <v>61.4</v>
      </c>
      <c r="U373" s="11" t="n">
        <v>0</v>
      </c>
      <c r="V373" s="11" t="n">
        <v>0</v>
      </c>
      <c r="W373" s="11" t="n">
        <v>0</v>
      </c>
      <c r="X373" s="11" t="n">
        <v>0</v>
      </c>
      <c r="Y373" s="11" t="n">
        <v>0</v>
      </c>
      <c r="Z373" s="11" t="n">
        <v>0</v>
      </c>
      <c r="AA373" s="11" t="n">
        <f aca="false">SUM(U373:Z373)</f>
        <v>0</v>
      </c>
      <c r="AB373" s="11" t="n">
        <v>0</v>
      </c>
      <c r="AC373" s="11" t="n">
        <v>0</v>
      </c>
      <c r="AD373" s="11" t="n">
        <v>0</v>
      </c>
      <c r="AE373" s="11" t="n">
        <v>0</v>
      </c>
      <c r="AF373" s="11" t="n">
        <v>0</v>
      </c>
      <c r="AG373" s="11" t="n">
        <v>0</v>
      </c>
      <c r="AH373" s="11" t="n">
        <f aca="false">SUM(AB373:AG373)</f>
        <v>0</v>
      </c>
      <c r="AI373" s="12" t="s">
        <v>710</v>
      </c>
    </row>
    <row r="374" customFormat="false" ht="15" hidden="false" customHeight="false" outlineLevel="0" collapsed="false">
      <c r="A374" s="8" t="s">
        <v>823</v>
      </c>
      <c r="B374" s="12" t="s">
        <v>824</v>
      </c>
      <c r="C374" s="8" t="s">
        <v>781</v>
      </c>
      <c r="D374" s="12" t="s">
        <v>782</v>
      </c>
      <c r="E374" s="10" t="str">
        <f aca="true">IFERROR(IF(INDEX(INDIRECT("'"&amp;$AI374&amp;"'!$E$2:$E$121"),MATCH($A374,INDIRECT("'"&amp;$AI374&amp;"'!$A$2:$A$121"),0))="","",INDEX(INDIRECT("'"&amp;$AI374&amp;"'!$E$2:$E$121"),MATCH($A374,INDIRECT("'"&amp;$AI374&amp;"'!$A$2:$A$121"),0))),"")</f>
        <v/>
      </c>
      <c r="F374" s="9" t="str">
        <f aca="false">IF($E374="","",IFERROR(INDEX(担当者マスタ!$B$2:$B$101,MATCH($E374,担当者マスタ!$A$2:$A$101,0)),"※マスタ未登録"))</f>
        <v/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673.175</v>
      </c>
      <c r="L374" s="11" t="n">
        <v>0</v>
      </c>
      <c r="M374" s="11" t="n">
        <f aca="false">SUM(G374:L374)</f>
        <v>673.175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134.45</v>
      </c>
      <c r="S374" s="11" t="n">
        <v>0</v>
      </c>
      <c r="T374" s="11" t="n">
        <f aca="false">SUM(N374:S374)</f>
        <v>134.45</v>
      </c>
      <c r="U374" s="11" t="n">
        <v>0</v>
      </c>
      <c r="V374" s="11" t="n">
        <v>0</v>
      </c>
      <c r="W374" s="11" t="n">
        <v>560.425</v>
      </c>
      <c r="X374" s="11" t="n">
        <v>0</v>
      </c>
      <c r="Y374" s="11" t="n">
        <v>0</v>
      </c>
      <c r="Z374" s="11" t="n">
        <v>0</v>
      </c>
      <c r="AA374" s="11" t="n">
        <f aca="false">SUM(U374:Z374)</f>
        <v>560.425</v>
      </c>
      <c r="AB374" s="11" t="n">
        <v>0</v>
      </c>
      <c r="AC374" s="11" t="n">
        <v>0</v>
      </c>
      <c r="AD374" s="11" t="n">
        <v>115.95</v>
      </c>
      <c r="AE374" s="11" t="n">
        <v>0</v>
      </c>
      <c r="AF374" s="11" t="n">
        <v>0</v>
      </c>
      <c r="AG374" s="11" t="n">
        <v>0</v>
      </c>
      <c r="AH374" s="11" t="n">
        <f aca="false">SUM(AB374:AG374)</f>
        <v>115.95</v>
      </c>
      <c r="AI374" s="12" t="s">
        <v>710</v>
      </c>
    </row>
    <row r="375" customFormat="false" ht="15" hidden="false" customHeight="false" outlineLevel="0" collapsed="false">
      <c r="A375" s="8" t="s">
        <v>825</v>
      </c>
      <c r="B375" s="9" t="s">
        <v>826</v>
      </c>
      <c r="C375" s="8" t="s">
        <v>781</v>
      </c>
      <c r="D375" s="12" t="s">
        <v>782</v>
      </c>
      <c r="E375" s="10" t="str">
        <f aca="true">IFERROR(IF(INDEX(INDIRECT("'"&amp;$AI375&amp;"'!$E$2:$E$121"),MATCH($A375,INDIRECT("'"&amp;$AI375&amp;"'!$A$2:$A$121"),0))="","",INDEX(INDIRECT("'"&amp;$AI375&amp;"'!$E$2:$E$121"),MATCH($A375,INDIRECT("'"&amp;$AI375&amp;"'!$A$2:$A$121"),0))),"")</f>
        <v/>
      </c>
      <c r="F375" s="9" t="str">
        <f aca="false">IF($E375="","",IFERROR(INDEX(担当者マスタ!$B$2:$B$101,MATCH($E375,担当者マスタ!$A$2:$A$101,0)),"※マスタ未登録"))</f>
        <v/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62.5</v>
      </c>
      <c r="M375" s="11" t="n">
        <f aca="false">SUM(G375:L375)</f>
        <v>62.5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15</v>
      </c>
      <c r="T375" s="11" t="n">
        <f aca="false">SUM(N375:S375)</f>
        <v>15</v>
      </c>
      <c r="U375" s="11" t="n">
        <v>0</v>
      </c>
      <c r="V375" s="11" t="n">
        <v>0</v>
      </c>
      <c r="W375" s="11" t="n">
        <v>0</v>
      </c>
      <c r="X375" s="11" t="n">
        <v>49.599</v>
      </c>
      <c r="Y375" s="11" t="n">
        <v>56.688</v>
      </c>
      <c r="Z375" s="11" t="n">
        <v>43.406</v>
      </c>
      <c r="AA375" s="11" t="n">
        <f aca="false">SUM(U375:Z375)</f>
        <v>149.693</v>
      </c>
      <c r="AB375" s="11" t="n">
        <v>0</v>
      </c>
      <c r="AC375" s="11" t="n">
        <v>0</v>
      </c>
      <c r="AD375" s="11" t="n">
        <v>0</v>
      </c>
      <c r="AE375" s="11" t="n">
        <v>11.523</v>
      </c>
      <c r="AF375" s="11" t="n">
        <v>7.265</v>
      </c>
      <c r="AG375" s="11" t="n">
        <v>8.796</v>
      </c>
      <c r="AH375" s="11" t="n">
        <f aca="false">SUM(AB375:AG375)</f>
        <v>27.584</v>
      </c>
      <c r="AI375" s="12" t="s">
        <v>710</v>
      </c>
    </row>
    <row r="376" customFormat="false" ht="15" hidden="false" customHeight="false" outlineLevel="0" collapsed="false">
      <c r="A376" s="8" t="s">
        <v>827</v>
      </c>
      <c r="B376" s="12" t="s">
        <v>828</v>
      </c>
      <c r="C376" s="8" t="s">
        <v>781</v>
      </c>
      <c r="D376" s="12" t="s">
        <v>782</v>
      </c>
      <c r="E376" s="10" t="str">
        <f aca="true">IFERROR(IF(INDEX(INDIRECT("'"&amp;$AI376&amp;"'!$E$2:$E$121"),MATCH($A376,INDIRECT("'"&amp;$AI376&amp;"'!$A$2:$A$121"),0))="","",INDEX(INDIRECT("'"&amp;$AI376&amp;"'!$E$2:$E$121"),MATCH($A376,INDIRECT("'"&amp;$AI376&amp;"'!$A$2:$A$121"),0))),"")</f>
        <v/>
      </c>
      <c r="F376" s="9" t="str">
        <f aca="false">IF($E376="","",IFERROR(INDEX(担当者マスタ!$B$2:$B$101,MATCH($E376,担当者マスタ!$A$2:$A$101,0)),"※マスタ未登録"))</f>
        <v/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799.875</v>
      </c>
      <c r="M376" s="11" t="n">
        <f aca="false">SUM(G376:L376)</f>
        <v>799.875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167.275</v>
      </c>
      <c r="T376" s="11" t="n">
        <f aca="false">SUM(N376:S376)</f>
        <v>167.275</v>
      </c>
      <c r="U376" s="11" t="n">
        <v>0</v>
      </c>
      <c r="V376" s="11" t="n">
        <v>0</v>
      </c>
      <c r="W376" s="11" t="n">
        <v>0</v>
      </c>
      <c r="X376" s="11" t="n">
        <v>0</v>
      </c>
      <c r="Y376" s="11" t="n">
        <v>0</v>
      </c>
      <c r="Z376" s="11" t="n">
        <v>0</v>
      </c>
      <c r="AA376" s="11" t="n">
        <f aca="false">SUM(U376:Z376)</f>
        <v>0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0</v>
      </c>
      <c r="AG376" s="11" t="n">
        <v>0</v>
      </c>
      <c r="AH376" s="11" t="n">
        <f aca="false">SUM(AB376:AG376)</f>
        <v>0</v>
      </c>
      <c r="AI376" s="12" t="s">
        <v>710</v>
      </c>
    </row>
    <row r="377" customFormat="false" ht="15" hidden="false" customHeight="false" outlineLevel="0" collapsed="false">
      <c r="A377" s="8" t="s">
        <v>829</v>
      </c>
      <c r="B377" s="12" t="s">
        <v>830</v>
      </c>
      <c r="C377" s="8" t="s">
        <v>781</v>
      </c>
      <c r="D377" s="12" t="s">
        <v>782</v>
      </c>
      <c r="E377" s="10" t="str">
        <f aca="true">IFERROR(IF(INDEX(INDIRECT("'"&amp;$AI377&amp;"'!$E$2:$E$121"),MATCH($A377,INDIRECT("'"&amp;$AI377&amp;"'!$A$2:$A$121"),0))="","",INDEX(INDIRECT("'"&amp;$AI377&amp;"'!$E$2:$E$121"),MATCH($A377,INDIRECT("'"&amp;$AI377&amp;"'!$A$2:$A$121"),0))),"")</f>
        <v/>
      </c>
      <c r="F377" s="9" t="str">
        <f aca="false">IF($E377="","",IFERROR(INDEX(担当者マスタ!$B$2:$B$101,MATCH($E377,担当者マスタ!$A$2:$A$101,0)),"※マスタ未登録"))</f>
        <v/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f aca="false">SUM(G377:L377)</f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f aca="false">SUM(N377:S377)</f>
        <v>0</v>
      </c>
      <c r="U377" s="11" t="n">
        <v>1093.276</v>
      </c>
      <c r="V377" s="11" t="n">
        <v>974.95</v>
      </c>
      <c r="W377" s="11" t="n">
        <v>1022.262</v>
      </c>
      <c r="X377" s="11" t="n">
        <v>1021.582</v>
      </c>
      <c r="Y377" s="11" t="n">
        <v>1022.45</v>
      </c>
      <c r="Z377" s="11" t="n">
        <v>1010.769</v>
      </c>
      <c r="AA377" s="11" t="n">
        <f aca="false">SUM(U377:Z377)</f>
        <v>6145.289</v>
      </c>
      <c r="AB377" s="11" t="n">
        <v>78.592</v>
      </c>
      <c r="AC377" s="11" t="n">
        <v>75.61</v>
      </c>
      <c r="AD377" s="11" t="n">
        <v>79.993</v>
      </c>
      <c r="AE377" s="11" t="n">
        <v>79.562</v>
      </c>
      <c r="AF377" s="11" t="n">
        <v>82.678</v>
      </c>
      <c r="AG377" s="11" t="n">
        <v>92.296</v>
      </c>
      <c r="AH377" s="11" t="n">
        <f aca="false">SUM(AB377:AG377)</f>
        <v>488.731</v>
      </c>
      <c r="AI377" s="12" t="s">
        <v>710</v>
      </c>
    </row>
    <row r="378" customFormat="false" ht="15" hidden="false" customHeight="false" outlineLevel="0" collapsed="false">
      <c r="A378" s="8" t="s">
        <v>831</v>
      </c>
      <c r="B378" s="12" t="s">
        <v>832</v>
      </c>
      <c r="C378" s="8" t="s">
        <v>781</v>
      </c>
      <c r="D378" s="12" t="s">
        <v>782</v>
      </c>
      <c r="E378" s="10" t="str">
        <f aca="true">IFERROR(IF(INDEX(INDIRECT("'"&amp;$AI378&amp;"'!$E$2:$E$121"),MATCH($A378,INDIRECT("'"&amp;$AI378&amp;"'!$A$2:$A$121"),0))="","",INDEX(INDIRECT("'"&amp;$AI378&amp;"'!$E$2:$E$121"),MATCH($A378,INDIRECT("'"&amp;$AI378&amp;"'!$A$2:$A$121"),0))),"")</f>
        <v/>
      </c>
      <c r="F378" s="9" t="str">
        <f aca="false">IF($E378="","",IFERROR(INDEX(担当者マスタ!$B$2:$B$101,MATCH($E378,担当者マスタ!$A$2:$A$101,0)),"※マスタ未登録"))</f>
        <v/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f aca="false">SUM(G378:L378)</f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f aca="false">SUM(N378:S378)</f>
        <v>0</v>
      </c>
      <c r="U378" s="11" t="n">
        <v>0</v>
      </c>
      <c r="V378" s="11" t="n">
        <v>0</v>
      </c>
      <c r="W378" s="11" t="n">
        <v>0</v>
      </c>
      <c r="X378" s="11" t="n">
        <v>156.85</v>
      </c>
      <c r="Y378" s="11" t="n">
        <v>0</v>
      </c>
      <c r="Z378" s="11" t="n">
        <v>0</v>
      </c>
      <c r="AA378" s="11" t="n">
        <f aca="false">SUM(U378:Z378)</f>
        <v>156.85</v>
      </c>
      <c r="AB378" s="11" t="n">
        <v>0</v>
      </c>
      <c r="AC378" s="11" t="n">
        <v>0</v>
      </c>
      <c r="AD378" s="11" t="n">
        <v>0</v>
      </c>
      <c r="AE378" s="11" t="n">
        <v>34.39</v>
      </c>
      <c r="AF378" s="11" t="n">
        <v>0</v>
      </c>
      <c r="AG378" s="11" t="n">
        <v>0</v>
      </c>
      <c r="AH378" s="11" t="n">
        <f aca="false">SUM(AB378:AG378)</f>
        <v>34.39</v>
      </c>
      <c r="AI378" s="12" t="s">
        <v>710</v>
      </c>
    </row>
    <row r="379" customFormat="false" ht="15" hidden="false" customHeight="false" outlineLevel="0" collapsed="false">
      <c r="A379" s="8" t="s">
        <v>833</v>
      </c>
      <c r="B379" s="9" t="s">
        <v>834</v>
      </c>
      <c r="C379" s="8" t="s">
        <v>781</v>
      </c>
      <c r="D379" s="12" t="s">
        <v>782</v>
      </c>
      <c r="E379" s="10" t="str">
        <f aca="true">IFERROR(IF(INDEX(INDIRECT("'"&amp;$AI379&amp;"'!$E$2:$E$121"),MATCH($A379,INDIRECT("'"&amp;$AI379&amp;"'!$A$2:$A$121"),0))="","",INDEX(INDIRECT("'"&amp;$AI379&amp;"'!$E$2:$E$121"),MATCH($A379,INDIRECT("'"&amp;$AI379&amp;"'!$A$2:$A$121"),0))),"")</f>
        <v/>
      </c>
      <c r="F379" s="9" t="str">
        <f aca="false">IF($E379="","",IFERROR(INDEX(担当者マスタ!$B$2:$B$101,MATCH($E379,担当者マスタ!$A$2:$A$101,0)),"※マスタ未登録"))</f>
        <v/>
      </c>
      <c r="G379" s="11" t="n">
        <v>1103.002</v>
      </c>
      <c r="H379" s="11" t="n">
        <v>1085.424</v>
      </c>
      <c r="I379" s="11" t="n">
        <v>1055.167</v>
      </c>
      <c r="J379" s="11" t="n">
        <v>1042.899</v>
      </c>
      <c r="K379" s="11" t="n">
        <v>891.11</v>
      </c>
      <c r="L379" s="11" t="n">
        <v>850.286</v>
      </c>
      <c r="M379" s="11" t="n">
        <f aca="false">SUM(G379:L379)</f>
        <v>6027.888</v>
      </c>
      <c r="N379" s="11" t="n">
        <v>186.913</v>
      </c>
      <c r="O379" s="11" t="n">
        <v>171.98</v>
      </c>
      <c r="P379" s="11" t="n">
        <v>174.725</v>
      </c>
      <c r="Q379" s="11" t="n">
        <v>159.01</v>
      </c>
      <c r="R379" s="11" t="n">
        <v>144.038</v>
      </c>
      <c r="S379" s="11" t="n">
        <v>128.921</v>
      </c>
      <c r="T379" s="11" t="n">
        <f aca="false">SUM(N379:S379)</f>
        <v>965.587</v>
      </c>
      <c r="U379" s="11" t="n">
        <v>1004.158</v>
      </c>
      <c r="V379" s="11" t="n">
        <v>1103.739</v>
      </c>
      <c r="W379" s="11" t="n">
        <v>1227.91</v>
      </c>
      <c r="X379" s="11" t="n">
        <v>1185.758</v>
      </c>
      <c r="Y379" s="11" t="n">
        <v>917.761</v>
      </c>
      <c r="Z379" s="11" t="n">
        <v>946.299</v>
      </c>
      <c r="AA379" s="11" t="n">
        <f aca="false">SUM(U379:Z379)</f>
        <v>6385.625</v>
      </c>
      <c r="AB379" s="11" t="n">
        <v>169.105</v>
      </c>
      <c r="AC379" s="11" t="n">
        <v>179.1</v>
      </c>
      <c r="AD379" s="11" t="n">
        <v>214.432</v>
      </c>
      <c r="AE379" s="11" t="n">
        <v>179.15</v>
      </c>
      <c r="AF379" s="11" t="n">
        <v>140.055</v>
      </c>
      <c r="AG379" s="11" t="n">
        <v>147.327</v>
      </c>
      <c r="AH379" s="11" t="n">
        <f aca="false">SUM(AB379:AG379)</f>
        <v>1029.169</v>
      </c>
      <c r="AI379" s="12" t="s">
        <v>710</v>
      </c>
    </row>
    <row r="380" customFormat="false" ht="15" hidden="false" customHeight="false" outlineLevel="0" collapsed="false">
      <c r="A380" s="8" t="s">
        <v>835</v>
      </c>
      <c r="B380" s="12" t="s">
        <v>836</v>
      </c>
      <c r="C380" s="8" t="s">
        <v>837</v>
      </c>
      <c r="D380" s="12" t="s">
        <v>838</v>
      </c>
      <c r="E380" s="10" t="str">
        <f aca="true">IFERROR(IF(INDEX(INDIRECT("'"&amp;$AI380&amp;"'!$E$2:$E$121"),MATCH($A380,INDIRECT("'"&amp;$AI380&amp;"'!$A$2:$A$121"),0))="","",INDEX(INDIRECT("'"&amp;$AI380&amp;"'!$E$2:$E$121"),MATCH($A380,INDIRECT("'"&amp;$AI380&amp;"'!$A$2:$A$121"),0))),"")</f>
        <v/>
      </c>
      <c r="F380" s="9" t="str">
        <f aca="false">IF($E380="","",IFERROR(INDEX(担当者マスタ!$B$2:$B$101,MATCH($E380,担当者マスタ!$A$2:$A$101,0)),"※マスタ未登録"))</f>
        <v/>
      </c>
      <c r="G380" s="11" t="n">
        <v>366.963</v>
      </c>
      <c r="H380" s="11" t="n">
        <v>485.331</v>
      </c>
      <c r="I380" s="11" t="n">
        <v>563.762</v>
      </c>
      <c r="J380" s="11" t="n">
        <v>346.413</v>
      </c>
      <c r="K380" s="11" t="n">
        <v>328.544</v>
      </c>
      <c r="L380" s="11" t="n">
        <v>397.678</v>
      </c>
      <c r="M380" s="11" t="n">
        <f aca="false">SUM(G380:L380)</f>
        <v>2488.691</v>
      </c>
      <c r="N380" s="11" t="n">
        <v>47.136</v>
      </c>
      <c r="O380" s="11" t="n">
        <v>78.137</v>
      </c>
      <c r="P380" s="11" t="n">
        <v>109.547</v>
      </c>
      <c r="Q380" s="11" t="n">
        <v>58.976</v>
      </c>
      <c r="R380" s="11" t="n">
        <v>52.488</v>
      </c>
      <c r="S380" s="11" t="n">
        <v>61.781</v>
      </c>
      <c r="T380" s="11" t="n">
        <f aca="false">SUM(N380:S380)</f>
        <v>408.065</v>
      </c>
      <c r="U380" s="11" t="n">
        <v>469.562</v>
      </c>
      <c r="V380" s="11" t="n">
        <v>378.168</v>
      </c>
      <c r="W380" s="11" t="n">
        <v>453.723</v>
      </c>
      <c r="X380" s="11" t="n">
        <v>228.174</v>
      </c>
      <c r="Y380" s="11" t="n">
        <v>234.53</v>
      </c>
      <c r="Z380" s="11" t="n">
        <v>288.65</v>
      </c>
      <c r="AA380" s="11" t="n">
        <f aca="false">SUM(U380:Z380)</f>
        <v>2052.807</v>
      </c>
      <c r="AB380" s="11" t="n">
        <v>83.318</v>
      </c>
      <c r="AC380" s="11" t="n">
        <v>64.801</v>
      </c>
      <c r="AD380" s="11" t="n">
        <v>88.114</v>
      </c>
      <c r="AE380" s="11" t="n">
        <v>44.442</v>
      </c>
      <c r="AF380" s="11" t="n">
        <v>43.204</v>
      </c>
      <c r="AG380" s="11" t="n">
        <v>55.137</v>
      </c>
      <c r="AH380" s="11" t="n">
        <f aca="false">SUM(AB380:AG380)</f>
        <v>379.016</v>
      </c>
      <c r="AI380" s="12" t="s">
        <v>710</v>
      </c>
    </row>
    <row r="381" customFormat="false" ht="15" hidden="false" customHeight="false" outlineLevel="0" collapsed="false">
      <c r="A381" s="8" t="s">
        <v>839</v>
      </c>
      <c r="B381" s="12" t="s">
        <v>840</v>
      </c>
      <c r="C381" s="8" t="s">
        <v>837</v>
      </c>
      <c r="D381" s="12" t="s">
        <v>838</v>
      </c>
      <c r="E381" s="10" t="str">
        <f aca="true">IFERROR(IF(INDEX(INDIRECT("'"&amp;$AI381&amp;"'!$E$2:$E$121"),MATCH($A381,INDIRECT("'"&amp;$AI381&amp;"'!$A$2:$A$121"),0))="","",INDEX(INDIRECT("'"&amp;$AI381&amp;"'!$E$2:$E$121"),MATCH($A381,INDIRECT("'"&amp;$AI381&amp;"'!$A$2:$A$121"),0))),"")</f>
        <v/>
      </c>
      <c r="F381" s="9" t="str">
        <f aca="false">IF($E381="","",IFERROR(INDEX(担当者マスタ!$B$2:$B$101,MATCH($E381,担当者マスタ!$A$2:$A$101,0)),"※マスタ未登録"))</f>
        <v/>
      </c>
      <c r="G381" s="11" t="n">
        <v>0</v>
      </c>
      <c r="H381" s="11" t="n">
        <v>0</v>
      </c>
      <c r="I381" s="11" t="n">
        <v>69.2</v>
      </c>
      <c r="J381" s="11" t="n">
        <v>0</v>
      </c>
      <c r="K381" s="11" t="n">
        <v>0</v>
      </c>
      <c r="L381" s="11" t="n">
        <v>0</v>
      </c>
      <c r="M381" s="11" t="n">
        <f aca="false">SUM(G381:L381)</f>
        <v>69.2</v>
      </c>
      <c r="N381" s="11" t="n">
        <v>0</v>
      </c>
      <c r="O381" s="11" t="n">
        <v>0</v>
      </c>
      <c r="P381" s="11" t="n">
        <v>12.8</v>
      </c>
      <c r="Q381" s="11" t="n">
        <v>0</v>
      </c>
      <c r="R381" s="11" t="n">
        <v>0</v>
      </c>
      <c r="S381" s="11" t="n">
        <v>0</v>
      </c>
      <c r="T381" s="11" t="n">
        <f aca="false">SUM(N381:S381)</f>
        <v>12.8</v>
      </c>
      <c r="U381" s="11" t="n">
        <v>0</v>
      </c>
      <c r="V381" s="11" t="n">
        <v>0</v>
      </c>
      <c r="W381" s="11" t="n">
        <v>0</v>
      </c>
      <c r="X381" s="11" t="n">
        <v>0</v>
      </c>
      <c r="Y381" s="11" t="n">
        <v>39</v>
      </c>
      <c r="Z381" s="11" t="n">
        <v>0</v>
      </c>
      <c r="AA381" s="11" t="n">
        <f aca="false">SUM(U381:Z381)</f>
        <v>39</v>
      </c>
      <c r="AB381" s="11" t="n">
        <v>0</v>
      </c>
      <c r="AC381" s="11" t="n">
        <v>0</v>
      </c>
      <c r="AD381" s="11" t="n">
        <v>0</v>
      </c>
      <c r="AE381" s="11" t="n">
        <v>0</v>
      </c>
      <c r="AF381" s="11" t="n">
        <v>9.36</v>
      </c>
      <c r="AG381" s="11" t="n">
        <v>0</v>
      </c>
      <c r="AH381" s="11" t="n">
        <f aca="false">SUM(AB381:AG381)</f>
        <v>9.36</v>
      </c>
      <c r="AI381" s="12" t="s">
        <v>710</v>
      </c>
    </row>
    <row r="382" customFormat="false" ht="15" hidden="false" customHeight="false" outlineLevel="0" collapsed="false">
      <c r="A382" s="8" t="s">
        <v>841</v>
      </c>
      <c r="B382" s="12" t="s">
        <v>842</v>
      </c>
      <c r="C382" s="8" t="s">
        <v>837</v>
      </c>
      <c r="D382" s="12" t="s">
        <v>838</v>
      </c>
      <c r="E382" s="10" t="str">
        <f aca="true">IFERROR(IF(INDEX(INDIRECT("'"&amp;$AI382&amp;"'!$E$2:$E$121"),MATCH($A382,INDIRECT("'"&amp;$AI382&amp;"'!$A$2:$A$121"),0))="","",INDEX(INDIRECT("'"&amp;$AI382&amp;"'!$E$2:$E$121"),MATCH($A382,INDIRECT("'"&amp;$AI382&amp;"'!$A$2:$A$121"),0))),"")</f>
        <v/>
      </c>
      <c r="F382" s="9" t="str">
        <f aca="false">IF($E382="","",IFERROR(INDEX(担当者マスタ!$B$2:$B$101,MATCH($E382,担当者マスタ!$A$2:$A$101,0)),"※マスタ未登録"))</f>
        <v/>
      </c>
      <c r="G382" s="11" t="n">
        <v>247.368</v>
      </c>
      <c r="H382" s="11" t="n">
        <v>276.246</v>
      </c>
      <c r="I382" s="11" t="n">
        <v>2.64</v>
      </c>
      <c r="J382" s="11" t="n">
        <v>269.016</v>
      </c>
      <c r="K382" s="11" t="n">
        <v>271.656</v>
      </c>
      <c r="L382" s="11" t="n">
        <v>295.305</v>
      </c>
      <c r="M382" s="11" t="n">
        <f aca="false">SUM(G382:L382)</f>
        <v>1362.231</v>
      </c>
      <c r="N382" s="11" t="n">
        <v>59.548</v>
      </c>
      <c r="O382" s="11" t="n">
        <v>84.246</v>
      </c>
      <c r="P382" s="11" t="n">
        <v>0.74</v>
      </c>
      <c r="Q382" s="11" t="n">
        <v>82.896</v>
      </c>
      <c r="R382" s="11" t="n">
        <v>83.636</v>
      </c>
      <c r="S382" s="11" t="n">
        <v>81.577</v>
      </c>
      <c r="T382" s="11" t="n">
        <f aca="false">SUM(N382:S382)</f>
        <v>392.643</v>
      </c>
      <c r="U382" s="11" t="n">
        <v>297.42</v>
      </c>
      <c r="V382" s="11" t="n">
        <v>278.942</v>
      </c>
      <c r="W382" s="11" t="n">
        <v>274.766</v>
      </c>
      <c r="X382" s="11" t="n">
        <v>269.016</v>
      </c>
      <c r="Y382" s="11" t="n">
        <v>272.526</v>
      </c>
      <c r="Z382" s="11" t="n">
        <v>269.016</v>
      </c>
      <c r="AA382" s="11" t="n">
        <f aca="false">SUM(U382:Z382)</f>
        <v>1661.686</v>
      </c>
      <c r="AB382" s="11" t="n">
        <v>84.192</v>
      </c>
      <c r="AC382" s="11" t="n">
        <v>85.002</v>
      </c>
      <c r="AD382" s="11" t="n">
        <v>84.695</v>
      </c>
      <c r="AE382" s="11" t="n">
        <v>82.896</v>
      </c>
      <c r="AF382" s="11" t="n">
        <v>83.406</v>
      </c>
      <c r="AG382" s="11" t="n">
        <v>82.896</v>
      </c>
      <c r="AH382" s="11" t="n">
        <f aca="false">SUM(AB382:AG382)</f>
        <v>503.087</v>
      </c>
      <c r="AI382" s="12" t="s">
        <v>710</v>
      </c>
    </row>
    <row r="383" customFormat="false" ht="15" hidden="false" customHeight="false" outlineLevel="0" collapsed="false">
      <c r="A383" s="8" t="s">
        <v>843</v>
      </c>
      <c r="B383" s="12" t="s">
        <v>844</v>
      </c>
      <c r="C383" s="8" t="s">
        <v>837</v>
      </c>
      <c r="D383" s="12" t="s">
        <v>838</v>
      </c>
      <c r="E383" s="10" t="str">
        <f aca="true">IFERROR(IF(INDEX(INDIRECT("'"&amp;$AI383&amp;"'!$E$2:$E$121"),MATCH($A383,INDIRECT("'"&amp;$AI383&amp;"'!$A$2:$A$121"),0))="","",INDEX(INDIRECT("'"&amp;$AI383&amp;"'!$E$2:$E$121"),MATCH($A383,INDIRECT("'"&amp;$AI383&amp;"'!$A$2:$A$121"),0))),"")</f>
        <v/>
      </c>
      <c r="F383" s="9" t="str">
        <f aca="false">IF($E383="","",IFERROR(INDEX(担当者マスタ!$B$2:$B$101,MATCH($E383,担当者マスタ!$A$2:$A$101,0)),"※マスタ未登録"))</f>
        <v/>
      </c>
      <c r="G383" s="11" t="n">
        <v>165.96</v>
      </c>
      <c r="H383" s="11" t="n">
        <v>318.665</v>
      </c>
      <c r="I383" s="11" t="n">
        <v>420.695</v>
      </c>
      <c r="J383" s="11" t="n">
        <v>254.22</v>
      </c>
      <c r="K383" s="11" t="n">
        <v>54.9</v>
      </c>
      <c r="L383" s="11" t="n">
        <v>54.9</v>
      </c>
      <c r="M383" s="11" t="n">
        <f aca="false">SUM(G383:L383)</f>
        <v>1269.34</v>
      </c>
      <c r="N383" s="11" t="n">
        <v>45.294</v>
      </c>
      <c r="O383" s="11" t="n">
        <v>90.387</v>
      </c>
      <c r="P383" s="11" t="n">
        <v>132.455</v>
      </c>
      <c r="Q383" s="11" t="n">
        <v>70.086</v>
      </c>
      <c r="R383" s="11" t="n">
        <v>10.17</v>
      </c>
      <c r="S383" s="11" t="n">
        <v>10.17</v>
      </c>
      <c r="T383" s="11" t="n">
        <f aca="false">SUM(N383:S383)</f>
        <v>358.562</v>
      </c>
      <c r="U383" s="11" t="n">
        <v>149.775</v>
      </c>
      <c r="V383" s="11" t="n">
        <v>347.12</v>
      </c>
      <c r="W383" s="11" t="n">
        <v>583.495</v>
      </c>
      <c r="X383" s="11" t="n">
        <v>117.295</v>
      </c>
      <c r="Y383" s="11" t="n">
        <v>109.8</v>
      </c>
      <c r="Z383" s="11" t="n">
        <v>198.3</v>
      </c>
      <c r="AA383" s="11" t="n">
        <f aca="false">SUM(U383:Z383)</f>
        <v>1505.785</v>
      </c>
      <c r="AB383" s="11" t="n">
        <v>48.871</v>
      </c>
      <c r="AC383" s="11" t="n">
        <v>89.226</v>
      </c>
      <c r="AD383" s="11" t="n">
        <v>177.828</v>
      </c>
      <c r="AE383" s="11" t="n">
        <v>38.045</v>
      </c>
      <c r="AF383" s="11" t="n">
        <v>20.34</v>
      </c>
      <c r="AG383" s="11" t="n">
        <v>41.76</v>
      </c>
      <c r="AH383" s="11" t="n">
        <f aca="false">SUM(AB383:AG383)</f>
        <v>416.07</v>
      </c>
      <c r="AI383" s="12" t="s">
        <v>710</v>
      </c>
    </row>
    <row r="384" customFormat="false" ht="15" hidden="false" customHeight="false" outlineLevel="0" collapsed="false">
      <c r="A384" s="8" t="s">
        <v>845</v>
      </c>
      <c r="B384" s="12" t="s">
        <v>846</v>
      </c>
      <c r="C384" s="8" t="s">
        <v>837</v>
      </c>
      <c r="D384" s="12" t="s">
        <v>838</v>
      </c>
      <c r="E384" s="10" t="str">
        <f aca="true">IFERROR(IF(INDEX(INDIRECT("'"&amp;$AI384&amp;"'!$E$2:$E$121"),MATCH($A384,INDIRECT("'"&amp;$AI384&amp;"'!$A$2:$A$121"),0))="","",INDEX(INDIRECT("'"&amp;$AI384&amp;"'!$E$2:$E$121"),MATCH($A384,INDIRECT("'"&amp;$AI384&amp;"'!$A$2:$A$121"),0))),"")</f>
        <v/>
      </c>
      <c r="F384" s="9" t="str">
        <f aca="false">IF($E384="","",IFERROR(INDEX(担当者マスタ!$B$2:$B$101,MATCH($E384,担当者マスタ!$A$2:$A$101,0)),"※マスタ未登録"))</f>
        <v/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48</v>
      </c>
      <c r="L384" s="11" t="n">
        <v>0</v>
      </c>
      <c r="M384" s="11" t="n">
        <f aca="false">SUM(G384:L384)</f>
        <v>48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13</v>
      </c>
      <c r="S384" s="11" t="n">
        <v>0</v>
      </c>
      <c r="T384" s="11" t="n">
        <f aca="false">SUM(N384:S384)</f>
        <v>13</v>
      </c>
      <c r="U384" s="11" t="n">
        <v>0</v>
      </c>
      <c r="V384" s="11" t="n">
        <v>0</v>
      </c>
      <c r="W384" s="11" t="n">
        <v>0</v>
      </c>
      <c r="X384" s="11" t="n">
        <v>0</v>
      </c>
      <c r="Y384" s="11" t="n">
        <v>0</v>
      </c>
      <c r="Z384" s="11" t="n">
        <v>48</v>
      </c>
      <c r="AA384" s="11" t="n">
        <f aca="false">SUM(U384:Z384)</f>
        <v>48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0</v>
      </c>
      <c r="AG384" s="11" t="n">
        <v>13</v>
      </c>
      <c r="AH384" s="11" t="n">
        <f aca="false">SUM(AB384:AG384)</f>
        <v>13</v>
      </c>
      <c r="AI384" s="12" t="s">
        <v>710</v>
      </c>
    </row>
    <row r="385" customFormat="false" ht="15" hidden="false" customHeight="false" outlineLevel="0" collapsed="false">
      <c r="A385" s="8" t="s">
        <v>847</v>
      </c>
      <c r="B385" s="12" t="s">
        <v>848</v>
      </c>
      <c r="C385" s="8" t="s">
        <v>837</v>
      </c>
      <c r="D385" s="12" t="s">
        <v>838</v>
      </c>
      <c r="E385" s="10" t="str">
        <f aca="true">IFERROR(IF(INDEX(INDIRECT("'"&amp;$AI385&amp;"'!$E$2:$E$121"),MATCH($A385,INDIRECT("'"&amp;$AI385&amp;"'!$A$2:$A$121"),0))="","",INDEX(INDIRECT("'"&amp;$AI385&amp;"'!$E$2:$E$121"),MATCH($A385,INDIRECT("'"&amp;$AI385&amp;"'!$A$2:$A$121"),0))),"")</f>
        <v/>
      </c>
      <c r="F385" s="9" t="str">
        <f aca="false">IF($E385="","",IFERROR(INDEX(担当者マスタ!$B$2:$B$101,MATCH($E385,担当者マスタ!$A$2:$A$101,0)),"※マスタ未登録"))</f>
        <v/>
      </c>
      <c r="G385" s="11" t="n">
        <v>37.44</v>
      </c>
      <c r="H385" s="11" t="n">
        <v>14.04</v>
      </c>
      <c r="I385" s="11" t="n">
        <v>21.84</v>
      </c>
      <c r="J385" s="11" t="n">
        <v>39</v>
      </c>
      <c r="K385" s="11" t="n">
        <v>34.32</v>
      </c>
      <c r="L385" s="11" t="n">
        <v>14.04</v>
      </c>
      <c r="M385" s="11" t="n">
        <f aca="false">SUM(G385:L385)</f>
        <v>160.68</v>
      </c>
      <c r="N385" s="11" t="n">
        <v>6.24</v>
      </c>
      <c r="O385" s="11" t="n">
        <v>2.34</v>
      </c>
      <c r="P385" s="11" t="n">
        <v>3.64</v>
      </c>
      <c r="Q385" s="11" t="n">
        <v>6.5</v>
      </c>
      <c r="R385" s="11" t="n">
        <v>5.72</v>
      </c>
      <c r="S385" s="11" t="n">
        <v>2.34</v>
      </c>
      <c r="T385" s="11" t="n">
        <f aca="false">SUM(N385:S385)</f>
        <v>26.78</v>
      </c>
      <c r="U385" s="11" t="n">
        <v>59.01</v>
      </c>
      <c r="V385" s="11" t="n">
        <v>33.72</v>
      </c>
      <c r="W385" s="11" t="n">
        <v>53.952</v>
      </c>
      <c r="X385" s="11" t="n">
        <v>26.976</v>
      </c>
      <c r="Y385" s="11" t="n">
        <v>64.068</v>
      </c>
      <c r="Z385" s="11" t="n">
        <v>0</v>
      </c>
      <c r="AA385" s="11" t="n">
        <f aca="false">SUM(U385:Z385)</f>
        <v>237.726</v>
      </c>
      <c r="AB385" s="11" t="n">
        <v>11.235</v>
      </c>
      <c r="AC385" s="11" t="n">
        <v>6.42</v>
      </c>
      <c r="AD385" s="11" t="n">
        <v>10.272</v>
      </c>
      <c r="AE385" s="11" t="n">
        <v>5.136</v>
      </c>
      <c r="AF385" s="11" t="n">
        <v>12.198</v>
      </c>
      <c r="AG385" s="11" t="n">
        <v>0</v>
      </c>
      <c r="AH385" s="11" t="n">
        <f aca="false">SUM(AB385:AG385)</f>
        <v>45.261</v>
      </c>
      <c r="AI385" s="12" t="s">
        <v>710</v>
      </c>
    </row>
    <row r="386" customFormat="false" ht="15" hidden="false" customHeight="false" outlineLevel="0" collapsed="false">
      <c r="A386" s="8" t="s">
        <v>849</v>
      </c>
      <c r="B386" s="12" t="s">
        <v>850</v>
      </c>
      <c r="C386" s="8" t="s">
        <v>837</v>
      </c>
      <c r="D386" s="12" t="s">
        <v>838</v>
      </c>
      <c r="E386" s="10" t="str">
        <f aca="true">IFERROR(IF(INDEX(INDIRECT("'"&amp;$AI386&amp;"'!$E$2:$E$121"),MATCH($A386,INDIRECT("'"&amp;$AI386&amp;"'!$A$2:$A$121"),0))="","",INDEX(INDIRECT("'"&amp;$AI386&amp;"'!$E$2:$E$121"),MATCH($A386,INDIRECT("'"&amp;$AI386&amp;"'!$A$2:$A$121"),0))),"")</f>
        <v/>
      </c>
      <c r="F386" s="9" t="str">
        <f aca="false">IF($E386="","",IFERROR(INDEX(担当者マスタ!$B$2:$B$101,MATCH($E386,担当者マスタ!$A$2:$A$101,0)),"※マスタ未登録"))</f>
        <v/>
      </c>
      <c r="G386" s="11" t="n">
        <v>15.82</v>
      </c>
      <c r="H386" s="11" t="n">
        <v>0</v>
      </c>
      <c r="I386" s="11" t="n">
        <v>0</v>
      </c>
      <c r="J386" s="11" t="n">
        <v>15.82</v>
      </c>
      <c r="K386" s="11" t="n">
        <v>0</v>
      </c>
      <c r="L386" s="11" t="n">
        <v>0</v>
      </c>
      <c r="M386" s="11" t="n">
        <f aca="false">SUM(G386:L386)</f>
        <v>31.64</v>
      </c>
      <c r="N386" s="11" t="n">
        <v>5.82</v>
      </c>
      <c r="O386" s="11" t="n">
        <v>0</v>
      </c>
      <c r="P386" s="11" t="n">
        <v>0</v>
      </c>
      <c r="Q386" s="11" t="n">
        <v>5.82</v>
      </c>
      <c r="R386" s="11" t="n">
        <v>0</v>
      </c>
      <c r="S386" s="11" t="n">
        <v>0</v>
      </c>
      <c r="T386" s="11" t="n">
        <f aca="false">SUM(N386:S386)</f>
        <v>11.64</v>
      </c>
      <c r="U386" s="11" t="n">
        <v>15.82</v>
      </c>
      <c r="V386" s="11" t="n">
        <v>0</v>
      </c>
      <c r="W386" s="11" t="n">
        <v>15.82</v>
      </c>
      <c r="X386" s="11" t="n">
        <v>0</v>
      </c>
      <c r="Y386" s="11" t="n">
        <v>0</v>
      </c>
      <c r="Z386" s="11" t="n">
        <v>0</v>
      </c>
      <c r="AA386" s="11" t="n">
        <f aca="false">SUM(U386:Z386)</f>
        <v>31.64</v>
      </c>
      <c r="AB386" s="11" t="n">
        <v>5.82</v>
      </c>
      <c r="AC386" s="11" t="n">
        <v>0</v>
      </c>
      <c r="AD386" s="11" t="n">
        <v>5.82</v>
      </c>
      <c r="AE386" s="11" t="n">
        <v>0</v>
      </c>
      <c r="AF386" s="11" t="n">
        <v>0</v>
      </c>
      <c r="AG386" s="11" t="n">
        <v>0</v>
      </c>
      <c r="AH386" s="11" t="n">
        <f aca="false">SUM(AB386:AG386)</f>
        <v>11.64</v>
      </c>
      <c r="AI386" s="12" t="s">
        <v>710</v>
      </c>
    </row>
    <row r="387" customFormat="false" ht="15" hidden="false" customHeight="false" outlineLevel="0" collapsed="false">
      <c r="A387" s="8" t="s">
        <v>851</v>
      </c>
      <c r="B387" s="9" t="s">
        <v>852</v>
      </c>
      <c r="C387" s="8" t="s">
        <v>837</v>
      </c>
      <c r="D387" s="12" t="s">
        <v>838</v>
      </c>
      <c r="E387" s="10" t="str">
        <f aca="true">IFERROR(IF(INDEX(INDIRECT("'"&amp;$AI387&amp;"'!$E$2:$E$121"),MATCH($A387,INDIRECT("'"&amp;$AI387&amp;"'!$A$2:$A$121"),0))="","",INDEX(INDIRECT("'"&amp;$AI387&amp;"'!$E$2:$E$121"),MATCH($A387,INDIRECT("'"&amp;$AI387&amp;"'!$A$2:$A$121"),0))),"")</f>
        <v/>
      </c>
      <c r="F387" s="9" t="str">
        <f aca="false">IF($E387="","",IFERROR(INDEX(担当者マスタ!$B$2:$B$101,MATCH($E387,担当者マスタ!$A$2:$A$101,0)),"※マスタ未登録"))</f>
        <v/>
      </c>
      <c r="G387" s="11" t="n">
        <v>421.73</v>
      </c>
      <c r="H387" s="11" t="n">
        <v>330.5</v>
      </c>
      <c r="I387" s="11" t="n">
        <v>712.45</v>
      </c>
      <c r="J387" s="11" t="n">
        <v>111</v>
      </c>
      <c r="K387" s="11" t="n">
        <v>384</v>
      </c>
      <c r="L387" s="11" t="n">
        <v>0</v>
      </c>
      <c r="M387" s="11" t="n">
        <f aca="false">SUM(G387:L387)</f>
        <v>1959.68</v>
      </c>
      <c r="N387" s="11" t="n">
        <v>79.25</v>
      </c>
      <c r="O387" s="11" t="n">
        <v>95.75</v>
      </c>
      <c r="P387" s="11" t="n">
        <v>140.5</v>
      </c>
      <c r="Q387" s="11" t="n">
        <v>21.25</v>
      </c>
      <c r="R387" s="11" t="n">
        <v>70.45</v>
      </c>
      <c r="S387" s="11" t="n">
        <v>0</v>
      </c>
      <c r="T387" s="11" t="n">
        <f aca="false">SUM(N387:S387)</f>
        <v>407.2</v>
      </c>
      <c r="U387" s="11" t="n">
        <v>419.5</v>
      </c>
      <c r="V387" s="11" t="n">
        <v>789.73</v>
      </c>
      <c r="W387" s="11" t="n">
        <v>1096.105</v>
      </c>
      <c r="X387" s="11" t="n">
        <v>83.775</v>
      </c>
      <c r="Y387" s="11" t="n">
        <v>104.3</v>
      </c>
      <c r="Z387" s="11" t="n">
        <v>167.5</v>
      </c>
      <c r="AA387" s="11" t="n">
        <f aca="false">SUM(U387:Z387)</f>
        <v>2660.91</v>
      </c>
      <c r="AB387" s="11" t="n">
        <v>71.7</v>
      </c>
      <c r="AC387" s="11" t="n">
        <v>102.042</v>
      </c>
      <c r="AD387" s="11" t="n">
        <v>119.285</v>
      </c>
      <c r="AE387" s="11" t="n">
        <v>30.375</v>
      </c>
      <c r="AF387" s="11" t="n">
        <v>11.97</v>
      </c>
      <c r="AG387" s="11" t="n">
        <v>37.94</v>
      </c>
      <c r="AH387" s="11" t="n">
        <f aca="false">SUM(AB387:AG387)</f>
        <v>373.312</v>
      </c>
      <c r="AI387" s="12" t="s">
        <v>710</v>
      </c>
    </row>
    <row r="388" customFormat="false" ht="15" hidden="false" customHeight="false" outlineLevel="0" collapsed="false">
      <c r="A388" s="8" t="s">
        <v>853</v>
      </c>
      <c r="B388" s="12" t="s">
        <v>854</v>
      </c>
      <c r="C388" s="8" t="s">
        <v>837</v>
      </c>
      <c r="D388" s="12" t="s">
        <v>838</v>
      </c>
      <c r="E388" s="10" t="str">
        <f aca="true">IFERROR(IF(INDEX(INDIRECT("'"&amp;$AI388&amp;"'!$E$2:$E$121"),MATCH($A388,INDIRECT("'"&amp;$AI388&amp;"'!$A$2:$A$121"),0))="","",INDEX(INDIRECT("'"&amp;$AI388&amp;"'!$E$2:$E$121"),MATCH($A388,INDIRECT("'"&amp;$AI388&amp;"'!$A$2:$A$121"),0))),"")</f>
        <v/>
      </c>
      <c r="F388" s="9" t="str">
        <f aca="false">IF($E388="","",IFERROR(INDEX(担当者マスタ!$B$2:$B$101,MATCH($E388,担当者マスタ!$A$2:$A$101,0)),"※マスタ未登録"))</f>
        <v/>
      </c>
      <c r="G388" s="11" t="n">
        <v>65.5</v>
      </c>
      <c r="H388" s="11" t="n">
        <v>131</v>
      </c>
      <c r="I388" s="11" t="n">
        <v>65.5</v>
      </c>
      <c r="J388" s="11" t="n">
        <v>15.6</v>
      </c>
      <c r="K388" s="11" t="n">
        <v>0</v>
      </c>
      <c r="L388" s="11" t="n">
        <v>22.2</v>
      </c>
      <c r="M388" s="11" t="n">
        <f aca="false">SUM(G388:L388)</f>
        <v>299.8</v>
      </c>
      <c r="N388" s="11" t="n">
        <v>10.5</v>
      </c>
      <c r="O388" s="11" t="n">
        <v>21</v>
      </c>
      <c r="P388" s="11" t="n">
        <v>10.5</v>
      </c>
      <c r="Q388" s="11" t="n">
        <v>2.992</v>
      </c>
      <c r="R388" s="11" t="n">
        <v>0</v>
      </c>
      <c r="S388" s="11" t="n">
        <v>4.2</v>
      </c>
      <c r="T388" s="11" t="n">
        <f aca="false">SUM(N388:S388)</f>
        <v>49.192</v>
      </c>
      <c r="U388" s="11" t="n">
        <v>130.725</v>
      </c>
      <c r="V388" s="11" t="n">
        <v>74</v>
      </c>
      <c r="W388" s="11" t="n">
        <v>37</v>
      </c>
      <c r="X388" s="11" t="n">
        <v>0</v>
      </c>
      <c r="Y388" s="11" t="n">
        <v>0</v>
      </c>
      <c r="Z388" s="11" t="n">
        <v>0</v>
      </c>
      <c r="AA388" s="11" t="n">
        <f aca="false">SUM(U388:Z388)</f>
        <v>241.725</v>
      </c>
      <c r="AB388" s="11" t="n">
        <v>21.775</v>
      </c>
      <c r="AC388" s="11" t="n">
        <v>12</v>
      </c>
      <c r="AD388" s="11" t="n">
        <v>6</v>
      </c>
      <c r="AE388" s="11" t="n">
        <v>0</v>
      </c>
      <c r="AF388" s="11" t="n">
        <v>0</v>
      </c>
      <c r="AG388" s="11" t="n">
        <v>0</v>
      </c>
      <c r="AH388" s="11" t="n">
        <f aca="false">SUM(AB388:AG388)</f>
        <v>39.775</v>
      </c>
      <c r="AI388" s="12" t="s">
        <v>710</v>
      </c>
    </row>
    <row r="389" customFormat="false" ht="15" hidden="false" customHeight="false" outlineLevel="0" collapsed="false">
      <c r="A389" s="8" t="s">
        <v>855</v>
      </c>
      <c r="B389" s="12" t="s">
        <v>856</v>
      </c>
      <c r="C389" s="8" t="s">
        <v>837</v>
      </c>
      <c r="D389" s="12" t="s">
        <v>838</v>
      </c>
      <c r="E389" s="10" t="str">
        <f aca="true">IFERROR(IF(INDEX(INDIRECT("'"&amp;$AI389&amp;"'!$E$2:$E$121"),MATCH($A389,INDIRECT("'"&amp;$AI389&amp;"'!$A$2:$A$121"),0))="","",INDEX(INDIRECT("'"&amp;$AI389&amp;"'!$E$2:$E$121"),MATCH($A389,INDIRECT("'"&amp;$AI389&amp;"'!$A$2:$A$121"),0))),"")</f>
        <v/>
      </c>
      <c r="F389" s="9" t="str">
        <f aca="false">IF($E389="","",IFERROR(INDEX(担当者マスタ!$B$2:$B$101,MATCH($E389,担当者マスタ!$A$2:$A$101,0)),"※マスタ未登録"))</f>
        <v/>
      </c>
      <c r="G389" s="11" t="n">
        <v>85.68</v>
      </c>
      <c r="H389" s="11" t="n">
        <v>0</v>
      </c>
      <c r="I389" s="11" t="n">
        <v>165.024</v>
      </c>
      <c r="J389" s="11" t="n">
        <v>0</v>
      </c>
      <c r="K389" s="11" t="n">
        <v>0</v>
      </c>
      <c r="L389" s="11" t="n">
        <v>0</v>
      </c>
      <c r="M389" s="11" t="n">
        <f aca="false">SUM(G389:L389)</f>
        <v>250.704</v>
      </c>
      <c r="N389" s="11" t="n">
        <v>22.32</v>
      </c>
      <c r="O389" s="11" t="n">
        <v>0</v>
      </c>
      <c r="P389" s="11" t="n">
        <v>39.024</v>
      </c>
      <c r="Q389" s="11" t="n">
        <v>0</v>
      </c>
      <c r="R389" s="11" t="n">
        <v>0</v>
      </c>
      <c r="S389" s="11" t="n">
        <v>0</v>
      </c>
      <c r="T389" s="11" t="n">
        <f aca="false">SUM(N389:S389)</f>
        <v>61.344</v>
      </c>
      <c r="U389" s="11" t="n">
        <v>27.36</v>
      </c>
      <c r="V389" s="11" t="n">
        <v>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f aca="false">SUM(U389:Z389)</f>
        <v>27.36</v>
      </c>
      <c r="AB389" s="11" t="n">
        <v>6.48</v>
      </c>
      <c r="AC389" s="11" t="n">
        <v>0</v>
      </c>
      <c r="AD389" s="11" t="n">
        <v>0</v>
      </c>
      <c r="AE389" s="11" t="n">
        <v>0</v>
      </c>
      <c r="AF389" s="11" t="n">
        <v>0</v>
      </c>
      <c r="AG389" s="11" t="n">
        <v>0</v>
      </c>
      <c r="AH389" s="11" t="n">
        <f aca="false">SUM(AB389:AG389)</f>
        <v>6.48</v>
      </c>
      <c r="AI389" s="12" t="s">
        <v>710</v>
      </c>
    </row>
    <row r="390" customFormat="false" ht="15" hidden="false" customHeight="false" outlineLevel="0" collapsed="false">
      <c r="A390" s="8" t="s">
        <v>857</v>
      </c>
      <c r="B390" s="12" t="s">
        <v>858</v>
      </c>
      <c r="C390" s="8" t="s">
        <v>837</v>
      </c>
      <c r="D390" s="12" t="s">
        <v>838</v>
      </c>
      <c r="E390" s="10" t="str">
        <f aca="true">IFERROR(IF(INDEX(INDIRECT("'"&amp;$AI390&amp;"'!$E$2:$E$121"),MATCH($A390,INDIRECT("'"&amp;$AI390&amp;"'!$A$2:$A$121"),0))="","",INDEX(INDIRECT("'"&amp;$AI390&amp;"'!$E$2:$E$121"),MATCH($A390,INDIRECT("'"&amp;$AI390&amp;"'!$A$2:$A$121"),0))),"")</f>
        <v/>
      </c>
      <c r="F390" s="9" t="str">
        <f aca="false">IF($E390="","",IFERROR(INDEX(担当者マスタ!$B$2:$B$101,MATCH($E390,担当者マスタ!$A$2:$A$101,0)),"※マスタ未登録"))</f>
        <v/>
      </c>
      <c r="G390" s="11" t="n">
        <v>0</v>
      </c>
      <c r="H390" s="11" t="n">
        <v>0</v>
      </c>
      <c r="I390" s="11" t="n">
        <v>28.73</v>
      </c>
      <c r="J390" s="11" t="n">
        <v>0</v>
      </c>
      <c r="K390" s="11" t="n">
        <v>0</v>
      </c>
      <c r="L390" s="11" t="n">
        <v>0</v>
      </c>
      <c r="M390" s="11" t="n">
        <f aca="false">SUM(G390:L390)</f>
        <v>28.73</v>
      </c>
      <c r="N390" s="11" t="n">
        <v>0</v>
      </c>
      <c r="O390" s="11" t="n">
        <v>0</v>
      </c>
      <c r="P390" s="11" t="n">
        <v>6.186</v>
      </c>
      <c r="Q390" s="11" t="n">
        <v>0</v>
      </c>
      <c r="R390" s="11" t="n">
        <v>0</v>
      </c>
      <c r="S390" s="11" t="n">
        <v>0</v>
      </c>
      <c r="T390" s="11" t="n">
        <f aca="false">SUM(N390:S390)</f>
        <v>6.186</v>
      </c>
      <c r="U390" s="11" t="n">
        <v>0</v>
      </c>
      <c r="V390" s="11" t="n">
        <v>0</v>
      </c>
      <c r="W390" s="11" t="n">
        <v>14.73</v>
      </c>
      <c r="X390" s="11" t="n">
        <v>0</v>
      </c>
      <c r="Y390" s="11" t="n">
        <v>0</v>
      </c>
      <c r="Z390" s="11" t="n">
        <v>0</v>
      </c>
      <c r="AA390" s="11" t="n">
        <f aca="false">SUM(U390:Z390)</f>
        <v>14.73</v>
      </c>
      <c r="AB390" s="11" t="n">
        <v>0</v>
      </c>
      <c r="AC390" s="11" t="n">
        <v>0</v>
      </c>
      <c r="AD390" s="11" t="n">
        <v>3.186</v>
      </c>
      <c r="AE390" s="11" t="n">
        <v>0</v>
      </c>
      <c r="AF390" s="11" t="n">
        <v>0</v>
      </c>
      <c r="AG390" s="11" t="n">
        <v>0</v>
      </c>
      <c r="AH390" s="11" t="n">
        <f aca="false">SUM(AB390:AG390)</f>
        <v>3.186</v>
      </c>
      <c r="AI390" s="12" t="s">
        <v>710</v>
      </c>
    </row>
    <row r="391" customFormat="false" ht="15" hidden="false" customHeight="false" outlineLevel="0" collapsed="false">
      <c r="A391" s="8" t="s">
        <v>859</v>
      </c>
      <c r="B391" s="12" t="s">
        <v>860</v>
      </c>
      <c r="C391" s="8" t="s">
        <v>837</v>
      </c>
      <c r="D391" s="12" t="s">
        <v>838</v>
      </c>
      <c r="E391" s="10" t="str">
        <f aca="true">IFERROR(IF(INDEX(INDIRECT("'"&amp;$AI391&amp;"'!$E$2:$E$121"),MATCH($A391,INDIRECT("'"&amp;$AI391&amp;"'!$A$2:$A$121"),0))="","",INDEX(INDIRECT("'"&amp;$AI391&amp;"'!$E$2:$E$121"),MATCH($A391,INDIRECT("'"&amp;$AI391&amp;"'!$A$2:$A$121"),0))),"")</f>
        <v/>
      </c>
      <c r="F391" s="9" t="str">
        <f aca="false">IF($E391="","",IFERROR(INDEX(担当者マスタ!$B$2:$B$101,MATCH($E391,担当者マスタ!$A$2:$A$101,0)),"※マスタ未登録"))</f>
        <v/>
      </c>
      <c r="G391" s="11" t="n">
        <v>0</v>
      </c>
      <c r="H391" s="11" t="n">
        <v>0</v>
      </c>
      <c r="I391" s="11" t="n">
        <v>31.92</v>
      </c>
      <c r="J391" s="11" t="n">
        <v>0</v>
      </c>
      <c r="K391" s="11" t="n">
        <v>0</v>
      </c>
      <c r="L391" s="11" t="n">
        <v>0</v>
      </c>
      <c r="M391" s="11" t="n">
        <f aca="false">SUM(G391:L391)</f>
        <v>31.92</v>
      </c>
      <c r="N391" s="11" t="n">
        <v>0</v>
      </c>
      <c r="O391" s="11" t="n">
        <v>0</v>
      </c>
      <c r="P391" s="11" t="n">
        <v>9.318</v>
      </c>
      <c r="Q391" s="11" t="n">
        <v>0</v>
      </c>
      <c r="R391" s="11" t="n">
        <v>0</v>
      </c>
      <c r="S391" s="11" t="n">
        <v>0</v>
      </c>
      <c r="T391" s="11" t="n">
        <f aca="false">SUM(N391:S391)</f>
        <v>9.318</v>
      </c>
      <c r="U391" s="11" t="n">
        <v>0</v>
      </c>
      <c r="V391" s="11" t="n">
        <v>0</v>
      </c>
      <c r="W391" s="11" t="n">
        <v>3.15</v>
      </c>
      <c r="X391" s="11" t="n">
        <v>12.47</v>
      </c>
      <c r="Y391" s="11" t="n">
        <v>0</v>
      </c>
      <c r="Z391" s="11" t="n">
        <v>0</v>
      </c>
      <c r="AA391" s="11" t="n">
        <f aca="false">SUM(U391:Z391)</f>
        <v>15.62</v>
      </c>
      <c r="AB391" s="11" t="n">
        <v>0</v>
      </c>
      <c r="AC391" s="11" t="n">
        <v>0</v>
      </c>
      <c r="AD391" s="11" t="n">
        <v>0.861</v>
      </c>
      <c r="AE391" s="11" t="n">
        <v>3.988</v>
      </c>
      <c r="AF391" s="11" t="n">
        <v>0</v>
      </c>
      <c r="AG391" s="11" t="n">
        <v>0</v>
      </c>
      <c r="AH391" s="11" t="n">
        <f aca="false">SUM(AB391:AG391)</f>
        <v>4.849</v>
      </c>
      <c r="AI391" s="12" t="s">
        <v>710</v>
      </c>
    </row>
    <row r="392" customFormat="false" ht="15" hidden="false" customHeight="false" outlineLevel="0" collapsed="false">
      <c r="A392" s="8" t="s">
        <v>861</v>
      </c>
      <c r="B392" s="12" t="s">
        <v>862</v>
      </c>
      <c r="C392" s="8" t="s">
        <v>837</v>
      </c>
      <c r="D392" s="12" t="s">
        <v>838</v>
      </c>
      <c r="E392" s="10" t="str">
        <f aca="true">IFERROR(IF(INDEX(INDIRECT("'"&amp;$AI392&amp;"'!$E$2:$E$121"),MATCH($A392,INDIRECT("'"&amp;$AI392&amp;"'!$A$2:$A$121"),0))="","",INDEX(INDIRECT("'"&amp;$AI392&amp;"'!$E$2:$E$121"),MATCH($A392,INDIRECT("'"&amp;$AI392&amp;"'!$A$2:$A$121"),0))),"")</f>
        <v/>
      </c>
      <c r="F392" s="9" t="str">
        <f aca="false">IF($E392="","",IFERROR(INDEX(担当者マスタ!$B$2:$B$101,MATCH($E392,担当者マスタ!$A$2:$A$101,0)),"※マスタ未登録"))</f>
        <v/>
      </c>
      <c r="G392" s="11" t="n">
        <v>0</v>
      </c>
      <c r="H392" s="11" t="n">
        <v>24.5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f aca="false">SUM(G392:L392)</f>
        <v>24.5</v>
      </c>
      <c r="N392" s="11" t="n">
        <v>0</v>
      </c>
      <c r="O392" s="11" t="n">
        <v>4.7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f aca="false">SUM(N392:S392)</f>
        <v>4.7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f aca="false">SUM(U392:Z392)</f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f aca="false">SUM(AB392:AG392)</f>
        <v>0</v>
      </c>
      <c r="AI392" s="12" t="s">
        <v>710</v>
      </c>
    </row>
    <row r="393" customFormat="false" ht="15" hidden="false" customHeight="false" outlineLevel="0" collapsed="false">
      <c r="A393" s="8" t="s">
        <v>863</v>
      </c>
      <c r="B393" s="12" t="s">
        <v>864</v>
      </c>
      <c r="C393" s="8" t="s">
        <v>837</v>
      </c>
      <c r="D393" s="12" t="s">
        <v>838</v>
      </c>
      <c r="E393" s="10" t="str">
        <f aca="true">IFERROR(IF(INDEX(INDIRECT("'"&amp;$AI393&amp;"'!$E$2:$E$121"),MATCH($A393,INDIRECT("'"&amp;$AI393&amp;"'!$A$2:$A$121"),0))="","",INDEX(INDIRECT("'"&amp;$AI393&amp;"'!$E$2:$E$121"),MATCH($A393,INDIRECT("'"&amp;$AI393&amp;"'!$A$2:$A$121"),0))),"")</f>
        <v/>
      </c>
      <c r="F393" s="9" t="str">
        <f aca="false">IF($E393="","",IFERROR(INDEX(担当者マスタ!$B$2:$B$101,MATCH($E393,担当者マスタ!$A$2:$A$101,0)),"※マスタ未登録"))</f>
        <v/>
      </c>
      <c r="G393" s="11" t="n">
        <v>309.766</v>
      </c>
      <c r="H393" s="11" t="n">
        <v>367.499</v>
      </c>
      <c r="I393" s="11" t="n">
        <v>585.816</v>
      </c>
      <c r="J393" s="11" t="n">
        <v>245.348</v>
      </c>
      <c r="K393" s="11" t="n">
        <v>651.548</v>
      </c>
      <c r="L393" s="11" t="n">
        <v>314.53</v>
      </c>
      <c r="M393" s="11" t="n">
        <f aca="false">SUM(G393:L393)</f>
        <v>2474.507</v>
      </c>
      <c r="N393" s="11" t="n">
        <v>26.028</v>
      </c>
      <c r="O393" s="11" t="n">
        <v>33.503</v>
      </c>
      <c r="P393" s="11" t="n">
        <v>62.136</v>
      </c>
      <c r="Q393" s="11" t="n">
        <v>31.554</v>
      </c>
      <c r="R393" s="11" t="n">
        <v>82.972</v>
      </c>
      <c r="S393" s="11" t="n">
        <v>36.012</v>
      </c>
      <c r="T393" s="11" t="n">
        <f aca="false">SUM(N393:S393)</f>
        <v>272.205</v>
      </c>
      <c r="U393" s="11" t="n">
        <v>456.12</v>
      </c>
      <c r="V393" s="11" t="n">
        <v>775.688</v>
      </c>
      <c r="W393" s="11" t="n">
        <v>682.288</v>
      </c>
      <c r="X393" s="11" t="n">
        <v>412.553</v>
      </c>
      <c r="Y393" s="11" t="n">
        <v>263.54</v>
      </c>
      <c r="Z393" s="11" t="n">
        <v>559.52</v>
      </c>
      <c r="AA393" s="11" t="n">
        <f aca="false">SUM(U393:Z393)</f>
        <v>3149.709</v>
      </c>
      <c r="AB393" s="11" t="n">
        <v>47.606</v>
      </c>
      <c r="AC393" s="11" t="n">
        <v>103.512</v>
      </c>
      <c r="AD393" s="11" t="n">
        <v>75.994</v>
      </c>
      <c r="AE393" s="11" t="n">
        <v>45.534</v>
      </c>
      <c r="AF393" s="11" t="n">
        <v>26.862</v>
      </c>
      <c r="AG393" s="11" t="n">
        <v>64.012</v>
      </c>
      <c r="AH393" s="11" t="n">
        <f aca="false">SUM(AB393:AG393)</f>
        <v>363.52</v>
      </c>
      <c r="AI393" s="12" t="s">
        <v>710</v>
      </c>
    </row>
    <row r="394" customFormat="false" ht="15" hidden="false" customHeight="false" outlineLevel="0" collapsed="false">
      <c r="A394" s="8" t="s">
        <v>865</v>
      </c>
      <c r="B394" s="12" t="s">
        <v>866</v>
      </c>
      <c r="C394" s="8" t="s">
        <v>837</v>
      </c>
      <c r="D394" s="12" t="s">
        <v>838</v>
      </c>
      <c r="E394" s="10" t="str">
        <f aca="true">IFERROR(IF(INDEX(INDIRECT("'"&amp;$AI394&amp;"'!$E$2:$E$121"),MATCH($A394,INDIRECT("'"&amp;$AI394&amp;"'!$A$2:$A$121"),0))="","",INDEX(INDIRECT("'"&amp;$AI394&amp;"'!$E$2:$E$121"),MATCH($A394,INDIRECT("'"&amp;$AI394&amp;"'!$A$2:$A$121"),0))),"")</f>
        <v/>
      </c>
      <c r="F394" s="9" t="str">
        <f aca="false">IF($E394="","",IFERROR(INDEX(担当者マスタ!$B$2:$B$101,MATCH($E394,担当者マスタ!$A$2:$A$101,0)),"※マスタ未登録"))</f>
        <v/>
      </c>
      <c r="G394" s="11" t="n">
        <v>0</v>
      </c>
      <c r="H394" s="11" t="n">
        <v>0</v>
      </c>
      <c r="I394" s="11" t="n">
        <v>8.55</v>
      </c>
      <c r="J394" s="11" t="n">
        <v>0</v>
      </c>
      <c r="K394" s="11" t="n">
        <v>2.7</v>
      </c>
      <c r="L394" s="11" t="n">
        <v>2.693</v>
      </c>
      <c r="M394" s="11" t="n">
        <f aca="false">SUM(G394:L394)</f>
        <v>13.943</v>
      </c>
      <c r="N394" s="11" t="n">
        <v>0</v>
      </c>
      <c r="O394" s="11" t="n">
        <v>0</v>
      </c>
      <c r="P394" s="11" t="n">
        <v>1.239</v>
      </c>
      <c r="Q394" s="11" t="n">
        <v>0</v>
      </c>
      <c r="R394" s="11" t="n">
        <v>0.426</v>
      </c>
      <c r="S394" s="11" t="n">
        <v>0.42</v>
      </c>
      <c r="T394" s="11" t="n">
        <f aca="false">SUM(N394:S394)</f>
        <v>2.085</v>
      </c>
      <c r="U394" s="11" t="n">
        <v>3.6</v>
      </c>
      <c r="V394" s="11" t="n">
        <v>0</v>
      </c>
      <c r="W394" s="11" t="n">
        <v>34.283</v>
      </c>
      <c r="X394" s="11" t="n">
        <v>0</v>
      </c>
      <c r="Y394" s="11" t="n">
        <v>22.95</v>
      </c>
      <c r="Z394" s="11" t="n">
        <v>0</v>
      </c>
      <c r="AA394" s="11" t="n">
        <f aca="false">SUM(U394:Z394)</f>
        <v>60.833</v>
      </c>
      <c r="AB394" s="11" t="n">
        <v>0.513</v>
      </c>
      <c r="AC394" s="11" t="n">
        <v>0</v>
      </c>
      <c r="AD394" s="11" t="n">
        <v>5.375</v>
      </c>
      <c r="AE394" s="11" t="n">
        <v>0</v>
      </c>
      <c r="AF394" s="11" t="n">
        <v>3.06</v>
      </c>
      <c r="AG394" s="11" t="n">
        <v>0</v>
      </c>
      <c r="AH394" s="11" t="n">
        <f aca="false">SUM(AB394:AG394)</f>
        <v>8.948</v>
      </c>
      <c r="AI394" s="12" t="s">
        <v>710</v>
      </c>
    </row>
    <row r="395" customFormat="false" ht="15" hidden="false" customHeight="false" outlineLevel="0" collapsed="false">
      <c r="A395" s="8" t="s">
        <v>867</v>
      </c>
      <c r="B395" s="12" t="s">
        <v>868</v>
      </c>
      <c r="C395" s="8" t="s">
        <v>837</v>
      </c>
      <c r="D395" s="12" t="s">
        <v>838</v>
      </c>
      <c r="E395" s="10" t="str">
        <f aca="true">IFERROR(IF(INDEX(INDIRECT("'"&amp;$AI395&amp;"'!$E$2:$E$121"),MATCH($A395,INDIRECT("'"&amp;$AI395&amp;"'!$A$2:$A$121"),0))="","",INDEX(INDIRECT("'"&amp;$AI395&amp;"'!$E$2:$E$121"),MATCH($A395,INDIRECT("'"&amp;$AI395&amp;"'!$A$2:$A$121"),0))),"")</f>
        <v/>
      </c>
      <c r="F395" s="9" t="str">
        <f aca="false">IF($E395="","",IFERROR(INDEX(担当者マスタ!$B$2:$B$101,MATCH($E395,担当者マスタ!$A$2:$A$101,0)),"※マスタ未登録"))</f>
        <v/>
      </c>
      <c r="G395" s="11" t="n">
        <v>74.64</v>
      </c>
      <c r="H395" s="11" t="n">
        <v>45.54</v>
      </c>
      <c r="I395" s="11" t="n">
        <v>45.54</v>
      </c>
      <c r="J395" s="11" t="n">
        <v>53.13</v>
      </c>
      <c r="K395" s="11" t="n">
        <v>67.05</v>
      </c>
      <c r="L395" s="11" t="n">
        <v>45.54</v>
      </c>
      <c r="M395" s="11" t="n">
        <f aca="false">SUM(G395:L395)</f>
        <v>331.44</v>
      </c>
      <c r="N395" s="11" t="n">
        <v>17.28</v>
      </c>
      <c r="O395" s="11" t="n">
        <v>7.68</v>
      </c>
      <c r="P395" s="11" t="n">
        <v>7.68</v>
      </c>
      <c r="Q395" s="11" t="n">
        <v>8.96</v>
      </c>
      <c r="R395" s="11" t="n">
        <v>16</v>
      </c>
      <c r="S395" s="11" t="n">
        <v>7.68</v>
      </c>
      <c r="T395" s="11" t="n">
        <f aca="false">SUM(N395:S395)</f>
        <v>65.28</v>
      </c>
      <c r="U395" s="11" t="n">
        <v>7.59</v>
      </c>
      <c r="V395" s="11" t="n">
        <v>7.59</v>
      </c>
      <c r="W395" s="11" t="n">
        <v>10.5</v>
      </c>
      <c r="X395" s="11" t="n">
        <v>29.81</v>
      </c>
      <c r="Y395" s="11" t="n">
        <v>0</v>
      </c>
      <c r="Z395" s="11" t="n">
        <v>0</v>
      </c>
      <c r="AA395" s="11" t="n">
        <f aca="false">SUM(U395:Z395)</f>
        <v>55.49</v>
      </c>
      <c r="AB395" s="11" t="n">
        <v>1.28</v>
      </c>
      <c r="AC395" s="11" t="n">
        <v>1.28</v>
      </c>
      <c r="AD395" s="11" t="n">
        <v>3.9</v>
      </c>
      <c r="AE395" s="11" t="n">
        <v>9.5</v>
      </c>
      <c r="AF395" s="11" t="n">
        <v>0</v>
      </c>
      <c r="AG395" s="11" t="n">
        <v>0</v>
      </c>
      <c r="AH395" s="11" t="n">
        <f aca="false">SUM(AB395:AG395)</f>
        <v>15.96</v>
      </c>
      <c r="AI395" s="12" t="s">
        <v>710</v>
      </c>
    </row>
    <row r="396" customFormat="false" ht="15" hidden="false" customHeight="false" outlineLevel="0" collapsed="false">
      <c r="A396" s="8" t="s">
        <v>869</v>
      </c>
      <c r="B396" s="12" t="s">
        <v>870</v>
      </c>
      <c r="C396" s="8" t="s">
        <v>837</v>
      </c>
      <c r="D396" s="12" t="s">
        <v>838</v>
      </c>
      <c r="E396" s="10" t="str">
        <f aca="true">IFERROR(IF(INDEX(INDIRECT("'"&amp;$AI396&amp;"'!$E$2:$E$121"),MATCH($A396,INDIRECT("'"&amp;$AI396&amp;"'!$A$2:$A$121"),0))="","",INDEX(INDIRECT("'"&amp;$AI396&amp;"'!$E$2:$E$121"),MATCH($A396,INDIRECT("'"&amp;$AI396&amp;"'!$A$2:$A$121"),0))),"")</f>
        <v/>
      </c>
      <c r="F396" s="9" t="str">
        <f aca="false">IF($E396="","",IFERROR(INDEX(担当者マスタ!$B$2:$B$101,MATCH($E396,担当者マスタ!$A$2:$A$101,0)),"※マスタ未登録"))</f>
        <v/>
      </c>
      <c r="G396" s="11" t="n">
        <v>0</v>
      </c>
      <c r="H396" s="11" t="n">
        <v>3.812</v>
      </c>
      <c r="I396" s="11" t="n">
        <v>0</v>
      </c>
      <c r="J396" s="11" t="n">
        <v>113.2</v>
      </c>
      <c r="K396" s="11" t="n">
        <v>140.65</v>
      </c>
      <c r="L396" s="11" t="n">
        <v>0</v>
      </c>
      <c r="M396" s="11" t="n">
        <f aca="false">SUM(G396:L396)</f>
        <v>257.662</v>
      </c>
      <c r="N396" s="11" t="n">
        <v>0</v>
      </c>
      <c r="O396" s="11" t="n">
        <v>0.762</v>
      </c>
      <c r="P396" s="11" t="n">
        <v>0</v>
      </c>
      <c r="Q396" s="11" t="n">
        <v>56.128</v>
      </c>
      <c r="R396" s="11" t="n">
        <v>65.95</v>
      </c>
      <c r="S396" s="11" t="n">
        <v>0</v>
      </c>
      <c r="T396" s="11" t="n">
        <f aca="false">SUM(N396:S396)</f>
        <v>122.84</v>
      </c>
      <c r="U396" s="11" t="n">
        <v>0</v>
      </c>
      <c r="V396" s="11" t="n">
        <v>77.24</v>
      </c>
      <c r="W396" s="11" t="n">
        <v>0</v>
      </c>
      <c r="X396" s="11" t="n">
        <v>0</v>
      </c>
      <c r="Y396" s="11" t="n">
        <v>96.53</v>
      </c>
      <c r="Z396" s="11" t="n">
        <v>0</v>
      </c>
      <c r="AA396" s="11" t="n">
        <f aca="false">SUM(U396:Z396)</f>
        <v>173.77</v>
      </c>
      <c r="AB396" s="11" t="n">
        <v>0</v>
      </c>
      <c r="AC396" s="11" t="n">
        <v>28.82</v>
      </c>
      <c r="AD396" s="11" t="n">
        <v>0</v>
      </c>
      <c r="AE396" s="11" t="n">
        <v>0</v>
      </c>
      <c r="AF396" s="11" t="n">
        <v>47.82</v>
      </c>
      <c r="AG396" s="11" t="n">
        <v>0</v>
      </c>
      <c r="AH396" s="11" t="n">
        <f aca="false">SUM(AB396:AG396)</f>
        <v>76.64</v>
      </c>
      <c r="AI396" s="12" t="s">
        <v>710</v>
      </c>
    </row>
    <row r="397" customFormat="false" ht="15" hidden="false" customHeight="false" outlineLevel="0" collapsed="false">
      <c r="A397" s="8" t="s">
        <v>871</v>
      </c>
      <c r="B397" s="12" t="s">
        <v>872</v>
      </c>
      <c r="C397" s="8" t="s">
        <v>837</v>
      </c>
      <c r="D397" s="12" t="s">
        <v>838</v>
      </c>
      <c r="E397" s="10" t="str">
        <f aca="true">IFERROR(IF(INDEX(INDIRECT("'"&amp;$AI397&amp;"'!$E$2:$E$121"),MATCH($A397,INDIRECT("'"&amp;$AI397&amp;"'!$A$2:$A$121"),0))="","",INDEX(INDIRECT("'"&amp;$AI397&amp;"'!$E$2:$E$121"),MATCH($A397,INDIRECT("'"&amp;$AI397&amp;"'!$A$2:$A$121"),0))),"")</f>
        <v/>
      </c>
      <c r="F397" s="9" t="str">
        <f aca="false">IF($E397="","",IFERROR(INDEX(担当者マスタ!$B$2:$B$101,MATCH($E397,担当者マスタ!$A$2:$A$101,0)),"※マスタ未登録"))</f>
        <v/>
      </c>
      <c r="G397" s="11" t="n">
        <v>611.99</v>
      </c>
      <c r="H397" s="11" t="n">
        <v>519.553</v>
      </c>
      <c r="I397" s="11" t="n">
        <v>408.274</v>
      </c>
      <c r="J397" s="11" t="n">
        <v>106.402</v>
      </c>
      <c r="K397" s="11" t="n">
        <v>81.706</v>
      </c>
      <c r="L397" s="11" t="n">
        <v>718.868</v>
      </c>
      <c r="M397" s="11" t="n">
        <f aca="false">SUM(G397:L397)</f>
        <v>2446.793</v>
      </c>
      <c r="N397" s="11" t="n">
        <v>114.764</v>
      </c>
      <c r="O397" s="11" t="n">
        <v>110.81</v>
      </c>
      <c r="P397" s="11" t="n">
        <v>82.808</v>
      </c>
      <c r="Q397" s="11" t="n">
        <v>15.83</v>
      </c>
      <c r="R397" s="11" t="n">
        <v>16.65</v>
      </c>
      <c r="S397" s="11" t="n">
        <v>165.984</v>
      </c>
      <c r="T397" s="11" t="n">
        <f aca="false">SUM(N397:S397)</f>
        <v>506.846</v>
      </c>
      <c r="U397" s="11" t="n">
        <v>1152.67</v>
      </c>
      <c r="V397" s="11" t="n">
        <v>2106.432</v>
      </c>
      <c r="W397" s="11" t="n">
        <v>2083.14</v>
      </c>
      <c r="X397" s="11" t="n">
        <v>917.745</v>
      </c>
      <c r="Y397" s="11" t="n">
        <v>605.41</v>
      </c>
      <c r="Z397" s="11" t="n">
        <v>951.92</v>
      </c>
      <c r="AA397" s="11" t="n">
        <f aca="false">SUM(U397:Z397)</f>
        <v>7817.317</v>
      </c>
      <c r="AB397" s="11" t="n">
        <v>221.742</v>
      </c>
      <c r="AC397" s="11" t="n">
        <v>599.757</v>
      </c>
      <c r="AD397" s="11" t="n">
        <v>422.474</v>
      </c>
      <c r="AE397" s="11" t="n">
        <v>176.412</v>
      </c>
      <c r="AF397" s="11" t="n">
        <v>97.108</v>
      </c>
      <c r="AG397" s="11" t="n">
        <v>165.549</v>
      </c>
      <c r="AH397" s="11" t="n">
        <f aca="false">SUM(AB397:AG397)</f>
        <v>1683.042</v>
      </c>
      <c r="AI397" s="12" t="s">
        <v>710</v>
      </c>
    </row>
    <row r="398" customFormat="false" ht="15" hidden="false" customHeight="false" outlineLevel="0" collapsed="false">
      <c r="A398" s="8" t="s">
        <v>873</v>
      </c>
      <c r="B398" s="12" t="s">
        <v>874</v>
      </c>
      <c r="C398" s="8" t="s">
        <v>837</v>
      </c>
      <c r="D398" s="12" t="s">
        <v>838</v>
      </c>
      <c r="E398" s="10" t="str">
        <f aca="true">IFERROR(IF(INDEX(INDIRECT("'"&amp;$AI398&amp;"'!$E$2:$E$121"),MATCH($A398,INDIRECT("'"&amp;$AI398&amp;"'!$A$2:$A$121"),0))="","",INDEX(INDIRECT("'"&amp;$AI398&amp;"'!$E$2:$E$121"),MATCH($A398,INDIRECT("'"&amp;$AI398&amp;"'!$A$2:$A$121"),0))),"")</f>
        <v/>
      </c>
      <c r="F398" s="9" t="str">
        <f aca="false">IF($E398="","",IFERROR(INDEX(担当者マスタ!$B$2:$B$101,MATCH($E398,担当者マスタ!$A$2:$A$101,0)),"※マスタ未登録"))</f>
        <v/>
      </c>
      <c r="G398" s="11" t="n">
        <v>49.25</v>
      </c>
      <c r="H398" s="11" t="n">
        <v>414.77</v>
      </c>
      <c r="I398" s="11" t="n">
        <v>371.499</v>
      </c>
      <c r="J398" s="11" t="n">
        <v>11.25</v>
      </c>
      <c r="K398" s="11" t="n">
        <v>0</v>
      </c>
      <c r="L398" s="11" t="n">
        <v>333.75</v>
      </c>
      <c r="M398" s="11" t="n">
        <f aca="false">SUM(G398:L398)</f>
        <v>1180.519</v>
      </c>
      <c r="N398" s="11" t="n">
        <v>17.45</v>
      </c>
      <c r="O398" s="11" t="n">
        <v>124.67</v>
      </c>
      <c r="P398" s="11" t="n">
        <v>75.194</v>
      </c>
      <c r="Q398" s="11" t="n">
        <v>1.75</v>
      </c>
      <c r="R398" s="11" t="n">
        <v>0</v>
      </c>
      <c r="S398" s="11" t="n">
        <v>53.25</v>
      </c>
      <c r="T398" s="11" t="n">
        <f aca="false">SUM(N398:S398)</f>
        <v>272.314</v>
      </c>
      <c r="U398" s="11" t="n">
        <v>79.2</v>
      </c>
      <c r="V398" s="11" t="n">
        <v>0</v>
      </c>
      <c r="W398" s="11" t="n">
        <v>165.924</v>
      </c>
      <c r="X398" s="11" t="n">
        <v>0</v>
      </c>
      <c r="Y398" s="11" t="n">
        <v>0</v>
      </c>
      <c r="Z398" s="11" t="n">
        <v>0</v>
      </c>
      <c r="AA398" s="11" t="n">
        <f aca="false">SUM(U398:Z398)</f>
        <v>245.124</v>
      </c>
      <c r="AB398" s="11" t="n">
        <v>11.7</v>
      </c>
      <c r="AC398" s="11" t="n">
        <v>0</v>
      </c>
      <c r="AD398" s="11" t="n">
        <v>24.511</v>
      </c>
      <c r="AE398" s="11" t="n">
        <v>0</v>
      </c>
      <c r="AF398" s="11" t="n">
        <v>0</v>
      </c>
      <c r="AG398" s="11" t="n">
        <v>0</v>
      </c>
      <c r="AH398" s="11" t="n">
        <f aca="false">SUM(AB398:AG398)</f>
        <v>36.211</v>
      </c>
      <c r="AI398" s="12" t="s">
        <v>710</v>
      </c>
    </row>
    <row r="399" customFormat="false" ht="15" hidden="false" customHeight="false" outlineLevel="0" collapsed="false">
      <c r="A399" s="8" t="s">
        <v>875</v>
      </c>
      <c r="B399" s="12" t="s">
        <v>876</v>
      </c>
      <c r="C399" s="8" t="s">
        <v>837</v>
      </c>
      <c r="D399" s="12" t="s">
        <v>838</v>
      </c>
      <c r="E399" s="10" t="str">
        <f aca="true">IFERROR(IF(INDEX(INDIRECT("'"&amp;$AI399&amp;"'!$E$2:$E$121"),MATCH($A399,INDIRECT("'"&amp;$AI399&amp;"'!$A$2:$A$121"),0))="","",INDEX(INDIRECT("'"&amp;$AI399&amp;"'!$E$2:$E$121"),MATCH($A399,INDIRECT("'"&amp;$AI399&amp;"'!$A$2:$A$121"),0))),"")</f>
        <v/>
      </c>
      <c r="F399" s="9" t="str">
        <f aca="false">IF($E399="","",IFERROR(INDEX(担当者マスタ!$B$2:$B$101,MATCH($E399,担当者マスタ!$A$2:$A$101,0)),"※マスタ未登録"))</f>
        <v/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13.35</v>
      </c>
      <c r="M399" s="11" t="n">
        <f aca="false">SUM(G399:L399)</f>
        <v>13.35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1.8</v>
      </c>
      <c r="T399" s="11" t="n">
        <f aca="false">SUM(N399:S399)</f>
        <v>1.8</v>
      </c>
      <c r="U399" s="11" t="n">
        <v>0</v>
      </c>
      <c r="V399" s="11" t="n">
        <v>5.34</v>
      </c>
      <c r="W399" s="11" t="n">
        <v>0</v>
      </c>
      <c r="X399" s="11" t="n">
        <v>0</v>
      </c>
      <c r="Y399" s="11" t="n">
        <v>5.34</v>
      </c>
      <c r="Z399" s="11" t="n">
        <v>0</v>
      </c>
      <c r="AA399" s="11" t="n">
        <f aca="false">SUM(U399:Z399)</f>
        <v>10.68</v>
      </c>
      <c r="AB399" s="11" t="n">
        <v>0</v>
      </c>
      <c r="AC399" s="11" t="n">
        <v>0.48</v>
      </c>
      <c r="AD399" s="11" t="n">
        <v>0</v>
      </c>
      <c r="AE399" s="11" t="n">
        <v>0</v>
      </c>
      <c r="AF399" s="11" t="n">
        <v>0.48</v>
      </c>
      <c r="AG399" s="11" t="n">
        <v>0</v>
      </c>
      <c r="AH399" s="11" t="n">
        <f aca="false">SUM(AB399:AG399)</f>
        <v>0.96</v>
      </c>
      <c r="AI399" s="12" t="s">
        <v>710</v>
      </c>
    </row>
    <row r="400" customFormat="false" ht="15" hidden="false" customHeight="false" outlineLevel="0" collapsed="false">
      <c r="A400" s="8" t="s">
        <v>877</v>
      </c>
      <c r="B400" s="12" t="s">
        <v>878</v>
      </c>
      <c r="C400" s="8" t="s">
        <v>837</v>
      </c>
      <c r="D400" s="12" t="s">
        <v>838</v>
      </c>
      <c r="E400" s="10" t="str">
        <f aca="true">IFERROR(IF(INDEX(INDIRECT("'"&amp;$AI400&amp;"'!$E$2:$E$121"),MATCH($A400,INDIRECT("'"&amp;$AI400&amp;"'!$A$2:$A$121"),0))="","",INDEX(INDIRECT("'"&amp;$AI400&amp;"'!$E$2:$E$121"),MATCH($A400,INDIRECT("'"&amp;$AI400&amp;"'!$A$2:$A$121"),0))),"")</f>
        <v/>
      </c>
      <c r="F400" s="9" t="str">
        <f aca="false">IF($E400="","",IFERROR(INDEX(担当者マスタ!$B$2:$B$101,MATCH($E400,担当者マスタ!$A$2:$A$101,0)),"※マスタ未登録"))</f>
        <v/>
      </c>
      <c r="G400" s="11" t="n">
        <v>342.113</v>
      </c>
      <c r="H400" s="11" t="n">
        <v>1012.67</v>
      </c>
      <c r="I400" s="11" t="n">
        <v>1303.729</v>
      </c>
      <c r="J400" s="11" t="n">
        <v>326.231</v>
      </c>
      <c r="K400" s="11" t="n">
        <v>214.726</v>
      </c>
      <c r="L400" s="11" t="n">
        <v>383.952</v>
      </c>
      <c r="M400" s="11" t="n">
        <f aca="false">SUM(G400:L400)</f>
        <v>3583.421</v>
      </c>
      <c r="N400" s="11" t="n">
        <v>60.019</v>
      </c>
      <c r="O400" s="11" t="n">
        <v>211.383</v>
      </c>
      <c r="P400" s="11" t="n">
        <v>325.611</v>
      </c>
      <c r="Q400" s="11" t="n">
        <v>53.188</v>
      </c>
      <c r="R400" s="11" t="n">
        <v>45.397</v>
      </c>
      <c r="S400" s="11" t="n">
        <v>81.569</v>
      </c>
      <c r="T400" s="11" t="n">
        <f aca="false">SUM(N400:S400)</f>
        <v>777.167</v>
      </c>
      <c r="U400" s="11" t="n">
        <v>335.589</v>
      </c>
      <c r="V400" s="11" t="n">
        <v>909.746</v>
      </c>
      <c r="W400" s="11" t="n">
        <v>1350.024</v>
      </c>
      <c r="X400" s="11" t="n">
        <v>172.384</v>
      </c>
      <c r="Y400" s="11" t="n">
        <v>263.94</v>
      </c>
      <c r="Z400" s="11" t="n">
        <v>170.024</v>
      </c>
      <c r="AA400" s="11" t="n">
        <f aca="false">SUM(U400:Z400)</f>
        <v>3201.707</v>
      </c>
      <c r="AB400" s="11" t="n">
        <v>60.284</v>
      </c>
      <c r="AC400" s="11" t="n">
        <v>211.006</v>
      </c>
      <c r="AD400" s="11" t="n">
        <v>334.05</v>
      </c>
      <c r="AE400" s="11" t="n">
        <v>20.485</v>
      </c>
      <c r="AF400" s="11" t="n">
        <v>46.62</v>
      </c>
      <c r="AG400" s="11" t="n">
        <v>24.386</v>
      </c>
      <c r="AH400" s="11" t="n">
        <f aca="false">SUM(AB400:AG400)</f>
        <v>696.831</v>
      </c>
      <c r="AI400" s="12" t="s">
        <v>710</v>
      </c>
    </row>
    <row r="401" customFormat="false" ht="15" hidden="false" customHeight="false" outlineLevel="0" collapsed="false">
      <c r="A401" s="8" t="s">
        <v>879</v>
      </c>
      <c r="B401" s="12" t="s">
        <v>880</v>
      </c>
      <c r="C401" s="8" t="s">
        <v>837</v>
      </c>
      <c r="D401" s="12" t="s">
        <v>838</v>
      </c>
      <c r="E401" s="10" t="str">
        <f aca="true">IFERROR(IF(INDEX(INDIRECT("'"&amp;$AI401&amp;"'!$E$2:$E$121"),MATCH($A401,INDIRECT("'"&amp;$AI401&amp;"'!$A$2:$A$121"),0))="","",INDEX(INDIRECT("'"&amp;$AI401&amp;"'!$E$2:$E$121"),MATCH($A401,INDIRECT("'"&amp;$AI401&amp;"'!$A$2:$A$121"),0))),"")</f>
        <v/>
      </c>
      <c r="F401" s="9" t="str">
        <f aca="false">IF($E401="","",IFERROR(INDEX(担当者マスタ!$B$2:$B$101,MATCH($E401,担当者マスタ!$A$2:$A$101,0)),"※マスタ未登録"))</f>
        <v/>
      </c>
      <c r="G401" s="11" t="n">
        <v>88.66</v>
      </c>
      <c r="H401" s="11" t="n">
        <v>0</v>
      </c>
      <c r="I401" s="11" t="n">
        <v>93.656</v>
      </c>
      <c r="J401" s="11" t="n">
        <v>82.28</v>
      </c>
      <c r="K401" s="11" t="n">
        <v>103.875</v>
      </c>
      <c r="L401" s="11" t="n">
        <v>10.96</v>
      </c>
      <c r="M401" s="11" t="n">
        <f aca="false">SUM(G401:L401)</f>
        <v>379.431</v>
      </c>
      <c r="N401" s="11" t="n">
        <v>7.39</v>
      </c>
      <c r="O401" s="11" t="n">
        <v>0</v>
      </c>
      <c r="P401" s="11" t="n">
        <v>6.072</v>
      </c>
      <c r="Q401" s="11" t="n">
        <v>5.236</v>
      </c>
      <c r="R401" s="11" t="n">
        <v>8.25</v>
      </c>
      <c r="S401" s="11" t="n">
        <v>0.36</v>
      </c>
      <c r="T401" s="11" t="n">
        <f aca="false">SUM(N401:S401)</f>
        <v>27.308</v>
      </c>
      <c r="U401" s="11" t="n">
        <v>91.48</v>
      </c>
      <c r="V401" s="11" t="n">
        <v>0</v>
      </c>
      <c r="W401" s="11" t="n">
        <v>98.39</v>
      </c>
      <c r="X401" s="11" t="n">
        <v>12.28</v>
      </c>
      <c r="Y401" s="11" t="n">
        <v>100.855</v>
      </c>
      <c r="Z401" s="11" t="n">
        <v>0</v>
      </c>
      <c r="AA401" s="11" t="n">
        <f aca="false">SUM(U401:Z401)</f>
        <v>303.005</v>
      </c>
      <c r="AB401" s="11" t="n">
        <v>6.72</v>
      </c>
      <c r="AC401" s="11" t="n">
        <v>0</v>
      </c>
      <c r="AD401" s="11" t="n">
        <v>7.814</v>
      </c>
      <c r="AE401" s="11" t="n">
        <v>1.68</v>
      </c>
      <c r="AF401" s="11" t="n">
        <v>8.009</v>
      </c>
      <c r="AG401" s="11" t="n">
        <v>0</v>
      </c>
      <c r="AH401" s="11" t="n">
        <f aca="false">SUM(AB401:AG401)</f>
        <v>24.223</v>
      </c>
      <c r="AI401" s="12" t="s">
        <v>710</v>
      </c>
    </row>
    <row r="402" customFormat="false" ht="15" hidden="false" customHeight="false" outlineLevel="0" collapsed="false">
      <c r="A402" s="8" t="s">
        <v>881</v>
      </c>
      <c r="B402" s="9" t="s">
        <v>882</v>
      </c>
      <c r="C402" s="8" t="s">
        <v>837</v>
      </c>
      <c r="D402" s="12" t="s">
        <v>838</v>
      </c>
      <c r="E402" s="10" t="str">
        <f aca="true">IFERROR(IF(INDEX(INDIRECT("'"&amp;$AI402&amp;"'!$E$2:$E$121"),MATCH($A402,INDIRECT("'"&amp;$AI402&amp;"'!$A$2:$A$121"),0))="","",INDEX(INDIRECT("'"&amp;$AI402&amp;"'!$E$2:$E$121"),MATCH($A402,INDIRECT("'"&amp;$AI402&amp;"'!$A$2:$A$121"),0))),"")</f>
        <v/>
      </c>
      <c r="F402" s="9" t="str">
        <f aca="false">IF($E402="","",IFERROR(INDEX(担当者マスタ!$B$2:$B$101,MATCH($E402,担当者マスタ!$A$2:$A$101,0)),"※マスタ未登録"))</f>
        <v/>
      </c>
      <c r="G402" s="11" t="n">
        <v>9.75</v>
      </c>
      <c r="H402" s="11" t="n">
        <v>5.67</v>
      </c>
      <c r="I402" s="11" t="n">
        <v>0</v>
      </c>
      <c r="J402" s="11" t="n">
        <v>7.315</v>
      </c>
      <c r="K402" s="11" t="n">
        <v>5.804</v>
      </c>
      <c r="L402" s="11" t="n">
        <v>5.67</v>
      </c>
      <c r="M402" s="11" t="n">
        <f aca="false">SUM(G402:L402)</f>
        <v>34.209</v>
      </c>
      <c r="N402" s="11" t="n">
        <v>3.39</v>
      </c>
      <c r="O402" s="11" t="n">
        <v>2.19</v>
      </c>
      <c r="P402" s="11" t="n">
        <v>0</v>
      </c>
      <c r="Q402" s="11" t="n">
        <v>2.66</v>
      </c>
      <c r="R402" s="11" t="n">
        <v>2.024</v>
      </c>
      <c r="S402" s="11" t="n">
        <v>2.19</v>
      </c>
      <c r="T402" s="11" t="n">
        <f aca="false">SUM(N402:S402)</f>
        <v>12.454</v>
      </c>
      <c r="U402" s="11" t="n">
        <v>10.32</v>
      </c>
      <c r="V402" s="11" t="n">
        <v>5.67</v>
      </c>
      <c r="W402" s="11" t="n">
        <v>0</v>
      </c>
      <c r="X402" s="11" t="n">
        <v>7.56</v>
      </c>
      <c r="Y402" s="11" t="n">
        <v>0</v>
      </c>
      <c r="Z402" s="11" t="n">
        <v>5.67</v>
      </c>
      <c r="AA402" s="11" t="n">
        <f aca="false">SUM(U402:Z402)</f>
        <v>29.22</v>
      </c>
      <c r="AB402" s="11" t="n">
        <v>3.96</v>
      </c>
      <c r="AC402" s="11" t="n">
        <v>2.19</v>
      </c>
      <c r="AD402" s="11" t="n">
        <v>0</v>
      </c>
      <c r="AE402" s="11" t="n">
        <v>2.92</v>
      </c>
      <c r="AF402" s="11" t="n">
        <v>0</v>
      </c>
      <c r="AG402" s="11" t="n">
        <v>2.19</v>
      </c>
      <c r="AH402" s="11" t="n">
        <f aca="false">SUM(AB402:AG402)</f>
        <v>11.26</v>
      </c>
      <c r="AI402" s="12" t="s">
        <v>710</v>
      </c>
    </row>
    <row r="403" customFormat="false" ht="15" hidden="false" customHeight="false" outlineLevel="0" collapsed="false">
      <c r="A403" s="8" t="s">
        <v>883</v>
      </c>
      <c r="B403" s="12" t="s">
        <v>884</v>
      </c>
      <c r="C403" s="8" t="s">
        <v>837</v>
      </c>
      <c r="D403" s="12" t="s">
        <v>838</v>
      </c>
      <c r="E403" s="10" t="str">
        <f aca="true">IFERROR(IF(INDEX(INDIRECT("'"&amp;$AI403&amp;"'!$E$2:$E$121"),MATCH($A403,INDIRECT("'"&amp;$AI403&amp;"'!$A$2:$A$121"),0))="","",INDEX(INDIRECT("'"&amp;$AI403&amp;"'!$E$2:$E$121"),MATCH($A403,INDIRECT("'"&amp;$AI403&amp;"'!$A$2:$A$121"),0))),"")</f>
        <v/>
      </c>
      <c r="F403" s="9" t="str">
        <f aca="false">IF($E403="","",IFERROR(INDEX(担当者マスタ!$B$2:$B$101,MATCH($E403,担当者マスタ!$A$2:$A$101,0)),"※マスタ未登録"))</f>
        <v/>
      </c>
      <c r="G403" s="11" t="n">
        <v>313.576</v>
      </c>
      <c r="H403" s="11" t="n">
        <v>86.904</v>
      </c>
      <c r="I403" s="11" t="n">
        <v>122.94</v>
      </c>
      <c r="J403" s="11" t="n">
        <v>220.52</v>
      </c>
      <c r="K403" s="11" t="n">
        <v>199.242</v>
      </c>
      <c r="L403" s="11" t="n">
        <v>315.82</v>
      </c>
      <c r="M403" s="11" t="n">
        <f aca="false">SUM(G403:L403)</f>
        <v>1259.002</v>
      </c>
      <c r="N403" s="11" t="n">
        <v>28.315</v>
      </c>
      <c r="O403" s="11" t="n">
        <v>5.16</v>
      </c>
      <c r="P403" s="11" t="n">
        <v>10.32</v>
      </c>
      <c r="Q403" s="11" t="n">
        <v>20.19</v>
      </c>
      <c r="R403" s="11" t="n">
        <v>22.252</v>
      </c>
      <c r="S403" s="11" t="n">
        <v>46.44</v>
      </c>
      <c r="T403" s="11" t="n">
        <f aca="false">SUM(N403:S403)</f>
        <v>132.677</v>
      </c>
      <c r="U403" s="11" t="n">
        <v>301.86</v>
      </c>
      <c r="V403" s="11" t="n">
        <v>18.96</v>
      </c>
      <c r="W403" s="11" t="n">
        <v>256.6</v>
      </c>
      <c r="X403" s="11" t="n">
        <v>164.08</v>
      </c>
      <c r="Y403" s="11" t="n">
        <v>215.89</v>
      </c>
      <c r="Z403" s="11" t="n">
        <v>398.22</v>
      </c>
      <c r="AA403" s="11" t="n">
        <f aca="false">SUM(U403:Z403)</f>
        <v>1355.61</v>
      </c>
      <c r="AB403" s="11" t="n">
        <v>43.54</v>
      </c>
      <c r="AC403" s="11" t="n">
        <v>2.58</v>
      </c>
      <c r="AD403" s="11" t="n">
        <v>37.48</v>
      </c>
      <c r="AE403" s="11" t="n">
        <v>23.51</v>
      </c>
      <c r="AF403" s="11" t="n">
        <v>33.39</v>
      </c>
      <c r="AG403" s="11" t="n">
        <v>60.53</v>
      </c>
      <c r="AH403" s="11" t="n">
        <f aca="false">SUM(AB403:AG403)</f>
        <v>201.03</v>
      </c>
      <c r="AI403" s="12" t="s">
        <v>710</v>
      </c>
    </row>
    <row r="404" customFormat="false" ht="15" hidden="false" customHeight="false" outlineLevel="0" collapsed="false">
      <c r="A404" s="8" t="s">
        <v>885</v>
      </c>
      <c r="B404" s="12" t="s">
        <v>886</v>
      </c>
      <c r="C404" s="8" t="s">
        <v>837</v>
      </c>
      <c r="D404" s="12" t="s">
        <v>838</v>
      </c>
      <c r="E404" s="10" t="str">
        <f aca="true">IFERROR(IF(INDEX(INDIRECT("'"&amp;$AI404&amp;"'!$E$2:$E$121"),MATCH($A404,INDIRECT("'"&amp;$AI404&amp;"'!$A$2:$A$121"),0))="","",INDEX(INDIRECT("'"&amp;$AI404&amp;"'!$E$2:$E$121"),MATCH($A404,INDIRECT("'"&amp;$AI404&amp;"'!$A$2:$A$121"),0))),"")</f>
        <v/>
      </c>
      <c r="F404" s="9" t="str">
        <f aca="false">IF($E404="","",IFERROR(INDEX(担当者マスタ!$B$2:$B$101,MATCH($E404,担当者マスタ!$A$2:$A$101,0)),"※マスタ未登録"))</f>
        <v/>
      </c>
      <c r="G404" s="11" t="n">
        <v>0</v>
      </c>
      <c r="H404" s="11" t="n">
        <v>0</v>
      </c>
      <c r="I404" s="11" t="n">
        <v>258</v>
      </c>
      <c r="J404" s="11" t="n">
        <v>0</v>
      </c>
      <c r="K404" s="11" t="n">
        <v>0</v>
      </c>
      <c r="L404" s="11" t="n">
        <v>0</v>
      </c>
      <c r="M404" s="11" t="n">
        <f aca="false">SUM(G404:L404)</f>
        <v>258</v>
      </c>
      <c r="N404" s="11" t="n">
        <v>0</v>
      </c>
      <c r="O404" s="11" t="n">
        <v>0</v>
      </c>
      <c r="P404" s="11" t="n">
        <v>40</v>
      </c>
      <c r="Q404" s="11" t="n">
        <v>0</v>
      </c>
      <c r="R404" s="11" t="n">
        <v>0</v>
      </c>
      <c r="S404" s="11" t="n">
        <v>0</v>
      </c>
      <c r="T404" s="11" t="n">
        <f aca="false">SUM(N404:S404)</f>
        <v>40</v>
      </c>
      <c r="U404" s="11" t="n">
        <v>0</v>
      </c>
      <c r="V404" s="11" t="n">
        <v>258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f aca="false">SUM(U404:Z404)</f>
        <v>258</v>
      </c>
      <c r="AB404" s="11" t="n">
        <v>0</v>
      </c>
      <c r="AC404" s="11" t="n">
        <v>40</v>
      </c>
      <c r="AD404" s="11" t="n">
        <v>0</v>
      </c>
      <c r="AE404" s="11" t="n">
        <v>0</v>
      </c>
      <c r="AF404" s="11" t="n">
        <v>0</v>
      </c>
      <c r="AG404" s="11" t="n">
        <v>0</v>
      </c>
      <c r="AH404" s="11" t="n">
        <f aca="false">SUM(AB404:AG404)</f>
        <v>40</v>
      </c>
      <c r="AI404" s="12" t="s">
        <v>710</v>
      </c>
    </row>
    <row r="405" customFormat="false" ht="15" hidden="false" customHeight="false" outlineLevel="0" collapsed="false">
      <c r="A405" s="8" t="s">
        <v>887</v>
      </c>
      <c r="B405" s="12" t="s">
        <v>888</v>
      </c>
      <c r="C405" s="8" t="s">
        <v>837</v>
      </c>
      <c r="D405" s="12" t="s">
        <v>838</v>
      </c>
      <c r="E405" s="10" t="str">
        <f aca="true">IFERROR(IF(INDEX(INDIRECT("'"&amp;$AI405&amp;"'!$E$2:$E$121"),MATCH($A405,INDIRECT("'"&amp;$AI405&amp;"'!$A$2:$A$121"),0))="","",INDEX(INDIRECT("'"&amp;$AI405&amp;"'!$E$2:$E$121"),MATCH($A405,INDIRECT("'"&amp;$AI405&amp;"'!$A$2:$A$121"),0))),"")</f>
        <v/>
      </c>
      <c r="F405" s="9" t="str">
        <f aca="false">IF($E405="","",IFERROR(INDEX(担当者マスタ!$B$2:$B$101,MATCH($E405,担当者マスタ!$A$2:$A$101,0)),"※マスタ未登録"))</f>
        <v/>
      </c>
      <c r="G405" s="11" t="n">
        <v>178.836</v>
      </c>
      <c r="H405" s="11" t="n">
        <v>169.398</v>
      </c>
      <c r="I405" s="11" t="n">
        <v>68.204</v>
      </c>
      <c r="J405" s="11" t="n">
        <v>292.468</v>
      </c>
      <c r="K405" s="11" t="n">
        <v>161.84</v>
      </c>
      <c r="L405" s="11" t="n">
        <v>271.142</v>
      </c>
      <c r="M405" s="11" t="n">
        <f aca="false">SUM(G405:L405)</f>
        <v>1141.888</v>
      </c>
      <c r="N405" s="11" t="n">
        <v>12.012</v>
      </c>
      <c r="O405" s="11" t="n">
        <v>11.758</v>
      </c>
      <c r="P405" s="11" t="n">
        <v>4.484</v>
      </c>
      <c r="Q405" s="11" t="n">
        <v>19.228</v>
      </c>
      <c r="R405" s="11" t="n">
        <v>10.64</v>
      </c>
      <c r="S405" s="11" t="n">
        <v>18.092</v>
      </c>
      <c r="T405" s="11" t="n">
        <f aca="false">SUM(N405:S405)</f>
        <v>76.214</v>
      </c>
      <c r="U405" s="11" t="n">
        <v>195.756</v>
      </c>
      <c r="V405" s="11" t="n">
        <v>77.64</v>
      </c>
      <c r="W405" s="11" t="n">
        <v>36.232</v>
      </c>
      <c r="X405" s="11" t="n">
        <v>326.45</v>
      </c>
      <c r="Y405" s="11" t="n">
        <v>241.978</v>
      </c>
      <c r="Z405" s="11" t="n">
        <v>307.152</v>
      </c>
      <c r="AA405" s="11" t="n">
        <f aca="false">SUM(U405:Z405)</f>
        <v>1185.208</v>
      </c>
      <c r="AB405" s="11" t="n">
        <v>32.346</v>
      </c>
      <c r="AC405" s="11" t="n">
        <v>12.84</v>
      </c>
      <c r="AD405" s="11" t="n">
        <v>5.992</v>
      </c>
      <c r="AE405" s="11" t="n">
        <v>53.96</v>
      </c>
      <c r="AF405" s="11" t="n">
        <v>40.018</v>
      </c>
      <c r="AG405" s="11" t="n">
        <v>50.582</v>
      </c>
      <c r="AH405" s="11" t="n">
        <f aca="false">SUM(AB405:AG405)</f>
        <v>195.738</v>
      </c>
      <c r="AI405" s="12" t="s">
        <v>710</v>
      </c>
    </row>
    <row r="406" customFormat="false" ht="15" hidden="false" customHeight="false" outlineLevel="0" collapsed="false">
      <c r="A406" s="8" t="s">
        <v>889</v>
      </c>
      <c r="B406" s="12" t="s">
        <v>890</v>
      </c>
      <c r="C406" s="8" t="s">
        <v>837</v>
      </c>
      <c r="D406" s="12" t="s">
        <v>838</v>
      </c>
      <c r="E406" s="10" t="str">
        <f aca="true">IFERROR(IF(INDEX(INDIRECT("'"&amp;$AI406&amp;"'!$E$2:$E$121"),MATCH($A406,INDIRECT("'"&amp;$AI406&amp;"'!$A$2:$A$121"),0))="","",INDEX(INDIRECT("'"&amp;$AI406&amp;"'!$E$2:$E$121"),MATCH($A406,INDIRECT("'"&amp;$AI406&amp;"'!$A$2:$A$121"),0))),"")</f>
        <v/>
      </c>
      <c r="F406" s="9" t="str">
        <f aca="false">IF($E406="","",IFERROR(INDEX(担当者マスタ!$B$2:$B$101,MATCH($E406,担当者マスタ!$A$2:$A$101,0)),"※マスタ未登録"))</f>
        <v/>
      </c>
      <c r="G406" s="11" t="n">
        <v>63.215</v>
      </c>
      <c r="H406" s="11" t="n">
        <v>68.27</v>
      </c>
      <c r="I406" s="11" t="n">
        <v>68.243</v>
      </c>
      <c r="J406" s="11" t="n">
        <v>51.874</v>
      </c>
      <c r="K406" s="11" t="n">
        <v>47.193</v>
      </c>
      <c r="L406" s="11" t="n">
        <v>79.995</v>
      </c>
      <c r="M406" s="11" t="n">
        <f aca="false">SUM(G406:L406)</f>
        <v>378.79</v>
      </c>
      <c r="N406" s="11" t="n">
        <v>13.583</v>
      </c>
      <c r="O406" s="11" t="n">
        <v>12.547</v>
      </c>
      <c r="P406" s="11" t="n">
        <v>13.444</v>
      </c>
      <c r="Q406" s="11" t="n">
        <v>10.163</v>
      </c>
      <c r="R406" s="11" t="n">
        <v>9.394</v>
      </c>
      <c r="S406" s="11" t="n">
        <v>16.477</v>
      </c>
      <c r="T406" s="11" t="n">
        <f aca="false">SUM(N406:S406)</f>
        <v>75.608</v>
      </c>
      <c r="U406" s="11" t="n">
        <v>56.326</v>
      </c>
      <c r="V406" s="11" t="n">
        <v>53.705</v>
      </c>
      <c r="W406" s="11" t="n">
        <v>47.471</v>
      </c>
      <c r="X406" s="11" t="n">
        <v>53.293</v>
      </c>
      <c r="Y406" s="11" t="n">
        <v>54.328</v>
      </c>
      <c r="Z406" s="11" t="n">
        <v>65.614</v>
      </c>
      <c r="AA406" s="11" t="n">
        <f aca="false">SUM(U406:Z406)</f>
        <v>330.737</v>
      </c>
      <c r="AB406" s="11" t="n">
        <v>12.759</v>
      </c>
      <c r="AC406" s="11" t="n">
        <v>12.093</v>
      </c>
      <c r="AD406" s="11" t="n">
        <v>10.285</v>
      </c>
      <c r="AE406" s="11" t="n">
        <v>11.856</v>
      </c>
      <c r="AF406" s="11" t="n">
        <v>11.822</v>
      </c>
      <c r="AG406" s="11" t="n">
        <v>15.225</v>
      </c>
      <c r="AH406" s="11" t="n">
        <f aca="false">SUM(AB406:AG406)</f>
        <v>74.04</v>
      </c>
      <c r="AI406" s="12" t="s">
        <v>710</v>
      </c>
    </row>
    <row r="407" customFormat="false" ht="15" hidden="false" customHeight="false" outlineLevel="0" collapsed="false">
      <c r="A407" s="8" t="s">
        <v>891</v>
      </c>
      <c r="B407" s="12" t="s">
        <v>892</v>
      </c>
      <c r="C407" s="8" t="s">
        <v>837</v>
      </c>
      <c r="D407" s="12" t="s">
        <v>838</v>
      </c>
      <c r="E407" s="10" t="str">
        <f aca="true">IFERROR(IF(INDEX(INDIRECT("'"&amp;$AI407&amp;"'!$E$2:$E$121"),MATCH($A407,INDIRECT("'"&amp;$AI407&amp;"'!$A$2:$A$121"),0))="","",INDEX(INDIRECT("'"&amp;$AI407&amp;"'!$E$2:$E$121"),MATCH($A407,INDIRECT("'"&amp;$AI407&amp;"'!$A$2:$A$121"),0))),"")</f>
        <v/>
      </c>
      <c r="F407" s="9" t="str">
        <f aca="false">IF($E407="","",IFERROR(INDEX(担当者マスタ!$B$2:$B$101,MATCH($E407,担当者マスタ!$A$2:$A$101,0)),"※マスタ未登録"))</f>
        <v/>
      </c>
      <c r="G407" s="11" t="n">
        <v>145.5</v>
      </c>
      <c r="H407" s="11" t="n">
        <v>129.959</v>
      </c>
      <c r="I407" s="11" t="n">
        <v>21.147</v>
      </c>
      <c r="J407" s="11" t="n">
        <v>0</v>
      </c>
      <c r="K407" s="11" t="n">
        <v>51.477</v>
      </c>
      <c r="L407" s="11" t="n">
        <v>63</v>
      </c>
      <c r="M407" s="11" t="n">
        <f aca="false">SUM(G407:L407)</f>
        <v>411.083</v>
      </c>
      <c r="N407" s="11" t="n">
        <v>16.852</v>
      </c>
      <c r="O407" s="11" t="n">
        <v>8.757</v>
      </c>
      <c r="P407" s="11" t="n">
        <v>0.201</v>
      </c>
      <c r="Q407" s="11" t="n">
        <v>0</v>
      </c>
      <c r="R407" s="11" t="n">
        <v>0.346</v>
      </c>
      <c r="S407" s="11" t="n">
        <v>4.7</v>
      </c>
      <c r="T407" s="11" t="n">
        <f aca="false">SUM(N407:S407)</f>
        <v>30.856</v>
      </c>
      <c r="U407" s="11" t="n">
        <v>0</v>
      </c>
      <c r="V407" s="11" t="n">
        <v>0</v>
      </c>
      <c r="W407" s="11" t="n">
        <v>0</v>
      </c>
      <c r="X407" s="11" t="n">
        <v>0</v>
      </c>
      <c r="Y407" s="11" t="n">
        <v>31</v>
      </c>
      <c r="Z407" s="11" t="n">
        <v>0</v>
      </c>
      <c r="AA407" s="11" t="n">
        <f aca="false">SUM(U407:Z407)</f>
        <v>31</v>
      </c>
      <c r="AB407" s="11" t="n">
        <v>0</v>
      </c>
      <c r="AC407" s="11" t="n">
        <v>0</v>
      </c>
      <c r="AD407" s="11" t="n">
        <v>0</v>
      </c>
      <c r="AE407" s="11" t="n">
        <v>0</v>
      </c>
      <c r="AF407" s="11" t="n">
        <v>4.5</v>
      </c>
      <c r="AG407" s="11" t="n">
        <v>0</v>
      </c>
      <c r="AH407" s="11" t="n">
        <f aca="false">SUM(AB407:AG407)</f>
        <v>4.5</v>
      </c>
      <c r="AI407" s="12" t="s">
        <v>710</v>
      </c>
    </row>
    <row r="408" customFormat="false" ht="15" hidden="false" customHeight="false" outlineLevel="0" collapsed="false">
      <c r="A408" s="8" t="s">
        <v>893</v>
      </c>
      <c r="B408" s="12" t="s">
        <v>894</v>
      </c>
      <c r="C408" s="8" t="s">
        <v>837</v>
      </c>
      <c r="D408" s="12" t="s">
        <v>838</v>
      </c>
      <c r="E408" s="10" t="str">
        <f aca="true">IFERROR(IF(INDEX(INDIRECT("'"&amp;$AI408&amp;"'!$E$2:$E$121"),MATCH($A408,INDIRECT("'"&amp;$AI408&amp;"'!$A$2:$A$121"),0))="","",INDEX(INDIRECT("'"&amp;$AI408&amp;"'!$E$2:$E$121"),MATCH($A408,INDIRECT("'"&amp;$AI408&amp;"'!$A$2:$A$121"),0))),"")</f>
        <v/>
      </c>
      <c r="F408" s="9" t="str">
        <f aca="false">IF($E408="","",IFERROR(INDEX(担当者マスタ!$B$2:$B$101,MATCH($E408,担当者マスタ!$A$2:$A$101,0)),"※マスタ未登録"))</f>
        <v/>
      </c>
      <c r="G408" s="11" t="n">
        <v>3413.659</v>
      </c>
      <c r="H408" s="11" t="n">
        <v>2878.371</v>
      </c>
      <c r="I408" s="11" t="n">
        <v>2889.125</v>
      </c>
      <c r="J408" s="11" t="n">
        <v>2278.591</v>
      </c>
      <c r="K408" s="11" t="n">
        <v>2776.758</v>
      </c>
      <c r="L408" s="11" t="n">
        <v>3616.93</v>
      </c>
      <c r="M408" s="11" t="n">
        <f aca="false">SUM(G408:L408)</f>
        <v>17853.434</v>
      </c>
      <c r="N408" s="11" t="n">
        <v>729.401</v>
      </c>
      <c r="O408" s="11" t="n">
        <v>618.292</v>
      </c>
      <c r="P408" s="11" t="n">
        <v>589.868</v>
      </c>
      <c r="Q408" s="11" t="n">
        <v>476.95</v>
      </c>
      <c r="R408" s="11" t="n">
        <v>561.433</v>
      </c>
      <c r="S408" s="11" t="n">
        <v>721.275</v>
      </c>
      <c r="T408" s="11" t="n">
        <f aca="false">SUM(N408:S408)</f>
        <v>3697.219</v>
      </c>
      <c r="U408" s="11" t="n">
        <v>3304.785</v>
      </c>
      <c r="V408" s="11" t="n">
        <v>3694.48</v>
      </c>
      <c r="W408" s="11" t="n">
        <v>3558.45</v>
      </c>
      <c r="X408" s="11" t="n">
        <v>3835.395</v>
      </c>
      <c r="Y408" s="11" t="n">
        <v>3306.8</v>
      </c>
      <c r="Z408" s="11" t="n">
        <v>2831.865</v>
      </c>
      <c r="AA408" s="11" t="n">
        <f aca="false">SUM(U408:Z408)</f>
        <v>20531.775</v>
      </c>
      <c r="AB408" s="11" t="n">
        <v>672.231</v>
      </c>
      <c r="AC408" s="11" t="n">
        <v>762.105</v>
      </c>
      <c r="AD408" s="11" t="n">
        <v>691.557</v>
      </c>
      <c r="AE408" s="11" t="n">
        <v>762.369</v>
      </c>
      <c r="AF408" s="11" t="n">
        <v>647.826</v>
      </c>
      <c r="AG408" s="11" t="n">
        <v>593.485</v>
      </c>
      <c r="AH408" s="11" t="n">
        <f aca="false">SUM(AB408:AG408)</f>
        <v>4129.573</v>
      </c>
      <c r="AI408" s="12" t="s">
        <v>710</v>
      </c>
    </row>
    <row r="409" customFormat="false" ht="15" hidden="false" customHeight="false" outlineLevel="0" collapsed="false">
      <c r="A409" s="8" t="s">
        <v>895</v>
      </c>
      <c r="B409" s="12" t="s">
        <v>896</v>
      </c>
      <c r="C409" s="8" t="s">
        <v>837</v>
      </c>
      <c r="D409" s="12" t="s">
        <v>838</v>
      </c>
      <c r="E409" s="10" t="str">
        <f aca="true">IFERROR(IF(INDEX(INDIRECT("'"&amp;$AI409&amp;"'!$E$2:$E$121"),MATCH($A409,INDIRECT("'"&amp;$AI409&amp;"'!$A$2:$A$121"),0))="","",INDEX(INDIRECT("'"&amp;$AI409&amp;"'!$E$2:$E$121"),MATCH($A409,INDIRECT("'"&amp;$AI409&amp;"'!$A$2:$A$121"),0))),"")</f>
        <v/>
      </c>
      <c r="F409" s="9" t="str">
        <f aca="false">IF($E409="","",IFERROR(INDEX(担当者マスタ!$B$2:$B$101,MATCH($E409,担当者マスタ!$A$2:$A$101,0)),"※マスタ未登録"))</f>
        <v/>
      </c>
      <c r="G409" s="11" t="n">
        <v>0</v>
      </c>
      <c r="H409" s="11" t="n">
        <v>0</v>
      </c>
      <c r="I409" s="11" t="n">
        <v>0</v>
      </c>
      <c r="J409" s="11" t="n">
        <v>265.644</v>
      </c>
      <c r="K409" s="11" t="n">
        <v>0</v>
      </c>
      <c r="L409" s="11" t="n">
        <v>0</v>
      </c>
      <c r="M409" s="11" t="n">
        <f aca="false">SUM(G409:L409)</f>
        <v>265.644</v>
      </c>
      <c r="N409" s="11" t="n">
        <v>0</v>
      </c>
      <c r="O409" s="11" t="n">
        <v>0</v>
      </c>
      <c r="P409" s="11" t="n">
        <v>0</v>
      </c>
      <c r="Q409" s="11" t="n">
        <v>86.052</v>
      </c>
      <c r="R409" s="11" t="n">
        <v>0</v>
      </c>
      <c r="S409" s="11" t="n">
        <v>0</v>
      </c>
      <c r="T409" s="11" t="n">
        <f aca="false">SUM(N409:S409)</f>
        <v>86.052</v>
      </c>
      <c r="U409" s="11" t="n">
        <v>0</v>
      </c>
      <c r="V409" s="11" t="n">
        <v>0</v>
      </c>
      <c r="W409" s="11" t="n">
        <v>0</v>
      </c>
      <c r="X409" s="11" t="n">
        <v>83.325</v>
      </c>
      <c r="Y409" s="11" t="n">
        <v>0</v>
      </c>
      <c r="Z409" s="11" t="n">
        <v>240.396</v>
      </c>
      <c r="AA409" s="11" t="n">
        <f aca="false">SUM(U409:Z409)</f>
        <v>323.721</v>
      </c>
      <c r="AB409" s="11" t="n">
        <v>0</v>
      </c>
      <c r="AC409" s="11" t="n">
        <v>0</v>
      </c>
      <c r="AD409" s="11" t="n">
        <v>0</v>
      </c>
      <c r="AE409" s="11" t="n">
        <v>14.645</v>
      </c>
      <c r="AF409" s="11" t="n">
        <v>0</v>
      </c>
      <c r="AG409" s="11" t="n">
        <v>78.54</v>
      </c>
      <c r="AH409" s="11" t="n">
        <f aca="false">SUM(AB409:AG409)</f>
        <v>93.185</v>
      </c>
      <c r="AI409" s="12" t="s">
        <v>710</v>
      </c>
    </row>
    <row r="410" customFormat="false" ht="15" hidden="false" customHeight="false" outlineLevel="0" collapsed="false">
      <c r="A410" s="8" t="s">
        <v>897</v>
      </c>
      <c r="B410" s="12" t="s">
        <v>898</v>
      </c>
      <c r="C410" s="8" t="s">
        <v>837</v>
      </c>
      <c r="D410" s="12" t="s">
        <v>838</v>
      </c>
      <c r="E410" s="10" t="str">
        <f aca="true">IFERROR(IF(INDEX(INDIRECT("'"&amp;$AI410&amp;"'!$E$2:$E$121"),MATCH($A410,INDIRECT("'"&amp;$AI410&amp;"'!$A$2:$A$121"),0))="","",INDEX(INDIRECT("'"&amp;$AI410&amp;"'!$E$2:$E$121"),MATCH($A410,INDIRECT("'"&amp;$AI410&amp;"'!$A$2:$A$121"),0))),"")</f>
        <v/>
      </c>
      <c r="F410" s="9" t="str">
        <f aca="false">IF($E410="","",IFERROR(INDEX(担当者マスタ!$B$2:$B$101,MATCH($E410,担当者マスタ!$A$2:$A$101,0)),"※マスタ未登録"))</f>
        <v/>
      </c>
      <c r="G410" s="11" t="n">
        <v>890.25</v>
      </c>
      <c r="H410" s="11" t="n">
        <v>1132.86</v>
      </c>
      <c r="I410" s="11" t="n">
        <v>1264.969</v>
      </c>
      <c r="J410" s="11" t="n">
        <v>1028.299</v>
      </c>
      <c r="K410" s="11" t="n">
        <v>518.458</v>
      </c>
      <c r="L410" s="11" t="n">
        <v>639.3</v>
      </c>
      <c r="M410" s="11" t="n">
        <f aca="false">SUM(G410:L410)</f>
        <v>5474.136</v>
      </c>
      <c r="N410" s="11" t="n">
        <v>146.65</v>
      </c>
      <c r="O410" s="11" t="n">
        <v>185.43</v>
      </c>
      <c r="P410" s="11" t="n">
        <v>210.41</v>
      </c>
      <c r="Q410" s="11" t="n">
        <v>172.33</v>
      </c>
      <c r="R410" s="11" t="n">
        <v>84.767</v>
      </c>
      <c r="S410" s="11" t="n">
        <v>107.86</v>
      </c>
      <c r="T410" s="11" t="n">
        <f aca="false">SUM(N410:S410)</f>
        <v>907.447</v>
      </c>
      <c r="U410" s="11" t="n">
        <v>1095.492</v>
      </c>
      <c r="V410" s="11" t="n">
        <v>1213.355</v>
      </c>
      <c r="W410" s="11" t="n">
        <v>1294.522</v>
      </c>
      <c r="X410" s="11" t="n">
        <v>832.155</v>
      </c>
      <c r="Y410" s="11" t="n">
        <v>646.625</v>
      </c>
      <c r="Z410" s="11" t="n">
        <v>599.382</v>
      </c>
      <c r="AA410" s="11" t="n">
        <f aca="false">SUM(U410:Z410)</f>
        <v>5681.531</v>
      </c>
      <c r="AB410" s="11" t="n">
        <v>177.085</v>
      </c>
      <c r="AC410" s="11" t="n">
        <v>202.485</v>
      </c>
      <c r="AD410" s="11" t="n">
        <v>223.325</v>
      </c>
      <c r="AE410" s="11" t="n">
        <v>143.66</v>
      </c>
      <c r="AF410" s="11" t="n">
        <v>106.685</v>
      </c>
      <c r="AG410" s="11" t="n">
        <v>108.64</v>
      </c>
      <c r="AH410" s="11" t="n">
        <f aca="false">SUM(AB410:AG410)</f>
        <v>961.88</v>
      </c>
      <c r="AI410" s="12" t="s">
        <v>710</v>
      </c>
    </row>
    <row r="411" customFormat="false" ht="15" hidden="false" customHeight="false" outlineLevel="0" collapsed="false">
      <c r="A411" s="8" t="s">
        <v>899</v>
      </c>
      <c r="B411" s="12" t="s">
        <v>900</v>
      </c>
      <c r="C411" s="8" t="s">
        <v>837</v>
      </c>
      <c r="D411" s="12" t="s">
        <v>838</v>
      </c>
      <c r="E411" s="10" t="str">
        <f aca="true">IFERROR(IF(INDEX(INDIRECT("'"&amp;$AI411&amp;"'!$E$2:$E$121"),MATCH($A411,INDIRECT("'"&amp;$AI411&amp;"'!$A$2:$A$121"),0))="","",INDEX(INDIRECT("'"&amp;$AI411&amp;"'!$E$2:$E$121"),MATCH($A411,INDIRECT("'"&amp;$AI411&amp;"'!$A$2:$A$121"),0))),"")</f>
        <v/>
      </c>
      <c r="F411" s="9" t="str">
        <f aca="false">IF($E411="","",IFERROR(INDEX(担当者マスタ!$B$2:$B$101,MATCH($E411,担当者マスタ!$A$2:$A$101,0)),"※マスタ未登録"))</f>
        <v/>
      </c>
      <c r="G411" s="11" t="n">
        <v>1498.59</v>
      </c>
      <c r="H411" s="11" t="n">
        <v>1741.248</v>
      </c>
      <c r="I411" s="11" t="n">
        <v>1518.975</v>
      </c>
      <c r="J411" s="11" t="n">
        <v>409.326</v>
      </c>
      <c r="K411" s="11" t="n">
        <v>309.69</v>
      </c>
      <c r="L411" s="11" t="n">
        <v>177.054</v>
      </c>
      <c r="M411" s="11" t="n">
        <f aca="false">SUM(G411:L411)</f>
        <v>5654.883</v>
      </c>
      <c r="N411" s="11" t="n">
        <v>212.22</v>
      </c>
      <c r="O411" s="11" t="n">
        <v>250.858</v>
      </c>
      <c r="P411" s="11" t="n">
        <v>226.259</v>
      </c>
      <c r="Q411" s="11" t="n">
        <v>56.316</v>
      </c>
      <c r="R411" s="11" t="n">
        <v>40.5</v>
      </c>
      <c r="S411" s="11" t="n">
        <v>28.956</v>
      </c>
      <c r="T411" s="11" t="n">
        <f aca="false">SUM(N411:S411)</f>
        <v>815.109</v>
      </c>
      <c r="U411" s="11" t="n">
        <v>503.667</v>
      </c>
      <c r="V411" s="11" t="n">
        <v>256.52</v>
      </c>
      <c r="W411" s="11" t="n">
        <v>852.923</v>
      </c>
      <c r="X411" s="11" t="n">
        <v>364.835</v>
      </c>
      <c r="Y411" s="11" t="n">
        <v>185.493</v>
      </c>
      <c r="Z411" s="11" t="n">
        <v>81.025</v>
      </c>
      <c r="AA411" s="11" t="n">
        <f aca="false">SUM(U411:Z411)</f>
        <v>2244.463</v>
      </c>
      <c r="AB411" s="11" t="n">
        <v>73.478</v>
      </c>
      <c r="AC411" s="11" t="n">
        <v>34.556</v>
      </c>
      <c r="AD411" s="11" t="n">
        <v>126.977</v>
      </c>
      <c r="AE411" s="11" t="n">
        <v>51.976</v>
      </c>
      <c r="AF411" s="11" t="n">
        <v>24.987</v>
      </c>
      <c r="AG411" s="11" t="n">
        <v>17.012</v>
      </c>
      <c r="AH411" s="11" t="n">
        <f aca="false">SUM(AB411:AG411)</f>
        <v>328.986</v>
      </c>
      <c r="AI411" s="12" t="s">
        <v>710</v>
      </c>
    </row>
    <row r="412" customFormat="false" ht="15" hidden="false" customHeight="false" outlineLevel="0" collapsed="false">
      <c r="A412" s="8" t="s">
        <v>901</v>
      </c>
      <c r="B412" s="12" t="s">
        <v>902</v>
      </c>
      <c r="C412" s="8" t="s">
        <v>837</v>
      </c>
      <c r="D412" s="12" t="s">
        <v>838</v>
      </c>
      <c r="E412" s="10" t="str">
        <f aca="true">IFERROR(IF(INDEX(INDIRECT("'"&amp;$AI412&amp;"'!$E$2:$E$121"),MATCH($A412,INDIRECT("'"&amp;$AI412&amp;"'!$A$2:$A$121"),0))="","",INDEX(INDIRECT("'"&amp;$AI412&amp;"'!$E$2:$E$121"),MATCH($A412,INDIRECT("'"&amp;$AI412&amp;"'!$A$2:$A$121"),0))),"")</f>
        <v/>
      </c>
      <c r="F412" s="9" t="str">
        <f aca="false">IF($E412="","",IFERROR(INDEX(担当者マスタ!$B$2:$B$101,MATCH($E412,担当者マスタ!$A$2:$A$101,0)),"※マスタ未登録"))</f>
        <v/>
      </c>
      <c r="G412" s="11" t="n">
        <v>47.2</v>
      </c>
      <c r="H412" s="11" t="n">
        <v>48.97</v>
      </c>
      <c r="I412" s="11" t="n">
        <v>99.826</v>
      </c>
      <c r="J412" s="11" t="n">
        <v>22.72</v>
      </c>
      <c r="K412" s="11" t="n">
        <v>36.92</v>
      </c>
      <c r="L412" s="11" t="n">
        <v>28.4</v>
      </c>
      <c r="M412" s="11" t="n">
        <f aca="false">SUM(G412:L412)</f>
        <v>284.036</v>
      </c>
      <c r="N412" s="11" t="n">
        <v>-4.4</v>
      </c>
      <c r="O412" s="11" t="n">
        <v>-4.565</v>
      </c>
      <c r="P412" s="11" t="n">
        <v>9.139</v>
      </c>
      <c r="Q412" s="11" t="n">
        <v>2.08</v>
      </c>
      <c r="R412" s="11" t="n">
        <v>3.38</v>
      </c>
      <c r="S412" s="11" t="n">
        <v>2.6</v>
      </c>
      <c r="T412" s="11" t="n">
        <f aca="false">SUM(N412:S412)</f>
        <v>8.234</v>
      </c>
      <c r="U412" s="11" t="n">
        <v>76.68</v>
      </c>
      <c r="V412" s="11" t="n">
        <v>92.726</v>
      </c>
      <c r="W412" s="11" t="n">
        <v>90.454</v>
      </c>
      <c r="X412" s="11" t="n">
        <v>32.66</v>
      </c>
      <c r="Y412" s="11" t="n">
        <v>25.56</v>
      </c>
      <c r="Z412" s="11" t="n">
        <v>36.92</v>
      </c>
      <c r="AA412" s="11" t="n">
        <f aca="false">SUM(U412:Z412)</f>
        <v>355</v>
      </c>
      <c r="AB412" s="11" t="n">
        <v>2.808</v>
      </c>
      <c r="AC412" s="11" t="n">
        <v>3.396</v>
      </c>
      <c r="AD412" s="11" t="n">
        <v>3.312</v>
      </c>
      <c r="AE412" s="11" t="n">
        <v>1.196</v>
      </c>
      <c r="AF412" s="11" t="n">
        <v>0.936</v>
      </c>
      <c r="AG412" s="11" t="n">
        <v>1.352</v>
      </c>
      <c r="AH412" s="11" t="n">
        <f aca="false">SUM(AB412:AG412)</f>
        <v>13</v>
      </c>
      <c r="AI412" s="12" t="s">
        <v>710</v>
      </c>
    </row>
    <row r="413" customFormat="false" ht="15" hidden="false" customHeight="false" outlineLevel="0" collapsed="false">
      <c r="A413" s="8" t="s">
        <v>903</v>
      </c>
      <c r="B413" s="12" t="s">
        <v>904</v>
      </c>
      <c r="C413" s="8" t="s">
        <v>837</v>
      </c>
      <c r="D413" s="12" t="s">
        <v>838</v>
      </c>
      <c r="E413" s="10" t="str">
        <f aca="true">IFERROR(IF(INDEX(INDIRECT("'"&amp;$AI413&amp;"'!$E$2:$E$121"),MATCH($A413,INDIRECT("'"&amp;$AI413&amp;"'!$A$2:$A$121"),0))="","",INDEX(INDIRECT("'"&amp;$AI413&amp;"'!$E$2:$E$121"),MATCH($A413,INDIRECT("'"&amp;$AI413&amp;"'!$A$2:$A$121"),0))),"")</f>
        <v/>
      </c>
      <c r="F413" s="9" t="str">
        <f aca="false">IF($E413="","",IFERROR(INDEX(担当者マスタ!$B$2:$B$101,MATCH($E413,担当者マスタ!$A$2:$A$101,0)),"※マスタ未登録"))</f>
        <v/>
      </c>
      <c r="G413" s="11" t="n">
        <v>16.96</v>
      </c>
      <c r="H413" s="11" t="n">
        <v>91.92</v>
      </c>
      <c r="I413" s="11" t="n">
        <v>91.44</v>
      </c>
      <c r="J413" s="11" t="n">
        <v>101.92</v>
      </c>
      <c r="K413" s="11" t="n">
        <v>57.39</v>
      </c>
      <c r="L413" s="11" t="n">
        <v>139.32</v>
      </c>
      <c r="M413" s="11" t="n">
        <f aca="false">SUM(G413:L413)</f>
        <v>498.95</v>
      </c>
      <c r="N413" s="11" t="n">
        <v>0.163</v>
      </c>
      <c r="O413" s="11" t="n">
        <v>9.282</v>
      </c>
      <c r="P413" s="11" t="n">
        <v>10.347</v>
      </c>
      <c r="Q413" s="11" t="n">
        <v>19.282</v>
      </c>
      <c r="R413" s="11" t="n">
        <v>11.835</v>
      </c>
      <c r="S413" s="11" t="n">
        <v>26.517</v>
      </c>
      <c r="T413" s="11" t="n">
        <f aca="false">SUM(N413:S413)</f>
        <v>77.426</v>
      </c>
      <c r="U413" s="11" t="n">
        <v>70.34</v>
      </c>
      <c r="V413" s="11" t="n">
        <v>130.87</v>
      </c>
      <c r="W413" s="11" t="n">
        <v>230.13</v>
      </c>
      <c r="X413" s="11" t="n">
        <v>55.675</v>
      </c>
      <c r="Y413" s="11" t="n">
        <v>99.48</v>
      </c>
      <c r="Z413" s="11" t="n">
        <v>175.55</v>
      </c>
      <c r="AA413" s="11" t="n">
        <f aca="false">SUM(U413:Z413)</f>
        <v>762.045</v>
      </c>
      <c r="AB413" s="11" t="n">
        <v>23.375</v>
      </c>
      <c r="AC413" s="11" t="n">
        <v>24.829</v>
      </c>
      <c r="AD413" s="11" t="n">
        <v>40.886</v>
      </c>
      <c r="AE413" s="11" t="n">
        <v>11.417</v>
      </c>
      <c r="AF413" s="11" t="n">
        <v>27.363</v>
      </c>
      <c r="AG413" s="11" t="n">
        <v>53.85</v>
      </c>
      <c r="AH413" s="11" t="n">
        <f aca="false">SUM(AB413:AG413)</f>
        <v>181.72</v>
      </c>
      <c r="AI413" s="12" t="s">
        <v>710</v>
      </c>
    </row>
    <row r="414" customFormat="false" ht="15" hidden="false" customHeight="false" outlineLevel="0" collapsed="false">
      <c r="A414" s="8" t="s">
        <v>905</v>
      </c>
      <c r="B414" s="12" t="s">
        <v>906</v>
      </c>
      <c r="C414" s="8" t="s">
        <v>837</v>
      </c>
      <c r="D414" s="12" t="s">
        <v>838</v>
      </c>
      <c r="E414" s="10" t="str">
        <f aca="true">IFERROR(IF(INDEX(INDIRECT("'"&amp;$AI414&amp;"'!$E$2:$E$121"),MATCH($A414,INDIRECT("'"&amp;$AI414&amp;"'!$A$2:$A$121"),0))="","",INDEX(INDIRECT("'"&amp;$AI414&amp;"'!$E$2:$E$121"),MATCH($A414,INDIRECT("'"&amp;$AI414&amp;"'!$A$2:$A$121"),0))),"")</f>
        <v/>
      </c>
      <c r="F414" s="9" t="str">
        <f aca="false">IF($E414="","",IFERROR(INDEX(担当者マスタ!$B$2:$B$101,MATCH($E414,担当者マスタ!$A$2:$A$101,0)),"※マスタ未登録"))</f>
        <v/>
      </c>
      <c r="G414" s="11" t="n">
        <v>3.9</v>
      </c>
      <c r="H414" s="11" t="n">
        <v>0</v>
      </c>
      <c r="I414" s="11" t="n">
        <v>2.428</v>
      </c>
      <c r="J414" s="11" t="n">
        <v>0</v>
      </c>
      <c r="K414" s="11" t="n">
        <v>0</v>
      </c>
      <c r="L414" s="11" t="n">
        <v>0</v>
      </c>
      <c r="M414" s="11" t="n">
        <f aca="false">SUM(G414:L414)</f>
        <v>6.328</v>
      </c>
      <c r="N414" s="11" t="n">
        <v>0.45</v>
      </c>
      <c r="O414" s="11" t="n">
        <v>0</v>
      </c>
      <c r="P414" s="11" t="n">
        <v>0.72</v>
      </c>
      <c r="Q414" s="11" t="n">
        <v>0</v>
      </c>
      <c r="R414" s="11" t="n">
        <v>0</v>
      </c>
      <c r="S414" s="11" t="n">
        <v>0</v>
      </c>
      <c r="T414" s="11" t="n">
        <f aca="false">SUM(N414:S414)</f>
        <v>1.17</v>
      </c>
      <c r="U414" s="11" t="n">
        <v>0</v>
      </c>
      <c r="V414" s="11" t="n">
        <v>0</v>
      </c>
      <c r="W414" s="11" t="n">
        <v>4.856</v>
      </c>
      <c r="X414" s="11" t="n">
        <v>0</v>
      </c>
      <c r="Y414" s="11" t="n">
        <v>0</v>
      </c>
      <c r="Z414" s="11" t="n">
        <v>0</v>
      </c>
      <c r="AA414" s="11" t="n">
        <f aca="false">SUM(U414:Z414)</f>
        <v>4.856</v>
      </c>
      <c r="AB414" s="11" t="n">
        <v>0</v>
      </c>
      <c r="AC414" s="11" t="n">
        <v>0</v>
      </c>
      <c r="AD414" s="11" t="n">
        <v>1.44</v>
      </c>
      <c r="AE414" s="11" t="n">
        <v>0</v>
      </c>
      <c r="AF414" s="11" t="n">
        <v>0</v>
      </c>
      <c r="AG414" s="11" t="n">
        <v>0</v>
      </c>
      <c r="AH414" s="11" t="n">
        <f aca="false">SUM(AB414:AG414)</f>
        <v>1.44</v>
      </c>
      <c r="AI414" s="12" t="s">
        <v>710</v>
      </c>
    </row>
    <row r="415" customFormat="false" ht="15" hidden="false" customHeight="false" outlineLevel="0" collapsed="false">
      <c r="A415" s="8" t="s">
        <v>907</v>
      </c>
      <c r="B415" s="12" t="s">
        <v>908</v>
      </c>
      <c r="C415" s="8" t="s">
        <v>837</v>
      </c>
      <c r="D415" s="12" t="s">
        <v>838</v>
      </c>
      <c r="E415" s="10" t="str">
        <f aca="true">IFERROR(IF(INDEX(INDIRECT("'"&amp;$AI415&amp;"'!$E$2:$E$121"),MATCH($A415,INDIRECT("'"&amp;$AI415&amp;"'!$A$2:$A$121"),0))="","",INDEX(INDIRECT("'"&amp;$AI415&amp;"'!$E$2:$E$121"),MATCH($A415,INDIRECT("'"&amp;$AI415&amp;"'!$A$2:$A$121"),0))),"")</f>
        <v/>
      </c>
      <c r="F415" s="9" t="str">
        <f aca="false">IF($E415="","",IFERROR(INDEX(担当者マスタ!$B$2:$B$101,MATCH($E415,担当者マスタ!$A$2:$A$101,0)),"※マスタ未登録"))</f>
        <v/>
      </c>
      <c r="G415" s="11" t="n">
        <v>0</v>
      </c>
      <c r="H415" s="11" t="n">
        <v>0</v>
      </c>
      <c r="I415" s="11" t="n">
        <v>0</v>
      </c>
      <c r="J415" s="11" t="n">
        <v>53.55</v>
      </c>
      <c r="K415" s="11" t="n">
        <v>0</v>
      </c>
      <c r="L415" s="11" t="n">
        <v>0</v>
      </c>
      <c r="M415" s="11" t="n">
        <f aca="false">SUM(G415:L415)</f>
        <v>53.55</v>
      </c>
      <c r="N415" s="11" t="n">
        <v>0</v>
      </c>
      <c r="O415" s="11" t="n">
        <v>0</v>
      </c>
      <c r="P415" s="11" t="n">
        <v>0</v>
      </c>
      <c r="Q415" s="11" t="n">
        <v>7.35</v>
      </c>
      <c r="R415" s="11" t="n">
        <v>0</v>
      </c>
      <c r="S415" s="11" t="n">
        <v>0</v>
      </c>
      <c r="T415" s="11" t="n">
        <f aca="false">SUM(N415:S415)</f>
        <v>7.35</v>
      </c>
      <c r="U415" s="11" t="n">
        <v>0</v>
      </c>
      <c r="V415" s="11" t="n">
        <v>0</v>
      </c>
      <c r="W415" s="11" t="n">
        <v>0</v>
      </c>
      <c r="X415" s="11" t="n">
        <v>0</v>
      </c>
      <c r="Y415" s="11" t="n">
        <v>0</v>
      </c>
      <c r="Z415" s="11" t="n">
        <v>0</v>
      </c>
      <c r="AA415" s="11" t="n">
        <f aca="false">SUM(U415:Z415)</f>
        <v>0</v>
      </c>
      <c r="AB415" s="11" t="n">
        <v>0</v>
      </c>
      <c r="AC415" s="11" t="n">
        <v>0</v>
      </c>
      <c r="AD415" s="11" t="n">
        <v>0</v>
      </c>
      <c r="AE415" s="11" t="n">
        <v>0</v>
      </c>
      <c r="AF415" s="11" t="n">
        <v>0</v>
      </c>
      <c r="AG415" s="11" t="n">
        <v>0</v>
      </c>
      <c r="AH415" s="11" t="n">
        <f aca="false">SUM(AB415:AG415)</f>
        <v>0</v>
      </c>
      <c r="AI415" s="12" t="s">
        <v>710</v>
      </c>
    </row>
    <row r="416" customFormat="false" ht="15" hidden="false" customHeight="false" outlineLevel="0" collapsed="false">
      <c r="A416" s="8" t="s">
        <v>909</v>
      </c>
      <c r="B416" s="12" t="s">
        <v>910</v>
      </c>
      <c r="C416" s="8" t="s">
        <v>837</v>
      </c>
      <c r="D416" s="12" t="s">
        <v>838</v>
      </c>
      <c r="E416" s="10" t="str">
        <f aca="true">IFERROR(IF(INDEX(INDIRECT("'"&amp;$AI416&amp;"'!$E$2:$E$121"),MATCH($A416,INDIRECT("'"&amp;$AI416&amp;"'!$A$2:$A$121"),0))="","",INDEX(INDIRECT("'"&amp;$AI416&amp;"'!$E$2:$E$121"),MATCH($A416,INDIRECT("'"&amp;$AI416&amp;"'!$A$2:$A$121"),0))),"")</f>
        <v/>
      </c>
      <c r="F416" s="9" t="str">
        <f aca="false">IF($E416="","",IFERROR(INDEX(担当者マスタ!$B$2:$B$101,MATCH($E416,担当者マスタ!$A$2:$A$101,0)),"※マスタ未登録"))</f>
        <v/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f aca="false">SUM(G416:L416)</f>
        <v>0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f aca="false">SUM(N416:S416)</f>
        <v>0</v>
      </c>
      <c r="U416" s="11" t="n">
        <v>0</v>
      </c>
      <c r="V416" s="11" t="n">
        <v>32.25</v>
      </c>
      <c r="W416" s="11" t="n">
        <v>0</v>
      </c>
      <c r="X416" s="11" t="n">
        <v>0</v>
      </c>
      <c r="Y416" s="11" t="n">
        <v>102.443</v>
      </c>
      <c r="Z416" s="11" t="n">
        <v>0</v>
      </c>
      <c r="AA416" s="11" t="n">
        <f aca="false">SUM(U416:Z416)</f>
        <v>134.693</v>
      </c>
      <c r="AB416" s="11" t="n">
        <v>0</v>
      </c>
      <c r="AC416" s="11" t="n">
        <v>5.25</v>
      </c>
      <c r="AD416" s="11" t="n">
        <v>0</v>
      </c>
      <c r="AE416" s="11" t="n">
        <v>0</v>
      </c>
      <c r="AF416" s="11" t="n">
        <v>17.172</v>
      </c>
      <c r="AG416" s="11" t="n">
        <v>0</v>
      </c>
      <c r="AH416" s="11" t="n">
        <f aca="false">SUM(AB416:AG416)</f>
        <v>22.422</v>
      </c>
      <c r="AI416" s="12" t="s">
        <v>710</v>
      </c>
    </row>
    <row r="417" customFormat="false" ht="15" hidden="false" customHeight="false" outlineLevel="0" collapsed="false">
      <c r="A417" s="8" t="s">
        <v>911</v>
      </c>
      <c r="B417" s="12" t="s">
        <v>912</v>
      </c>
      <c r="C417" s="8" t="s">
        <v>837</v>
      </c>
      <c r="D417" s="12" t="s">
        <v>838</v>
      </c>
      <c r="E417" s="10" t="str">
        <f aca="true">IFERROR(IF(INDEX(INDIRECT("'"&amp;$AI417&amp;"'!$E$2:$E$121"),MATCH($A417,INDIRECT("'"&amp;$AI417&amp;"'!$A$2:$A$121"),0))="","",INDEX(INDIRECT("'"&amp;$AI417&amp;"'!$E$2:$E$121"),MATCH($A417,INDIRECT("'"&amp;$AI417&amp;"'!$A$2:$A$121"),0))),"")</f>
        <v/>
      </c>
      <c r="F417" s="9" t="str">
        <f aca="false">IF($E417="","",IFERROR(INDEX(担当者マスタ!$B$2:$B$101,MATCH($E417,担当者マスタ!$A$2:$A$101,0)),"※マスタ未登録"))</f>
        <v/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f aca="false">SUM(G417:L417)</f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f aca="false">SUM(N417:S417)</f>
        <v>0</v>
      </c>
      <c r="U417" s="11" t="n">
        <v>0</v>
      </c>
      <c r="V417" s="11" t="n">
        <v>0</v>
      </c>
      <c r="W417" s="11" t="n">
        <v>0</v>
      </c>
      <c r="X417" s="11" t="n">
        <v>0</v>
      </c>
      <c r="Y417" s="11" t="n">
        <v>0</v>
      </c>
      <c r="Z417" s="11" t="n">
        <v>69.75</v>
      </c>
      <c r="AA417" s="11" t="n">
        <f aca="false">SUM(U417:Z417)</f>
        <v>69.75</v>
      </c>
      <c r="AB417" s="11" t="n">
        <v>0</v>
      </c>
      <c r="AC417" s="11" t="n">
        <v>0</v>
      </c>
      <c r="AD417" s="11" t="n">
        <v>0</v>
      </c>
      <c r="AE417" s="11" t="n">
        <v>0</v>
      </c>
      <c r="AF417" s="11" t="n">
        <v>0</v>
      </c>
      <c r="AG417" s="11" t="n">
        <v>15.75</v>
      </c>
      <c r="AH417" s="11" t="n">
        <f aca="false">SUM(AB417:AG417)</f>
        <v>15.75</v>
      </c>
      <c r="AI417" s="12" t="s">
        <v>710</v>
      </c>
    </row>
    <row r="418" customFormat="false" ht="15" hidden="false" customHeight="false" outlineLevel="0" collapsed="false">
      <c r="A418" s="8" t="s">
        <v>913</v>
      </c>
      <c r="B418" s="12" t="s">
        <v>914</v>
      </c>
      <c r="C418" s="8" t="s">
        <v>837</v>
      </c>
      <c r="D418" s="12" t="s">
        <v>838</v>
      </c>
      <c r="E418" s="10" t="str">
        <f aca="true">IFERROR(IF(INDEX(INDIRECT("'"&amp;$AI418&amp;"'!$E$2:$E$121"),MATCH($A418,INDIRECT("'"&amp;$AI418&amp;"'!$A$2:$A$121"),0))="","",INDEX(INDIRECT("'"&amp;$AI418&amp;"'!$E$2:$E$121"),MATCH($A418,INDIRECT("'"&amp;$AI418&amp;"'!$A$2:$A$121"),0))),"")</f>
        <v/>
      </c>
      <c r="F418" s="9" t="str">
        <f aca="false">IF($E418="","",IFERROR(INDEX(担当者マスタ!$B$2:$B$101,MATCH($E418,担当者マスタ!$A$2:$A$101,0)),"※マスタ未登録"))</f>
        <v/>
      </c>
      <c r="G418" s="11" t="n">
        <v>0</v>
      </c>
      <c r="H418" s="11" t="n">
        <v>6.68</v>
      </c>
      <c r="I418" s="11" t="n">
        <v>6.68</v>
      </c>
      <c r="J418" s="11" t="n">
        <v>12.36</v>
      </c>
      <c r="K418" s="11" t="n">
        <v>0</v>
      </c>
      <c r="L418" s="11" t="n">
        <v>6.68</v>
      </c>
      <c r="M418" s="11" t="n">
        <f aca="false">SUM(G418:L418)</f>
        <v>32.4</v>
      </c>
      <c r="N418" s="11" t="n">
        <v>0</v>
      </c>
      <c r="O418" s="11" t="n">
        <v>0.656</v>
      </c>
      <c r="P418" s="11" t="n">
        <v>0.656</v>
      </c>
      <c r="Q418" s="11" t="n">
        <v>1.312</v>
      </c>
      <c r="R418" s="11" t="n">
        <v>0</v>
      </c>
      <c r="S418" s="11" t="n">
        <v>0.656</v>
      </c>
      <c r="T418" s="11" t="n">
        <f aca="false">SUM(N418:S418)</f>
        <v>3.28</v>
      </c>
      <c r="U418" s="11" t="n">
        <v>6.68</v>
      </c>
      <c r="V418" s="11" t="n">
        <v>0</v>
      </c>
      <c r="W418" s="11" t="n">
        <v>0</v>
      </c>
      <c r="X418" s="11" t="n">
        <v>0</v>
      </c>
      <c r="Y418" s="11" t="n">
        <v>0</v>
      </c>
      <c r="Z418" s="11" t="n">
        <v>0</v>
      </c>
      <c r="AA418" s="11" t="n">
        <f aca="false">SUM(U418:Z418)</f>
        <v>6.68</v>
      </c>
      <c r="AB418" s="11" t="n">
        <v>0.656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>
        <f aca="false">SUM(AB418:AG418)</f>
        <v>0.656</v>
      </c>
      <c r="AI418" s="12" t="s">
        <v>710</v>
      </c>
    </row>
    <row r="419" customFormat="false" ht="15" hidden="false" customHeight="false" outlineLevel="0" collapsed="false">
      <c r="A419" s="8" t="s">
        <v>915</v>
      </c>
      <c r="B419" s="12" t="s">
        <v>916</v>
      </c>
      <c r="C419" s="8" t="s">
        <v>917</v>
      </c>
      <c r="D419" s="12" t="s">
        <v>918</v>
      </c>
      <c r="E419" s="10" t="str">
        <f aca="true">IFERROR(IF(INDEX(INDIRECT("'"&amp;$AI419&amp;"'!$E$2:$E$121"),MATCH($A419,INDIRECT("'"&amp;$AI419&amp;"'!$A$2:$A$121"),0))="","",INDEX(INDIRECT("'"&amp;$AI419&amp;"'!$E$2:$E$121"),MATCH($A419,INDIRECT("'"&amp;$AI419&amp;"'!$A$2:$A$121"),0))),"")</f>
        <v/>
      </c>
      <c r="F419" s="9" t="str">
        <f aca="false">IF($E419="","",IFERROR(INDEX(担当者マスタ!$B$2:$B$101,MATCH($E419,担当者マスタ!$A$2:$A$101,0)),"※マスタ未登録"))</f>
        <v/>
      </c>
      <c r="G419" s="11" t="n">
        <v>124.8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f aca="false">SUM(G419:L419)</f>
        <v>124.8</v>
      </c>
      <c r="N419" s="11" t="n">
        <v>25.2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f aca="false">SUM(N419:S419)</f>
        <v>25.2</v>
      </c>
      <c r="U419" s="11" t="n">
        <v>0</v>
      </c>
      <c r="V419" s="11" t="n">
        <v>0</v>
      </c>
      <c r="W419" s="11" t="n">
        <v>0</v>
      </c>
      <c r="X419" s="11" t="n">
        <v>0</v>
      </c>
      <c r="Y419" s="11" t="n">
        <v>0</v>
      </c>
      <c r="Z419" s="11" t="n">
        <v>0</v>
      </c>
      <c r="AA419" s="11" t="n">
        <f aca="false">SUM(U419:Z419)</f>
        <v>0</v>
      </c>
      <c r="AB419" s="11" t="n">
        <v>0</v>
      </c>
      <c r="AC419" s="11" t="n">
        <v>0</v>
      </c>
      <c r="AD419" s="11" t="n">
        <v>0</v>
      </c>
      <c r="AE419" s="11" t="n">
        <v>0</v>
      </c>
      <c r="AF419" s="11" t="n">
        <v>0</v>
      </c>
      <c r="AG419" s="11" t="n">
        <v>0</v>
      </c>
      <c r="AH419" s="11" t="n">
        <f aca="false">SUM(AB419:AG419)</f>
        <v>0</v>
      </c>
      <c r="AI419" s="12" t="s">
        <v>710</v>
      </c>
    </row>
    <row r="420" customFormat="false" ht="15" hidden="false" customHeight="false" outlineLevel="0" collapsed="false">
      <c r="A420" s="8" t="s">
        <v>919</v>
      </c>
      <c r="B420" s="12" t="s">
        <v>920</v>
      </c>
      <c r="C420" s="8" t="s">
        <v>917</v>
      </c>
      <c r="D420" s="12" t="s">
        <v>918</v>
      </c>
      <c r="E420" s="10" t="str">
        <f aca="true">IFERROR(IF(INDEX(INDIRECT("'"&amp;$AI420&amp;"'!$E$2:$E$121"),MATCH($A420,INDIRECT("'"&amp;$AI420&amp;"'!$A$2:$A$121"),0))="","",INDEX(INDIRECT("'"&amp;$AI420&amp;"'!$E$2:$E$121"),MATCH($A420,INDIRECT("'"&amp;$AI420&amp;"'!$A$2:$A$121"),0))),"")</f>
        <v/>
      </c>
      <c r="F420" s="9" t="str">
        <f aca="false">IF($E420="","",IFERROR(INDEX(担当者マスタ!$B$2:$B$101,MATCH($E420,担当者マスタ!$A$2:$A$101,0)),"※マスタ未登録"))</f>
        <v/>
      </c>
      <c r="G420" s="11" t="n">
        <v>665.122</v>
      </c>
      <c r="H420" s="11" t="n">
        <v>817.387</v>
      </c>
      <c r="I420" s="11" t="n">
        <v>735.86</v>
      </c>
      <c r="J420" s="11" t="n">
        <v>537.514</v>
      </c>
      <c r="K420" s="11" t="n">
        <v>702.514</v>
      </c>
      <c r="L420" s="11" t="n">
        <v>674.366</v>
      </c>
      <c r="M420" s="11" t="n">
        <f aca="false">SUM(G420:L420)</f>
        <v>4132.763</v>
      </c>
      <c r="N420" s="11" t="n">
        <v>123.769</v>
      </c>
      <c r="O420" s="11" t="n">
        <v>142.058</v>
      </c>
      <c r="P420" s="11" t="n">
        <v>132.995</v>
      </c>
      <c r="Q420" s="11" t="n">
        <v>121.516</v>
      </c>
      <c r="R420" s="11" t="n">
        <v>150.357</v>
      </c>
      <c r="S420" s="11" t="n">
        <v>150.905</v>
      </c>
      <c r="T420" s="11" t="n">
        <f aca="false">SUM(N420:S420)</f>
        <v>821.6</v>
      </c>
      <c r="U420" s="11" t="n">
        <v>715.596</v>
      </c>
      <c r="V420" s="11" t="n">
        <v>636.368</v>
      </c>
      <c r="W420" s="11" t="n">
        <v>855.898</v>
      </c>
      <c r="X420" s="11" t="n">
        <v>698.374</v>
      </c>
      <c r="Y420" s="11" t="n">
        <v>559.842</v>
      </c>
      <c r="Z420" s="11" t="n">
        <v>571.682</v>
      </c>
      <c r="AA420" s="11" t="n">
        <f aca="false">SUM(U420:Z420)</f>
        <v>4037.76</v>
      </c>
      <c r="AB420" s="11" t="n">
        <v>160.499</v>
      </c>
      <c r="AC420" s="11" t="n">
        <v>143.332</v>
      </c>
      <c r="AD420" s="11" t="n">
        <v>175.454</v>
      </c>
      <c r="AE420" s="11" t="n">
        <v>154.087</v>
      </c>
      <c r="AF420" s="11" t="n">
        <v>128.39</v>
      </c>
      <c r="AG420" s="11" t="n">
        <v>130.987</v>
      </c>
      <c r="AH420" s="11" t="n">
        <f aca="false">SUM(AB420:AG420)</f>
        <v>892.749</v>
      </c>
      <c r="AI420" s="12" t="s">
        <v>710</v>
      </c>
    </row>
    <row r="421" customFormat="false" ht="15" hidden="false" customHeight="false" outlineLevel="0" collapsed="false">
      <c r="A421" s="8" t="s">
        <v>921</v>
      </c>
      <c r="B421" s="9" t="s">
        <v>922</v>
      </c>
      <c r="C421" s="8" t="s">
        <v>917</v>
      </c>
      <c r="D421" s="12" t="s">
        <v>918</v>
      </c>
      <c r="E421" s="10" t="str">
        <f aca="true">IFERROR(IF(INDEX(INDIRECT("'"&amp;$AI421&amp;"'!$E$2:$E$121"),MATCH($A421,INDIRECT("'"&amp;$AI421&amp;"'!$A$2:$A$121"),0))="","",INDEX(INDIRECT("'"&amp;$AI421&amp;"'!$E$2:$E$121"),MATCH($A421,INDIRECT("'"&amp;$AI421&amp;"'!$A$2:$A$121"),0))),"")</f>
        <v/>
      </c>
      <c r="F421" s="9" t="str">
        <f aca="false">IF($E421="","",IFERROR(INDEX(担当者マスタ!$B$2:$B$101,MATCH($E421,担当者マスタ!$A$2:$A$101,0)),"※マスタ未登録"))</f>
        <v/>
      </c>
      <c r="G421" s="11" t="n">
        <v>219.14</v>
      </c>
      <c r="H421" s="11" t="n">
        <v>217.504</v>
      </c>
      <c r="I421" s="11" t="n">
        <v>235.604</v>
      </c>
      <c r="J421" s="11" t="n">
        <v>205.244</v>
      </c>
      <c r="K421" s="11" t="n">
        <v>171.676</v>
      </c>
      <c r="L421" s="11" t="n">
        <v>228.768</v>
      </c>
      <c r="M421" s="11" t="n">
        <f aca="false">SUM(G421:L421)</f>
        <v>1277.936</v>
      </c>
      <c r="N421" s="11" t="n">
        <v>17.43</v>
      </c>
      <c r="O421" s="11" t="n">
        <v>14.52</v>
      </c>
      <c r="P421" s="11" t="n">
        <v>18.06</v>
      </c>
      <c r="Q421" s="11" t="n">
        <v>17.61</v>
      </c>
      <c r="R421" s="11" t="n">
        <v>11.316</v>
      </c>
      <c r="S421" s="11" t="n">
        <v>13.554</v>
      </c>
      <c r="T421" s="11" t="n">
        <f aca="false">SUM(N421:S421)</f>
        <v>92.49</v>
      </c>
      <c r="U421" s="11" t="n">
        <v>207.936</v>
      </c>
      <c r="V421" s="11" t="n">
        <v>184.996</v>
      </c>
      <c r="W421" s="11" t="n">
        <v>238.844</v>
      </c>
      <c r="X421" s="11" t="n">
        <v>355.316</v>
      </c>
      <c r="Y421" s="11" t="n">
        <v>165.276</v>
      </c>
      <c r="Z421" s="11" t="n">
        <v>216.468</v>
      </c>
      <c r="AA421" s="11" t="n">
        <f aca="false">SUM(U421:Z421)</f>
        <v>1368.836</v>
      </c>
      <c r="AB421" s="11" t="n">
        <v>15.804</v>
      </c>
      <c r="AC421" s="11" t="n">
        <v>18.394</v>
      </c>
      <c r="AD421" s="11" t="n">
        <v>25.142</v>
      </c>
      <c r="AE421" s="11" t="n">
        <v>47.726</v>
      </c>
      <c r="AF421" s="11" t="n">
        <v>14.454</v>
      </c>
      <c r="AG421" s="11" t="n">
        <v>18.666</v>
      </c>
      <c r="AH421" s="11" t="n">
        <f aca="false">SUM(AB421:AG421)</f>
        <v>140.186</v>
      </c>
      <c r="AI421" s="12" t="s">
        <v>710</v>
      </c>
    </row>
    <row r="422" customFormat="false" ht="15" hidden="false" customHeight="false" outlineLevel="0" collapsed="false">
      <c r="A422" s="8" t="s">
        <v>923</v>
      </c>
      <c r="B422" s="9" t="s">
        <v>924</v>
      </c>
      <c r="C422" s="8" t="s">
        <v>917</v>
      </c>
      <c r="D422" s="12" t="s">
        <v>918</v>
      </c>
      <c r="E422" s="10" t="str">
        <f aca="true">IFERROR(IF(INDEX(INDIRECT("'"&amp;$AI422&amp;"'!$E$2:$E$121"),MATCH($A422,INDIRECT("'"&amp;$AI422&amp;"'!$A$2:$A$121"),0))="","",INDEX(INDIRECT("'"&amp;$AI422&amp;"'!$E$2:$E$121"),MATCH($A422,INDIRECT("'"&amp;$AI422&amp;"'!$A$2:$A$121"),0))),"")</f>
        <v/>
      </c>
      <c r="F422" s="9" t="str">
        <f aca="false">IF($E422="","",IFERROR(INDEX(担当者マスタ!$B$2:$B$101,MATCH($E422,担当者マスタ!$A$2:$A$101,0)),"※マスタ未登録"))</f>
        <v/>
      </c>
      <c r="G422" s="11" t="n">
        <v>15.93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f aca="false">SUM(G422:L422)</f>
        <v>15.93</v>
      </c>
      <c r="N422" s="11" t="n">
        <v>7.05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  <c r="T422" s="11" t="n">
        <f aca="false">SUM(N422:S422)</f>
        <v>7.05</v>
      </c>
      <c r="U422" s="11" t="n">
        <v>0</v>
      </c>
      <c r="V422" s="11" t="n">
        <v>0</v>
      </c>
      <c r="W422" s="11" t="n">
        <v>0</v>
      </c>
      <c r="X422" s="11" t="n">
        <v>0</v>
      </c>
      <c r="Y422" s="11" t="n">
        <v>0</v>
      </c>
      <c r="Z422" s="11" t="n">
        <v>0</v>
      </c>
      <c r="AA422" s="11" t="n">
        <f aca="false">SUM(U422:Z422)</f>
        <v>0</v>
      </c>
      <c r="AB422" s="11" t="n">
        <v>0</v>
      </c>
      <c r="AC422" s="11" t="n">
        <v>0</v>
      </c>
      <c r="AD422" s="11" t="n">
        <v>0</v>
      </c>
      <c r="AE422" s="11" t="n">
        <v>0</v>
      </c>
      <c r="AF422" s="11" t="n">
        <v>0</v>
      </c>
      <c r="AG422" s="11" t="n">
        <v>0</v>
      </c>
      <c r="AH422" s="11" t="n">
        <f aca="false">SUM(AB422:AG422)</f>
        <v>0</v>
      </c>
      <c r="AI422" s="12" t="s">
        <v>710</v>
      </c>
    </row>
    <row r="423" customFormat="false" ht="15" hidden="false" customHeight="false" outlineLevel="0" collapsed="false">
      <c r="A423" s="8" t="s">
        <v>925</v>
      </c>
      <c r="B423" s="12" t="s">
        <v>926</v>
      </c>
      <c r="C423" s="8" t="s">
        <v>917</v>
      </c>
      <c r="D423" s="12" t="s">
        <v>918</v>
      </c>
      <c r="E423" s="10" t="str">
        <f aca="true">IFERROR(IF(INDEX(INDIRECT("'"&amp;$AI423&amp;"'!$E$2:$E$121"),MATCH($A423,INDIRECT("'"&amp;$AI423&amp;"'!$A$2:$A$121"),0))="","",INDEX(INDIRECT("'"&amp;$AI423&amp;"'!$E$2:$E$121"),MATCH($A423,INDIRECT("'"&amp;$AI423&amp;"'!$A$2:$A$121"),0))),"")</f>
        <v/>
      </c>
      <c r="F423" s="9" t="str">
        <f aca="false">IF($E423="","",IFERROR(INDEX(担当者マスタ!$B$2:$B$101,MATCH($E423,担当者マスタ!$A$2:$A$101,0)),"※マスタ未登録"))</f>
        <v/>
      </c>
      <c r="G423" s="11" t="n">
        <v>4788.995</v>
      </c>
      <c r="H423" s="11" t="n">
        <v>5349.977</v>
      </c>
      <c r="I423" s="11" t="n">
        <v>5094.784</v>
      </c>
      <c r="J423" s="11" t="n">
        <v>3711.949</v>
      </c>
      <c r="K423" s="11" t="n">
        <v>3710.683</v>
      </c>
      <c r="L423" s="11" t="n">
        <v>4119.621</v>
      </c>
      <c r="M423" s="11" t="n">
        <f aca="false">SUM(G423:L423)</f>
        <v>26776.009</v>
      </c>
      <c r="N423" s="11" t="n">
        <v>956.836</v>
      </c>
      <c r="O423" s="11" t="n">
        <v>1048.464</v>
      </c>
      <c r="P423" s="11" t="n">
        <v>1024.417</v>
      </c>
      <c r="Q423" s="11" t="n">
        <v>764.396</v>
      </c>
      <c r="R423" s="11" t="n">
        <v>765.634</v>
      </c>
      <c r="S423" s="11" t="n">
        <v>854.082</v>
      </c>
      <c r="T423" s="11" t="n">
        <f aca="false">SUM(N423:S423)</f>
        <v>5413.829</v>
      </c>
      <c r="U423" s="11" t="n">
        <v>3664.744</v>
      </c>
      <c r="V423" s="11" t="n">
        <v>3137.895</v>
      </c>
      <c r="W423" s="11" t="n">
        <v>4266.219</v>
      </c>
      <c r="X423" s="11" t="n">
        <v>3383.318</v>
      </c>
      <c r="Y423" s="11" t="n">
        <v>4358.62</v>
      </c>
      <c r="Z423" s="11" t="n">
        <v>4498.599</v>
      </c>
      <c r="AA423" s="11" t="n">
        <f aca="false">SUM(U423:Z423)</f>
        <v>23309.395</v>
      </c>
      <c r="AB423" s="11" t="n">
        <v>765.384</v>
      </c>
      <c r="AC423" s="11" t="n">
        <v>670.152</v>
      </c>
      <c r="AD423" s="11" t="n">
        <v>908.241</v>
      </c>
      <c r="AE423" s="11" t="n">
        <v>688.266</v>
      </c>
      <c r="AF423" s="11" t="n">
        <v>881.807</v>
      </c>
      <c r="AG423" s="11" t="n">
        <v>926.978</v>
      </c>
      <c r="AH423" s="11" t="n">
        <f aca="false">SUM(AB423:AG423)</f>
        <v>4840.828</v>
      </c>
      <c r="AI423" s="12" t="s">
        <v>710</v>
      </c>
    </row>
    <row r="424" customFormat="false" ht="15" hidden="false" customHeight="false" outlineLevel="0" collapsed="false">
      <c r="A424" s="8" t="s">
        <v>927</v>
      </c>
      <c r="B424" s="12" t="s">
        <v>928</v>
      </c>
      <c r="C424" s="8" t="s">
        <v>917</v>
      </c>
      <c r="D424" s="12" t="s">
        <v>918</v>
      </c>
      <c r="E424" s="10" t="str">
        <f aca="true">IFERROR(IF(INDEX(INDIRECT("'"&amp;$AI424&amp;"'!$E$2:$E$121"),MATCH($A424,INDIRECT("'"&amp;$AI424&amp;"'!$A$2:$A$121"),0))="","",INDEX(INDIRECT("'"&amp;$AI424&amp;"'!$E$2:$E$121"),MATCH($A424,INDIRECT("'"&amp;$AI424&amp;"'!$A$2:$A$121"),0))),"")</f>
        <v/>
      </c>
      <c r="F424" s="9" t="str">
        <f aca="false">IF($E424="","",IFERROR(INDEX(担当者マスタ!$B$2:$B$101,MATCH($E424,担当者マスタ!$A$2:$A$101,0)),"※マスタ未登録"))</f>
        <v/>
      </c>
      <c r="G424" s="11" t="n">
        <v>12.16</v>
      </c>
      <c r="H424" s="11" t="n">
        <v>6.08</v>
      </c>
      <c r="I424" s="11" t="n">
        <v>6.08</v>
      </c>
      <c r="J424" s="11" t="n">
        <v>6.08</v>
      </c>
      <c r="K424" s="11" t="n">
        <v>6.08</v>
      </c>
      <c r="L424" s="11" t="n">
        <v>6.08</v>
      </c>
      <c r="M424" s="11" t="n">
        <f aca="false">SUM(G424:L424)</f>
        <v>42.56</v>
      </c>
      <c r="N424" s="11" t="n">
        <v>3.06</v>
      </c>
      <c r="O424" s="11" t="n">
        <v>1.53</v>
      </c>
      <c r="P424" s="11" t="n">
        <v>1.53</v>
      </c>
      <c r="Q424" s="11" t="n">
        <v>1.53</v>
      </c>
      <c r="R424" s="11" t="n">
        <v>1.53</v>
      </c>
      <c r="S424" s="11" t="n">
        <v>1.53</v>
      </c>
      <c r="T424" s="11" t="n">
        <f aca="false">SUM(N424:S424)</f>
        <v>10.71</v>
      </c>
      <c r="U424" s="11" t="n">
        <v>0</v>
      </c>
      <c r="V424" s="11" t="n">
        <v>6.08</v>
      </c>
      <c r="W424" s="11" t="n">
        <v>12.16</v>
      </c>
      <c r="X424" s="11" t="n">
        <v>0</v>
      </c>
      <c r="Y424" s="11" t="n">
        <v>6.08</v>
      </c>
      <c r="Z424" s="11" t="n">
        <v>6.08</v>
      </c>
      <c r="AA424" s="11" t="n">
        <f aca="false">SUM(U424:Z424)</f>
        <v>30.4</v>
      </c>
      <c r="AB424" s="11" t="n">
        <v>0</v>
      </c>
      <c r="AC424" s="11" t="n">
        <v>1.53</v>
      </c>
      <c r="AD424" s="11" t="n">
        <v>3.06</v>
      </c>
      <c r="AE424" s="11" t="n">
        <v>0</v>
      </c>
      <c r="AF424" s="11" t="n">
        <v>1.53</v>
      </c>
      <c r="AG424" s="11" t="n">
        <v>1.53</v>
      </c>
      <c r="AH424" s="11" t="n">
        <f aca="false">SUM(AB424:AG424)</f>
        <v>7.65</v>
      </c>
      <c r="AI424" s="12" t="s">
        <v>710</v>
      </c>
    </row>
    <row r="425" customFormat="false" ht="15" hidden="false" customHeight="false" outlineLevel="0" collapsed="false">
      <c r="A425" s="8" t="s">
        <v>929</v>
      </c>
      <c r="B425" s="9" t="s">
        <v>930</v>
      </c>
      <c r="C425" s="8" t="s">
        <v>917</v>
      </c>
      <c r="D425" s="12" t="s">
        <v>918</v>
      </c>
      <c r="E425" s="10" t="str">
        <f aca="true">IFERROR(IF(INDEX(INDIRECT("'"&amp;$AI425&amp;"'!$E$2:$E$121"),MATCH($A425,INDIRECT("'"&amp;$AI425&amp;"'!$A$2:$A$121"),0))="","",INDEX(INDIRECT("'"&amp;$AI425&amp;"'!$E$2:$E$121"),MATCH($A425,INDIRECT("'"&amp;$AI425&amp;"'!$A$2:$A$121"),0))),"")</f>
        <v/>
      </c>
      <c r="F425" s="9" t="str">
        <f aca="false">IF($E425="","",IFERROR(INDEX(担当者マスタ!$B$2:$B$101,MATCH($E425,担当者マスタ!$A$2:$A$101,0)),"※マスタ未登録"))</f>
        <v/>
      </c>
      <c r="G425" s="11" t="n">
        <v>3022.188</v>
      </c>
      <c r="H425" s="11" t="n">
        <v>2917.244</v>
      </c>
      <c r="I425" s="11" t="n">
        <v>3926.65</v>
      </c>
      <c r="J425" s="11" t="n">
        <v>2353.52</v>
      </c>
      <c r="K425" s="11" t="n">
        <v>2994.708</v>
      </c>
      <c r="L425" s="11" t="n">
        <v>3522.884</v>
      </c>
      <c r="M425" s="11" t="n">
        <f aca="false">SUM(G425:L425)</f>
        <v>18737.194</v>
      </c>
      <c r="N425" s="11" t="n">
        <v>662.217</v>
      </c>
      <c r="O425" s="11" t="n">
        <v>688.669</v>
      </c>
      <c r="P425" s="11" t="n">
        <v>1032.417</v>
      </c>
      <c r="Q425" s="11" t="n">
        <v>588.982</v>
      </c>
      <c r="R425" s="11" t="n">
        <v>619.92</v>
      </c>
      <c r="S425" s="11" t="n">
        <v>790.832</v>
      </c>
      <c r="T425" s="11" t="n">
        <f aca="false">SUM(N425:S425)</f>
        <v>4383.037</v>
      </c>
      <c r="U425" s="11" t="n">
        <v>3959.812</v>
      </c>
      <c r="V425" s="11" t="n">
        <v>3223.7</v>
      </c>
      <c r="W425" s="11" t="n">
        <v>3736.326</v>
      </c>
      <c r="X425" s="11" t="n">
        <v>3189.004</v>
      </c>
      <c r="Y425" s="11" t="n">
        <v>3523.389</v>
      </c>
      <c r="Z425" s="11" t="n">
        <v>3311.664</v>
      </c>
      <c r="AA425" s="11" t="n">
        <f aca="false">SUM(U425:Z425)</f>
        <v>20943.895</v>
      </c>
      <c r="AB425" s="11" t="n">
        <v>926.925</v>
      </c>
      <c r="AC425" s="11" t="n">
        <v>767.337</v>
      </c>
      <c r="AD425" s="11" t="n">
        <v>900.828</v>
      </c>
      <c r="AE425" s="11" t="n">
        <v>758.937</v>
      </c>
      <c r="AF425" s="11" t="n">
        <v>747.663</v>
      </c>
      <c r="AG425" s="11" t="n">
        <v>712.796</v>
      </c>
      <c r="AH425" s="11" t="n">
        <f aca="false">SUM(AB425:AG425)</f>
        <v>4814.486</v>
      </c>
      <c r="AI425" s="12" t="s">
        <v>710</v>
      </c>
    </row>
    <row r="426" customFormat="false" ht="15" hidden="false" customHeight="false" outlineLevel="0" collapsed="false">
      <c r="A426" s="8" t="s">
        <v>931</v>
      </c>
      <c r="B426" s="12" t="s">
        <v>932</v>
      </c>
      <c r="C426" s="8" t="s">
        <v>917</v>
      </c>
      <c r="D426" s="12" t="s">
        <v>918</v>
      </c>
      <c r="E426" s="10" t="str">
        <f aca="true">IFERROR(IF(INDEX(INDIRECT("'"&amp;$AI426&amp;"'!$E$2:$E$121"),MATCH($A426,INDIRECT("'"&amp;$AI426&amp;"'!$A$2:$A$121"),0))="","",INDEX(INDIRECT("'"&amp;$AI426&amp;"'!$E$2:$E$121"),MATCH($A426,INDIRECT("'"&amp;$AI426&amp;"'!$A$2:$A$121"),0))),"")</f>
        <v/>
      </c>
      <c r="F426" s="9" t="str">
        <f aca="false">IF($E426="","",IFERROR(INDEX(担当者マスタ!$B$2:$B$101,MATCH($E426,担当者マスタ!$A$2:$A$101,0)),"※マスタ未登録"))</f>
        <v/>
      </c>
      <c r="G426" s="11" t="n">
        <v>3385.525</v>
      </c>
      <c r="H426" s="11" t="n">
        <v>3669.898</v>
      </c>
      <c r="I426" s="11" t="n">
        <v>5278.81</v>
      </c>
      <c r="J426" s="11" t="n">
        <v>2364.467</v>
      </c>
      <c r="K426" s="11" t="n">
        <v>2781.557</v>
      </c>
      <c r="L426" s="11" t="n">
        <v>3008.249</v>
      </c>
      <c r="M426" s="11" t="n">
        <f aca="false">SUM(G426:L426)</f>
        <v>20488.506</v>
      </c>
      <c r="N426" s="11" t="n">
        <v>593.997</v>
      </c>
      <c r="O426" s="11" t="n">
        <v>694.25</v>
      </c>
      <c r="P426" s="11" t="n">
        <v>1178.531</v>
      </c>
      <c r="Q426" s="11" t="n">
        <v>372.959</v>
      </c>
      <c r="R426" s="11" t="n">
        <v>448.09</v>
      </c>
      <c r="S426" s="11" t="n">
        <v>518.842</v>
      </c>
      <c r="T426" s="11" t="n">
        <f aca="false">SUM(N426:S426)</f>
        <v>3806.669</v>
      </c>
      <c r="U426" s="11" t="n">
        <v>3450.148</v>
      </c>
      <c r="V426" s="11" t="n">
        <v>3780.776</v>
      </c>
      <c r="W426" s="11" t="n">
        <v>5053.665</v>
      </c>
      <c r="X426" s="11" t="n">
        <v>2298.284</v>
      </c>
      <c r="Y426" s="11" t="n">
        <v>2982.631</v>
      </c>
      <c r="Z426" s="11" t="n">
        <v>2749.33</v>
      </c>
      <c r="AA426" s="11" t="n">
        <f aca="false">SUM(U426:Z426)</f>
        <v>20314.834</v>
      </c>
      <c r="AB426" s="11" t="n">
        <v>595.084</v>
      </c>
      <c r="AC426" s="11" t="n">
        <v>640.722</v>
      </c>
      <c r="AD426" s="11" t="n">
        <v>1094.157</v>
      </c>
      <c r="AE426" s="11" t="n">
        <v>395.086</v>
      </c>
      <c r="AF426" s="11" t="n">
        <v>489.109</v>
      </c>
      <c r="AG426" s="11" t="n">
        <v>495.472</v>
      </c>
      <c r="AH426" s="11" t="n">
        <f aca="false">SUM(AB426:AG426)</f>
        <v>3709.63</v>
      </c>
      <c r="AI426" s="12" t="s">
        <v>710</v>
      </c>
    </row>
    <row r="427" customFormat="false" ht="15" hidden="false" customHeight="false" outlineLevel="0" collapsed="false">
      <c r="A427" s="8" t="s">
        <v>933</v>
      </c>
      <c r="B427" s="12" t="s">
        <v>934</v>
      </c>
      <c r="C427" s="8" t="s">
        <v>917</v>
      </c>
      <c r="D427" s="12" t="s">
        <v>918</v>
      </c>
      <c r="E427" s="10" t="str">
        <f aca="true">IFERROR(IF(INDEX(INDIRECT("'"&amp;$AI427&amp;"'!$E$2:$E$121"),MATCH($A427,INDIRECT("'"&amp;$AI427&amp;"'!$A$2:$A$121"),0))="","",INDEX(INDIRECT("'"&amp;$AI427&amp;"'!$E$2:$E$121"),MATCH($A427,INDIRECT("'"&amp;$AI427&amp;"'!$A$2:$A$121"),0))),"")</f>
        <v/>
      </c>
      <c r="F427" s="9" t="str">
        <f aca="false">IF($E427="","",IFERROR(INDEX(担当者マスタ!$B$2:$B$101,MATCH($E427,担当者マスタ!$A$2:$A$101,0)),"※マスタ未登録"))</f>
        <v/>
      </c>
      <c r="G427" s="11" t="n">
        <v>0</v>
      </c>
      <c r="H427" s="11" t="n">
        <v>0</v>
      </c>
      <c r="I427" s="11" t="n">
        <v>100.35</v>
      </c>
      <c r="J427" s="11" t="n">
        <v>0</v>
      </c>
      <c r="K427" s="11" t="n">
        <v>0</v>
      </c>
      <c r="L427" s="11" t="n">
        <v>0</v>
      </c>
      <c r="M427" s="11" t="n">
        <f aca="false">SUM(G427:L427)</f>
        <v>100.35</v>
      </c>
      <c r="N427" s="11" t="n">
        <v>0</v>
      </c>
      <c r="O427" s="11" t="n">
        <v>0</v>
      </c>
      <c r="P427" s="11" t="n">
        <v>-1.65</v>
      </c>
      <c r="Q427" s="11" t="n">
        <v>0</v>
      </c>
      <c r="R427" s="11" t="n">
        <v>0</v>
      </c>
      <c r="S427" s="11" t="n">
        <v>0</v>
      </c>
      <c r="T427" s="11" t="n">
        <f aca="false">SUM(N427:S427)</f>
        <v>-1.65</v>
      </c>
      <c r="U427" s="11" t="n">
        <v>0</v>
      </c>
      <c r="V427" s="11" t="n">
        <v>0</v>
      </c>
      <c r="W427" s="11" t="n">
        <v>0</v>
      </c>
      <c r="X427" s="11" t="n">
        <v>0</v>
      </c>
      <c r="Y427" s="11" t="n">
        <v>0</v>
      </c>
      <c r="Z427" s="11" t="n">
        <v>0</v>
      </c>
      <c r="AA427" s="11" t="n">
        <f aca="false">SUM(U427:Z427)</f>
        <v>0</v>
      </c>
      <c r="AB427" s="11" t="n">
        <v>0</v>
      </c>
      <c r="AC427" s="11" t="n">
        <v>0</v>
      </c>
      <c r="AD427" s="11" t="n">
        <v>0</v>
      </c>
      <c r="AE427" s="11" t="n">
        <v>0</v>
      </c>
      <c r="AF427" s="11" t="n">
        <v>0</v>
      </c>
      <c r="AG427" s="11" t="n">
        <v>0</v>
      </c>
      <c r="AH427" s="11" t="n">
        <f aca="false">SUM(AB427:AG427)</f>
        <v>0</v>
      </c>
      <c r="AI427" s="12" t="s">
        <v>710</v>
      </c>
    </row>
    <row r="428" customFormat="false" ht="15" hidden="false" customHeight="false" outlineLevel="0" collapsed="false">
      <c r="A428" s="8" t="s">
        <v>935</v>
      </c>
      <c r="B428" s="12" t="s">
        <v>936</v>
      </c>
      <c r="C428" s="8" t="s">
        <v>917</v>
      </c>
      <c r="D428" s="12" t="s">
        <v>918</v>
      </c>
      <c r="E428" s="10" t="str">
        <f aca="true">IFERROR(IF(INDEX(INDIRECT("'"&amp;$AI428&amp;"'!$E$2:$E$121"),MATCH($A428,INDIRECT("'"&amp;$AI428&amp;"'!$A$2:$A$121"),0))="","",INDEX(INDIRECT("'"&amp;$AI428&amp;"'!$E$2:$E$121"),MATCH($A428,INDIRECT("'"&amp;$AI428&amp;"'!$A$2:$A$121"),0))),"")</f>
        <v/>
      </c>
      <c r="F428" s="9" t="str">
        <f aca="false">IF($E428="","",IFERROR(INDEX(担当者マスタ!$B$2:$B$101,MATCH($E428,担当者マスタ!$A$2:$A$101,0)),"※マスタ未登録"))</f>
        <v/>
      </c>
      <c r="G428" s="11" t="n">
        <v>454.042</v>
      </c>
      <c r="H428" s="11" t="n">
        <v>355.184</v>
      </c>
      <c r="I428" s="11" t="n">
        <v>484.012</v>
      </c>
      <c r="J428" s="11" t="n">
        <v>155.137</v>
      </c>
      <c r="K428" s="11" t="n">
        <v>373.571</v>
      </c>
      <c r="L428" s="11" t="n">
        <v>179.694</v>
      </c>
      <c r="M428" s="11" t="n">
        <f aca="false">SUM(G428:L428)</f>
        <v>2001.64</v>
      </c>
      <c r="N428" s="11" t="n">
        <v>76.176</v>
      </c>
      <c r="O428" s="11" t="n">
        <v>62.57</v>
      </c>
      <c r="P428" s="11" t="n">
        <v>79.648</v>
      </c>
      <c r="Q428" s="11" t="n">
        <v>28.002</v>
      </c>
      <c r="R428" s="11" t="n">
        <v>60.489</v>
      </c>
      <c r="S428" s="11" t="n">
        <v>33.498</v>
      </c>
      <c r="T428" s="11" t="n">
        <f aca="false">SUM(N428:S428)</f>
        <v>340.383</v>
      </c>
      <c r="U428" s="11" t="n">
        <v>171.623</v>
      </c>
      <c r="V428" s="11" t="n">
        <v>306.243</v>
      </c>
      <c r="W428" s="11" t="n">
        <v>341.993</v>
      </c>
      <c r="X428" s="11" t="n">
        <v>174.732</v>
      </c>
      <c r="Y428" s="11" t="n">
        <v>144.055</v>
      </c>
      <c r="Z428" s="11" t="n">
        <v>292.864</v>
      </c>
      <c r="AA428" s="11" t="n">
        <f aca="false">SUM(U428:Z428)</f>
        <v>1431.51</v>
      </c>
      <c r="AB428" s="11" t="n">
        <v>30.962</v>
      </c>
      <c r="AC428" s="11" t="n">
        <v>53.138</v>
      </c>
      <c r="AD428" s="11" t="n">
        <v>58.78</v>
      </c>
      <c r="AE428" s="11" t="n">
        <v>29.64</v>
      </c>
      <c r="AF428" s="11" t="n">
        <v>25.1</v>
      </c>
      <c r="AG428" s="11" t="n">
        <v>50.58</v>
      </c>
      <c r="AH428" s="11" t="n">
        <f aca="false">SUM(AB428:AG428)</f>
        <v>248.2</v>
      </c>
      <c r="AI428" s="12" t="s">
        <v>710</v>
      </c>
    </row>
    <row r="429" customFormat="false" ht="15" hidden="false" customHeight="false" outlineLevel="0" collapsed="false">
      <c r="A429" s="8" t="s">
        <v>937</v>
      </c>
      <c r="B429" s="9" t="s">
        <v>938</v>
      </c>
      <c r="C429" s="8" t="s">
        <v>917</v>
      </c>
      <c r="D429" s="12" t="s">
        <v>918</v>
      </c>
      <c r="E429" s="10" t="str">
        <f aca="true">IFERROR(IF(INDEX(INDIRECT("'"&amp;$AI429&amp;"'!$E$2:$E$121"),MATCH($A429,INDIRECT("'"&amp;$AI429&amp;"'!$A$2:$A$121"),0))="","",INDEX(INDIRECT("'"&amp;$AI429&amp;"'!$E$2:$E$121"),MATCH($A429,INDIRECT("'"&amp;$AI429&amp;"'!$A$2:$A$121"),0))),"")</f>
        <v/>
      </c>
      <c r="F429" s="9" t="str">
        <f aca="false">IF($E429="","",IFERROR(INDEX(担当者マスタ!$B$2:$B$101,MATCH($E429,担当者マスタ!$A$2:$A$101,0)),"※マスタ未登録"))</f>
        <v/>
      </c>
      <c r="G429" s="11" t="n">
        <v>0</v>
      </c>
      <c r="H429" s="11" t="n">
        <v>0</v>
      </c>
      <c r="I429" s="11" t="n">
        <v>96.6</v>
      </c>
      <c r="J429" s="11" t="n">
        <v>0</v>
      </c>
      <c r="K429" s="11" t="n">
        <v>0</v>
      </c>
      <c r="L429" s="11" t="n">
        <v>0</v>
      </c>
      <c r="M429" s="11" t="n">
        <f aca="false">SUM(G429:L429)</f>
        <v>96.6</v>
      </c>
      <c r="N429" s="11" t="n">
        <v>0</v>
      </c>
      <c r="O429" s="11" t="n">
        <v>0</v>
      </c>
      <c r="P429" s="11" t="n">
        <v>24.5</v>
      </c>
      <c r="Q429" s="11" t="n">
        <v>0</v>
      </c>
      <c r="R429" s="11" t="n">
        <v>0</v>
      </c>
      <c r="S429" s="11" t="n">
        <v>0</v>
      </c>
      <c r="T429" s="11" t="n">
        <f aca="false">SUM(N429:S429)</f>
        <v>24.5</v>
      </c>
      <c r="U429" s="11" t="n">
        <v>0</v>
      </c>
      <c r="V429" s="11" t="n">
        <v>0</v>
      </c>
      <c r="W429" s="11" t="n">
        <v>0</v>
      </c>
      <c r="X429" s="11" t="n">
        <v>0</v>
      </c>
      <c r="Y429" s="11" t="n">
        <v>0</v>
      </c>
      <c r="Z429" s="11" t="n">
        <v>0</v>
      </c>
      <c r="AA429" s="11" t="n">
        <f aca="false">SUM(U429:Z429)</f>
        <v>0</v>
      </c>
      <c r="AB429" s="11" t="n">
        <v>0</v>
      </c>
      <c r="AC429" s="11" t="n">
        <v>0</v>
      </c>
      <c r="AD429" s="11" t="n">
        <v>0</v>
      </c>
      <c r="AE429" s="11" t="n">
        <v>0</v>
      </c>
      <c r="AF429" s="11" t="n">
        <v>0</v>
      </c>
      <c r="AG429" s="11" t="n">
        <v>0</v>
      </c>
      <c r="AH429" s="11" t="n">
        <f aca="false">SUM(AB429:AG429)</f>
        <v>0</v>
      </c>
      <c r="AI429" s="12" t="s">
        <v>710</v>
      </c>
    </row>
    <row r="430" customFormat="false" ht="15" hidden="false" customHeight="false" outlineLevel="0" collapsed="false">
      <c r="A430" s="8" t="s">
        <v>939</v>
      </c>
      <c r="B430" s="12" t="s">
        <v>940</v>
      </c>
      <c r="C430" s="8" t="s">
        <v>941</v>
      </c>
      <c r="D430" s="12" t="s">
        <v>701</v>
      </c>
      <c r="E430" s="10" t="str">
        <f aca="true">IFERROR(IF(INDEX(INDIRECT("'"&amp;$AI430&amp;"'!$E$2:$E$121"),MATCH($A430,INDIRECT("'"&amp;$AI430&amp;"'!$A$2:$A$121"),0))="","",INDEX(INDIRECT("'"&amp;$AI430&amp;"'!$E$2:$E$121"),MATCH($A430,INDIRECT("'"&amp;$AI430&amp;"'!$A$2:$A$121"),0))),"")</f>
        <v/>
      </c>
      <c r="F430" s="9" t="str">
        <f aca="false">IF($E430="","",IFERROR(INDEX(担当者マスタ!$B$2:$B$101,MATCH($E430,担当者マスタ!$A$2:$A$101,0)),"※マスタ未登録"))</f>
        <v/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f aca="false">SUM(G430:L430)</f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f aca="false">SUM(N430:S430)</f>
        <v>0</v>
      </c>
      <c r="U430" s="11" t="n">
        <v>0</v>
      </c>
      <c r="V430" s="11" t="n">
        <v>0</v>
      </c>
      <c r="W430" s="11" t="n">
        <v>131.115</v>
      </c>
      <c r="X430" s="11" t="n">
        <v>0</v>
      </c>
      <c r="Y430" s="11" t="n">
        <v>90.9</v>
      </c>
      <c r="Z430" s="11" t="n">
        <v>0</v>
      </c>
      <c r="AA430" s="11" t="n">
        <f aca="false">SUM(U430:Z430)</f>
        <v>222.015</v>
      </c>
      <c r="AB430" s="11" t="n">
        <v>0</v>
      </c>
      <c r="AC430" s="11" t="n">
        <v>0</v>
      </c>
      <c r="AD430" s="11" t="n">
        <v>3.89</v>
      </c>
      <c r="AE430" s="11" t="n">
        <v>0</v>
      </c>
      <c r="AF430" s="11" t="n">
        <v>4.27</v>
      </c>
      <c r="AG430" s="11" t="n">
        <v>0</v>
      </c>
      <c r="AH430" s="11" t="n">
        <f aca="false">SUM(AB430:AG430)</f>
        <v>8.16</v>
      </c>
      <c r="AI430" s="12" t="s">
        <v>710</v>
      </c>
    </row>
    <row r="431" customFormat="false" ht="15" hidden="false" customHeight="false" outlineLevel="0" collapsed="false">
      <c r="A431" s="8" t="s">
        <v>942</v>
      </c>
      <c r="B431" s="12" t="s">
        <v>943</v>
      </c>
      <c r="C431" s="8" t="s">
        <v>944</v>
      </c>
      <c r="D431" s="12" t="s">
        <v>655</v>
      </c>
      <c r="E431" s="10" t="str">
        <f aca="true">IFERROR(IF(INDEX(INDIRECT("'"&amp;$AI431&amp;"'!$E$2:$E$121"),MATCH($A431,INDIRECT("'"&amp;$AI431&amp;"'!$A$2:$A$121"),0))="","",INDEX(INDIRECT("'"&amp;$AI431&amp;"'!$E$2:$E$121"),MATCH($A431,INDIRECT("'"&amp;$AI431&amp;"'!$A$2:$A$121"),0))),"")</f>
        <v/>
      </c>
      <c r="F431" s="9" t="str">
        <f aca="false">IF($E431="","",IFERROR(INDEX(担当者マスタ!$B$2:$B$101,MATCH($E431,担当者マスタ!$A$2:$A$101,0)),"※マスタ未登録"))</f>
        <v/>
      </c>
      <c r="G431" s="11" t="n">
        <v>0</v>
      </c>
      <c r="H431" s="11" t="n">
        <v>0</v>
      </c>
      <c r="I431" s="11" t="n">
        <v>4.8</v>
      </c>
      <c r="J431" s="11" t="n">
        <v>0</v>
      </c>
      <c r="K431" s="11" t="n">
        <v>0</v>
      </c>
      <c r="L431" s="11" t="n">
        <v>0</v>
      </c>
      <c r="M431" s="11" t="n">
        <f aca="false">SUM(G431:L431)</f>
        <v>4.8</v>
      </c>
      <c r="N431" s="11" t="n">
        <v>0</v>
      </c>
      <c r="O431" s="11" t="n">
        <v>0</v>
      </c>
      <c r="P431" s="11" t="n">
        <v>1.68</v>
      </c>
      <c r="Q431" s="11" t="n">
        <v>0</v>
      </c>
      <c r="R431" s="11" t="n">
        <v>0</v>
      </c>
      <c r="S431" s="11" t="n">
        <v>0</v>
      </c>
      <c r="T431" s="11" t="n">
        <f aca="false">SUM(N431:S431)</f>
        <v>1.68</v>
      </c>
      <c r="U431" s="11" t="n">
        <v>0</v>
      </c>
      <c r="V431" s="11" t="n">
        <v>0</v>
      </c>
      <c r="W431" s="11" t="n">
        <v>13.5</v>
      </c>
      <c r="X431" s="11" t="n">
        <v>0</v>
      </c>
      <c r="Y431" s="11" t="n">
        <v>0</v>
      </c>
      <c r="Z431" s="11" t="n">
        <v>5.1</v>
      </c>
      <c r="AA431" s="11" t="n">
        <f aca="false">SUM(U431:Z431)</f>
        <v>18.6</v>
      </c>
      <c r="AB431" s="11" t="n">
        <v>0</v>
      </c>
      <c r="AC431" s="11" t="n">
        <v>0</v>
      </c>
      <c r="AD431" s="11" t="n">
        <v>4.5</v>
      </c>
      <c r="AE431" s="11" t="n">
        <v>0</v>
      </c>
      <c r="AF431" s="11" t="n">
        <v>0</v>
      </c>
      <c r="AG431" s="11" t="n">
        <v>0.9</v>
      </c>
      <c r="AH431" s="11" t="n">
        <f aca="false">SUM(AB431:AG431)</f>
        <v>5.4</v>
      </c>
      <c r="AI431" s="12" t="s">
        <v>710</v>
      </c>
    </row>
    <row r="432" customFormat="false" ht="15" hidden="false" customHeight="false" outlineLevel="0" collapsed="false">
      <c r="A432" s="8" t="s">
        <v>945</v>
      </c>
      <c r="B432" s="9" t="s">
        <v>946</v>
      </c>
      <c r="C432" s="8" t="s">
        <v>947</v>
      </c>
      <c r="D432" s="9" t="s">
        <v>948</v>
      </c>
      <c r="E432" s="10" t="str">
        <f aca="true">IFERROR(IF(INDEX(INDIRECT("'"&amp;$AI432&amp;"'!$E$2:$E$118"),MATCH($A432,INDIRECT("'"&amp;$AI432&amp;"'!$A$2:$A$118"),0))="","",INDEX(INDIRECT("'"&amp;$AI432&amp;"'!$E$2:$E$118"),MATCH($A432,INDIRECT("'"&amp;$AI432&amp;"'!$A$2:$A$118"),0))),"")</f>
        <v/>
      </c>
      <c r="F432" s="9" t="str">
        <f aca="false">IF($E432="","",IFERROR(INDEX(担当者マスタ!$B$2:$B$101,MATCH($E432,担当者マスタ!$A$2:$A$101,0)),"※マスタ未登録"))</f>
        <v/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f aca="false">SUM(G432:L432)</f>
        <v>0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1" t="n">
        <f aca="false">SUM(N432:S432)</f>
        <v>0</v>
      </c>
      <c r="U432" s="11" t="n">
        <v>86</v>
      </c>
      <c r="V432" s="11" t="n">
        <v>0</v>
      </c>
      <c r="W432" s="11" t="n">
        <v>0</v>
      </c>
      <c r="X432" s="11" t="n">
        <v>0</v>
      </c>
      <c r="Y432" s="11" t="n">
        <v>0</v>
      </c>
      <c r="Z432" s="11" t="n">
        <v>0</v>
      </c>
      <c r="AA432" s="11" t="n">
        <f aca="false">SUM(U432:Z432)</f>
        <v>86</v>
      </c>
      <c r="AB432" s="11" t="n">
        <v>18.8</v>
      </c>
      <c r="AC432" s="11" t="n">
        <v>0</v>
      </c>
      <c r="AD432" s="11" t="n">
        <v>0</v>
      </c>
      <c r="AE432" s="11" t="n">
        <v>0</v>
      </c>
      <c r="AF432" s="11" t="n">
        <v>0</v>
      </c>
      <c r="AG432" s="11" t="n">
        <v>0</v>
      </c>
      <c r="AH432" s="11" t="n">
        <f aca="false">SUM(AB432:AG432)</f>
        <v>18.8</v>
      </c>
      <c r="AI432" s="12" t="s">
        <v>60</v>
      </c>
    </row>
    <row r="433" customFormat="false" ht="15" hidden="false" customHeight="false" outlineLevel="0" collapsed="false">
      <c r="A433" s="8" t="s">
        <v>949</v>
      </c>
      <c r="B433" s="9" t="s">
        <v>950</v>
      </c>
      <c r="C433" s="8" t="s">
        <v>947</v>
      </c>
      <c r="D433" s="9" t="s">
        <v>948</v>
      </c>
      <c r="E433" s="10" t="str">
        <f aca="true">IFERROR(IF(INDEX(INDIRECT("'"&amp;$AI433&amp;"'!$E$2:$E$118"),MATCH($A433,INDIRECT("'"&amp;$AI433&amp;"'!$A$2:$A$118"),0))="","",INDEX(INDIRECT("'"&amp;$AI433&amp;"'!$E$2:$E$118"),MATCH($A433,INDIRECT("'"&amp;$AI433&amp;"'!$A$2:$A$118"),0))),"")</f>
        <v/>
      </c>
      <c r="F433" s="9" t="str">
        <f aca="false">IF($E433="","",IFERROR(INDEX(担当者マスタ!$B$2:$B$101,MATCH($E433,担当者マスタ!$A$2:$A$101,0)),"※マスタ未登録"))</f>
        <v/>
      </c>
      <c r="G433" s="11" t="n">
        <v>14712.216</v>
      </c>
      <c r="H433" s="11" t="n">
        <v>11725.807</v>
      </c>
      <c r="I433" s="11" t="n">
        <v>7290.434</v>
      </c>
      <c r="J433" s="11" t="n">
        <v>10119.517</v>
      </c>
      <c r="K433" s="11" t="n">
        <v>7444.632</v>
      </c>
      <c r="L433" s="11" t="n">
        <v>13124.855</v>
      </c>
      <c r="M433" s="11" t="n">
        <f aca="false">SUM(G433:L433)</f>
        <v>64417.461</v>
      </c>
      <c r="N433" s="11" t="n">
        <v>2351.322</v>
      </c>
      <c r="O433" s="11" t="n">
        <v>2302.986</v>
      </c>
      <c r="P433" s="11" t="n">
        <v>1294.6</v>
      </c>
      <c r="Q433" s="11" t="n">
        <v>1794.514</v>
      </c>
      <c r="R433" s="11" t="n">
        <v>1168.471</v>
      </c>
      <c r="S433" s="11" t="n">
        <v>1962.078</v>
      </c>
      <c r="T433" s="11" t="n">
        <f aca="false">SUM(N433:S433)</f>
        <v>10873.971</v>
      </c>
      <c r="U433" s="11" t="n">
        <v>19329.169</v>
      </c>
      <c r="V433" s="11" t="n">
        <v>14724.818</v>
      </c>
      <c r="W433" s="11" t="n">
        <v>11926.7</v>
      </c>
      <c r="X433" s="11" t="n">
        <v>3662.924</v>
      </c>
      <c r="Y433" s="11" t="n">
        <v>8960.96</v>
      </c>
      <c r="Z433" s="11" t="n">
        <v>18624.798</v>
      </c>
      <c r="AA433" s="11" t="n">
        <f aca="false">SUM(U433:Z433)</f>
        <v>77229.369</v>
      </c>
      <c r="AB433" s="11" t="n">
        <v>4171.382</v>
      </c>
      <c r="AC433" s="11" t="n">
        <v>3372.675</v>
      </c>
      <c r="AD433" s="11" t="n">
        <v>2702.494</v>
      </c>
      <c r="AE433" s="11" t="n">
        <v>789.899</v>
      </c>
      <c r="AF433" s="11" t="n">
        <v>1917.207</v>
      </c>
      <c r="AG433" s="11" t="n">
        <v>3597.906</v>
      </c>
      <c r="AH433" s="11" t="n">
        <f aca="false">SUM(AB433:AG433)</f>
        <v>16551.563</v>
      </c>
      <c r="AI433" s="12" t="s">
        <v>60</v>
      </c>
    </row>
    <row r="434" customFormat="false" ht="15" hidden="false" customHeight="false" outlineLevel="0" collapsed="false">
      <c r="A434" s="8" t="s">
        <v>951</v>
      </c>
      <c r="B434" s="12" t="s">
        <v>952</v>
      </c>
      <c r="C434" s="8" t="s">
        <v>953</v>
      </c>
      <c r="D434" s="12" t="s">
        <v>954</v>
      </c>
      <c r="E434" s="10" t="str">
        <f aca="true">IFERROR(IF(INDEX(INDIRECT("'"&amp;$AI434&amp;"'!$E$2:$E$327"),MATCH($A434,INDIRECT("'"&amp;$AI434&amp;"'!$A$2:$A$327"),0))="","",INDEX(INDIRECT("'"&amp;$AI434&amp;"'!$E$2:$E$327"),MATCH($A434,INDIRECT("'"&amp;$AI434&amp;"'!$A$2:$A$327"),0))),"")</f>
        <v/>
      </c>
      <c r="F434" s="9" t="str">
        <f aca="false">IF($E434="","",IFERROR(INDEX(担当者マスタ!$B$2:$B$101,MATCH($E434,担当者マスタ!$A$2:$A$101,0)),"※マスタ未登録"))</f>
        <v/>
      </c>
      <c r="G434" s="11" t="n">
        <v>7.225</v>
      </c>
      <c r="H434" s="11" t="n">
        <v>23.4</v>
      </c>
      <c r="I434" s="11" t="n">
        <v>23.4</v>
      </c>
      <c r="J434" s="11" t="n">
        <v>0</v>
      </c>
      <c r="K434" s="11" t="n">
        <v>18.925</v>
      </c>
      <c r="L434" s="11" t="n">
        <v>23.4</v>
      </c>
      <c r="M434" s="11" t="n">
        <f aca="false">SUM(G434:L434)</f>
        <v>96.35</v>
      </c>
      <c r="N434" s="11" t="n">
        <v>1.015</v>
      </c>
      <c r="O434" s="11" t="n">
        <v>3.24</v>
      </c>
      <c r="P434" s="11" t="n">
        <v>1.44</v>
      </c>
      <c r="Q434" s="11" t="n">
        <v>0</v>
      </c>
      <c r="R434" s="11" t="n">
        <v>1.735</v>
      </c>
      <c r="S434" s="11" t="n">
        <v>1.44</v>
      </c>
      <c r="T434" s="11" t="n">
        <f aca="false">SUM(N434:S434)</f>
        <v>8.87</v>
      </c>
      <c r="U434" s="11" t="n">
        <v>11.7</v>
      </c>
      <c r="V434" s="11" t="n">
        <v>22.11</v>
      </c>
      <c r="W434" s="11" t="n">
        <v>42.325</v>
      </c>
      <c r="X434" s="11" t="n">
        <v>0</v>
      </c>
      <c r="Y434" s="11" t="n">
        <v>18.925</v>
      </c>
      <c r="Z434" s="11" t="n">
        <v>35.1</v>
      </c>
      <c r="AA434" s="11" t="n">
        <f aca="false">SUM(U434:Z434)</f>
        <v>130.16</v>
      </c>
      <c r="AB434" s="11" t="n">
        <v>0.72</v>
      </c>
      <c r="AC434" s="11" t="n">
        <v>2.49</v>
      </c>
      <c r="AD434" s="11" t="n">
        <v>3.175</v>
      </c>
      <c r="AE434" s="11" t="n">
        <v>0</v>
      </c>
      <c r="AF434" s="11" t="n">
        <v>1.735</v>
      </c>
      <c r="AG434" s="11" t="n">
        <v>2.16</v>
      </c>
      <c r="AH434" s="11" t="n">
        <f aca="false">SUM(AB434:AG434)</f>
        <v>10.28</v>
      </c>
      <c r="AI434" s="12" t="s">
        <v>955</v>
      </c>
    </row>
    <row r="435" customFormat="false" ht="15" hidden="false" customHeight="false" outlineLevel="0" collapsed="false">
      <c r="A435" s="8" t="s">
        <v>956</v>
      </c>
      <c r="B435" s="9" t="s">
        <v>957</v>
      </c>
      <c r="C435" s="8" t="s">
        <v>953</v>
      </c>
      <c r="D435" s="12" t="s">
        <v>954</v>
      </c>
      <c r="E435" s="10" t="str">
        <f aca="true">IFERROR(IF(INDEX(INDIRECT("'"&amp;$AI435&amp;"'!$E$2:$E$327"),MATCH($A435,INDIRECT("'"&amp;$AI435&amp;"'!$A$2:$A$327"),0))="","",INDEX(INDIRECT("'"&amp;$AI435&amp;"'!$E$2:$E$327"),MATCH($A435,INDIRECT("'"&amp;$AI435&amp;"'!$A$2:$A$327"),0))),"")</f>
        <v/>
      </c>
      <c r="F435" s="9" t="str">
        <f aca="false">IF($E435="","",IFERROR(INDEX(担当者マスタ!$B$2:$B$101,MATCH($E435,担当者マスタ!$A$2:$A$101,0)),"※マスタ未登録"))</f>
        <v/>
      </c>
      <c r="G435" s="11" t="n">
        <v>20.64</v>
      </c>
      <c r="H435" s="11" t="n">
        <v>39.6</v>
      </c>
      <c r="I435" s="11" t="n">
        <v>78</v>
      </c>
      <c r="J435" s="11" t="n">
        <v>16.6</v>
      </c>
      <c r="K435" s="11" t="n">
        <v>57.55</v>
      </c>
      <c r="L435" s="11" t="n">
        <v>73</v>
      </c>
      <c r="M435" s="11" t="n">
        <f aca="false">SUM(G435:L435)</f>
        <v>285.39</v>
      </c>
      <c r="N435" s="11" t="n">
        <v>4.28</v>
      </c>
      <c r="O435" s="11" t="n">
        <v>9.585</v>
      </c>
      <c r="P435" s="11" t="n">
        <v>16.53</v>
      </c>
      <c r="Q435" s="11" t="n">
        <v>3.786</v>
      </c>
      <c r="R435" s="11" t="n">
        <v>12.6</v>
      </c>
      <c r="S435" s="11" t="n">
        <v>15.824</v>
      </c>
      <c r="T435" s="11" t="n">
        <f aca="false">SUM(N435:S435)</f>
        <v>62.605</v>
      </c>
      <c r="U435" s="11" t="n">
        <v>18.45</v>
      </c>
      <c r="V435" s="11" t="n">
        <v>0</v>
      </c>
      <c r="W435" s="11" t="n">
        <v>0</v>
      </c>
      <c r="X435" s="11" t="n">
        <v>0</v>
      </c>
      <c r="Y435" s="11" t="n">
        <v>0</v>
      </c>
      <c r="Z435" s="11" t="n">
        <v>0</v>
      </c>
      <c r="AA435" s="11" t="n">
        <f aca="false">SUM(U435:Z435)</f>
        <v>18.45</v>
      </c>
      <c r="AB435" s="11" t="n">
        <v>4.238</v>
      </c>
      <c r="AC435" s="11" t="n">
        <v>0</v>
      </c>
      <c r="AD435" s="11" t="n">
        <v>0</v>
      </c>
      <c r="AE435" s="11" t="n">
        <v>0</v>
      </c>
      <c r="AF435" s="11" t="n">
        <v>0</v>
      </c>
      <c r="AG435" s="11" t="n">
        <v>0</v>
      </c>
      <c r="AH435" s="11" t="n">
        <f aca="false">SUM(AB435:AG435)</f>
        <v>4.238</v>
      </c>
      <c r="AI435" s="12" t="s">
        <v>955</v>
      </c>
    </row>
    <row r="436" customFormat="false" ht="15" hidden="false" customHeight="false" outlineLevel="0" collapsed="false">
      <c r="A436" s="8" t="s">
        <v>958</v>
      </c>
      <c r="B436" s="12" t="s">
        <v>959</v>
      </c>
      <c r="C436" s="8" t="s">
        <v>953</v>
      </c>
      <c r="D436" s="12" t="s">
        <v>954</v>
      </c>
      <c r="E436" s="10" t="str">
        <f aca="true">IFERROR(IF(INDEX(INDIRECT("'"&amp;$AI436&amp;"'!$E$2:$E$327"),MATCH($A436,INDIRECT("'"&amp;$AI436&amp;"'!$A$2:$A$327"),0))="","",INDEX(INDIRECT("'"&amp;$AI436&amp;"'!$E$2:$E$327"),MATCH($A436,INDIRECT("'"&amp;$AI436&amp;"'!$A$2:$A$327"),0))),"")</f>
        <v/>
      </c>
      <c r="F436" s="9" t="str">
        <f aca="false">IF($E436="","",IFERROR(INDEX(担当者マスタ!$B$2:$B$101,MATCH($E436,担当者マスタ!$A$2:$A$101,0)),"※マスタ未登録"))</f>
        <v/>
      </c>
      <c r="G436" s="11" t="n">
        <v>0</v>
      </c>
      <c r="H436" s="11" t="n">
        <v>0</v>
      </c>
      <c r="I436" s="11" t="n">
        <v>4.8</v>
      </c>
      <c r="J436" s="11" t="n">
        <v>0</v>
      </c>
      <c r="K436" s="11" t="n">
        <v>3.63</v>
      </c>
      <c r="L436" s="11" t="n">
        <v>3.63</v>
      </c>
      <c r="M436" s="11" t="n">
        <f aca="false">SUM(G436:L436)</f>
        <v>12.06</v>
      </c>
      <c r="N436" s="11" t="n">
        <v>0</v>
      </c>
      <c r="O436" s="11" t="n">
        <v>0</v>
      </c>
      <c r="P436" s="11" t="n">
        <v>0.45</v>
      </c>
      <c r="Q436" s="11" t="n">
        <v>0</v>
      </c>
      <c r="R436" s="11" t="n">
        <v>0.73</v>
      </c>
      <c r="S436" s="11" t="n">
        <v>0.73</v>
      </c>
      <c r="T436" s="11" t="n">
        <f aca="false">SUM(N436:S436)</f>
        <v>1.91</v>
      </c>
      <c r="U436" s="11" t="n">
        <v>0</v>
      </c>
      <c r="V436" s="11" t="n">
        <v>0</v>
      </c>
      <c r="W436" s="11" t="n">
        <v>0</v>
      </c>
      <c r="X436" s="11" t="n">
        <v>0</v>
      </c>
      <c r="Y436" s="11" t="n">
        <v>0</v>
      </c>
      <c r="Z436" s="11" t="n">
        <v>3.3</v>
      </c>
      <c r="AA436" s="11" t="n">
        <f aca="false">SUM(U436:Z436)</f>
        <v>3.3</v>
      </c>
      <c r="AB436" s="11" t="n">
        <v>0</v>
      </c>
      <c r="AC436" s="11" t="n">
        <v>0</v>
      </c>
      <c r="AD436" s="11" t="n">
        <v>0</v>
      </c>
      <c r="AE436" s="11" t="n">
        <v>0</v>
      </c>
      <c r="AF436" s="11" t="n">
        <v>0</v>
      </c>
      <c r="AG436" s="11" t="n">
        <v>0.66</v>
      </c>
      <c r="AH436" s="11" t="n">
        <f aca="false">SUM(AB436:AG436)</f>
        <v>0.66</v>
      </c>
      <c r="AI436" s="12" t="s">
        <v>955</v>
      </c>
    </row>
    <row r="437" customFormat="false" ht="15" hidden="false" customHeight="false" outlineLevel="0" collapsed="false">
      <c r="A437" s="8" t="s">
        <v>960</v>
      </c>
      <c r="B437" s="12" t="s">
        <v>961</v>
      </c>
      <c r="C437" s="8" t="s">
        <v>953</v>
      </c>
      <c r="D437" s="12" t="s">
        <v>954</v>
      </c>
      <c r="E437" s="10" t="str">
        <f aca="true">IFERROR(IF(INDEX(INDIRECT("'"&amp;$AI437&amp;"'!$E$2:$E$327"),MATCH($A437,INDIRECT("'"&amp;$AI437&amp;"'!$A$2:$A$327"),0))="","",INDEX(INDIRECT("'"&amp;$AI437&amp;"'!$E$2:$E$327"),MATCH($A437,INDIRECT("'"&amp;$AI437&amp;"'!$A$2:$A$327"),0))),"")</f>
        <v/>
      </c>
      <c r="F437" s="9" t="str">
        <f aca="false">IF($E437="","",IFERROR(INDEX(担当者マスタ!$B$2:$B$101,MATCH($E437,担当者マスタ!$A$2:$A$101,0)),"※マスタ未登録"))</f>
        <v/>
      </c>
      <c r="G437" s="11" t="n">
        <v>9.6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f aca="false">SUM(G437:L437)</f>
        <v>9.6</v>
      </c>
      <c r="N437" s="11" t="n">
        <v>0.9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1" t="n">
        <f aca="false">SUM(N437:S437)</f>
        <v>0.9</v>
      </c>
      <c r="U437" s="11" t="n">
        <v>0</v>
      </c>
      <c r="V437" s="11" t="n">
        <v>0</v>
      </c>
      <c r="W437" s="11" t="n">
        <v>0</v>
      </c>
      <c r="X437" s="11" t="n">
        <v>0</v>
      </c>
      <c r="Y437" s="11" t="n">
        <v>0</v>
      </c>
      <c r="Z437" s="11" t="n">
        <v>0</v>
      </c>
      <c r="AA437" s="11" t="n">
        <f aca="false">SUM(U437:Z437)</f>
        <v>0</v>
      </c>
      <c r="AB437" s="11" t="n">
        <v>0</v>
      </c>
      <c r="AC437" s="11" t="n">
        <v>0</v>
      </c>
      <c r="AD437" s="11" t="n">
        <v>0</v>
      </c>
      <c r="AE437" s="11" t="n">
        <v>0</v>
      </c>
      <c r="AF437" s="11" t="n">
        <v>0</v>
      </c>
      <c r="AG437" s="11" t="n">
        <v>0</v>
      </c>
      <c r="AH437" s="11" t="n">
        <f aca="false">SUM(AB437:AG437)</f>
        <v>0</v>
      </c>
      <c r="AI437" s="12" t="s">
        <v>955</v>
      </c>
    </row>
    <row r="438" customFormat="false" ht="15" hidden="false" customHeight="false" outlineLevel="0" collapsed="false">
      <c r="A438" s="8" t="s">
        <v>962</v>
      </c>
      <c r="B438" s="9" t="s">
        <v>963</v>
      </c>
      <c r="C438" s="8" t="s">
        <v>953</v>
      </c>
      <c r="D438" s="12" t="s">
        <v>954</v>
      </c>
      <c r="E438" s="10" t="str">
        <f aca="true">IFERROR(IF(INDEX(INDIRECT("'"&amp;$AI438&amp;"'!$E$2:$E$327"),MATCH($A438,INDIRECT("'"&amp;$AI438&amp;"'!$A$2:$A$327"),0))="","",INDEX(INDIRECT("'"&amp;$AI438&amp;"'!$E$2:$E$327"),MATCH($A438,INDIRECT("'"&amp;$AI438&amp;"'!$A$2:$A$327"),0))),"")</f>
        <v/>
      </c>
      <c r="F438" s="9" t="str">
        <f aca="false">IF($E438="","",IFERROR(INDEX(担当者マスタ!$B$2:$B$101,MATCH($E438,担当者マスタ!$A$2:$A$101,0)),"※マスタ未登録"))</f>
        <v/>
      </c>
      <c r="G438" s="11" t="n">
        <v>1371.91</v>
      </c>
      <c r="H438" s="11" t="n">
        <v>1256.094</v>
      </c>
      <c r="I438" s="11" t="n">
        <v>1626.56</v>
      </c>
      <c r="J438" s="11" t="n">
        <v>1406.29</v>
      </c>
      <c r="K438" s="11" t="n">
        <v>576.98</v>
      </c>
      <c r="L438" s="11" t="n">
        <v>1431.969</v>
      </c>
      <c r="M438" s="11" t="n">
        <f aca="false">SUM(G438:L438)</f>
        <v>7669.803</v>
      </c>
      <c r="N438" s="11" t="n">
        <v>421.462</v>
      </c>
      <c r="O438" s="11" t="n">
        <v>442.378</v>
      </c>
      <c r="P438" s="11" t="n">
        <v>566.97</v>
      </c>
      <c r="Q438" s="11" t="n">
        <v>462.864</v>
      </c>
      <c r="R438" s="11" t="n">
        <v>181.711</v>
      </c>
      <c r="S438" s="11" t="n">
        <v>465.614</v>
      </c>
      <c r="T438" s="11" t="n">
        <f aca="false">SUM(N438:S438)</f>
        <v>2540.999</v>
      </c>
      <c r="U438" s="11" t="n">
        <v>1341.002</v>
      </c>
      <c r="V438" s="11" t="n">
        <v>589.964</v>
      </c>
      <c r="W438" s="11" t="n">
        <v>1582.672</v>
      </c>
      <c r="X438" s="11" t="n">
        <v>1421.844</v>
      </c>
      <c r="Y438" s="11" t="n">
        <v>652.276</v>
      </c>
      <c r="Z438" s="11" t="n">
        <v>582.644</v>
      </c>
      <c r="AA438" s="11" t="n">
        <f aca="false">SUM(U438:Z438)</f>
        <v>6170.402</v>
      </c>
      <c r="AB438" s="11" t="n">
        <v>416.824</v>
      </c>
      <c r="AC438" s="11" t="n">
        <v>193.7</v>
      </c>
      <c r="AD438" s="11" t="n">
        <v>492.898</v>
      </c>
      <c r="AE438" s="11" t="n">
        <v>375.356</v>
      </c>
      <c r="AF438" s="11" t="n">
        <v>207.898</v>
      </c>
      <c r="AG438" s="11" t="n">
        <v>193.028</v>
      </c>
      <c r="AH438" s="11" t="n">
        <f aca="false">SUM(AB438:AG438)</f>
        <v>1879.704</v>
      </c>
      <c r="AI438" s="12" t="s">
        <v>955</v>
      </c>
    </row>
    <row r="439" customFormat="false" ht="15" hidden="false" customHeight="false" outlineLevel="0" collapsed="false">
      <c r="A439" s="8" t="s">
        <v>964</v>
      </c>
      <c r="B439" s="12" t="s">
        <v>965</v>
      </c>
      <c r="C439" s="8" t="s">
        <v>953</v>
      </c>
      <c r="D439" s="12" t="s">
        <v>954</v>
      </c>
      <c r="E439" s="10" t="str">
        <f aca="true">IFERROR(IF(INDEX(INDIRECT("'"&amp;$AI439&amp;"'!$E$2:$E$327"),MATCH($A439,INDIRECT("'"&amp;$AI439&amp;"'!$A$2:$A$327"),0))="","",INDEX(INDIRECT("'"&amp;$AI439&amp;"'!$E$2:$E$327"),MATCH($A439,INDIRECT("'"&amp;$AI439&amp;"'!$A$2:$A$327"),0))),"")</f>
        <v/>
      </c>
      <c r="F439" s="9" t="str">
        <f aca="false">IF($E439="","",IFERROR(INDEX(担当者マスタ!$B$2:$B$101,MATCH($E439,担当者マスタ!$A$2:$A$101,0)),"※マスタ未登録"))</f>
        <v/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f aca="false">SUM(G439:L439)</f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f aca="false">SUM(N439:S439)</f>
        <v>0</v>
      </c>
      <c r="U439" s="11" t="n">
        <v>7.08</v>
      </c>
      <c r="V439" s="11" t="n">
        <v>0</v>
      </c>
      <c r="W439" s="11" t="n">
        <v>0</v>
      </c>
      <c r="X439" s="11" t="n">
        <v>0</v>
      </c>
      <c r="Y439" s="11" t="n">
        <v>0</v>
      </c>
      <c r="Z439" s="11" t="n">
        <v>0</v>
      </c>
      <c r="AA439" s="11" t="n">
        <f aca="false">SUM(U439:Z439)</f>
        <v>7.08</v>
      </c>
      <c r="AB439" s="11" t="n">
        <v>3.312</v>
      </c>
      <c r="AC439" s="11" t="n">
        <v>0</v>
      </c>
      <c r="AD439" s="11" t="n">
        <v>0</v>
      </c>
      <c r="AE439" s="11" t="n">
        <v>0</v>
      </c>
      <c r="AF439" s="11" t="n">
        <v>0</v>
      </c>
      <c r="AG439" s="11" t="n">
        <v>0</v>
      </c>
      <c r="AH439" s="11" t="n">
        <f aca="false">SUM(AB439:AG439)</f>
        <v>3.312</v>
      </c>
      <c r="AI439" s="12" t="s">
        <v>955</v>
      </c>
    </row>
    <row r="440" customFormat="false" ht="15" hidden="false" customHeight="false" outlineLevel="0" collapsed="false">
      <c r="A440" s="8" t="s">
        <v>966</v>
      </c>
      <c r="B440" s="12" t="s">
        <v>967</v>
      </c>
      <c r="C440" s="8" t="s">
        <v>953</v>
      </c>
      <c r="D440" s="12" t="s">
        <v>954</v>
      </c>
      <c r="E440" s="10" t="str">
        <f aca="true">IFERROR(IF(INDEX(INDIRECT("'"&amp;$AI440&amp;"'!$E$2:$E$327"),MATCH($A440,INDIRECT("'"&amp;$AI440&amp;"'!$A$2:$A$327"),0))="","",INDEX(INDIRECT("'"&amp;$AI440&amp;"'!$E$2:$E$327"),MATCH($A440,INDIRECT("'"&amp;$AI440&amp;"'!$A$2:$A$327"),0))),"")</f>
        <v/>
      </c>
      <c r="F440" s="9" t="str">
        <f aca="false">IF($E440="","",IFERROR(INDEX(担当者マスタ!$B$2:$B$101,MATCH($E440,担当者マスタ!$A$2:$A$101,0)),"※マスタ未登録"))</f>
        <v/>
      </c>
      <c r="G440" s="11" t="n">
        <v>0</v>
      </c>
      <c r="H440" s="11" t="n">
        <v>20.7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f aca="false">SUM(G440:L440)</f>
        <v>20.7</v>
      </c>
      <c r="N440" s="11" t="n">
        <v>0</v>
      </c>
      <c r="O440" s="11" t="n">
        <v>3.75</v>
      </c>
      <c r="P440" s="11" t="n">
        <v>0</v>
      </c>
      <c r="Q440" s="11" t="n">
        <v>0</v>
      </c>
      <c r="R440" s="11" t="n">
        <v>0</v>
      </c>
      <c r="S440" s="11" t="n">
        <v>0</v>
      </c>
      <c r="T440" s="11" t="n">
        <f aca="false">SUM(N440:S440)</f>
        <v>3.75</v>
      </c>
      <c r="U440" s="11" t="n">
        <v>0</v>
      </c>
      <c r="V440" s="11" t="n">
        <v>0</v>
      </c>
      <c r="W440" s="11" t="n">
        <v>0</v>
      </c>
      <c r="X440" s="11" t="n">
        <v>0</v>
      </c>
      <c r="Y440" s="11" t="n">
        <v>0</v>
      </c>
      <c r="Z440" s="11" t="n">
        <v>20.7</v>
      </c>
      <c r="AA440" s="11" t="n">
        <f aca="false">SUM(U440:Z440)</f>
        <v>20.7</v>
      </c>
      <c r="AB440" s="11" t="n">
        <v>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3.75</v>
      </c>
      <c r="AH440" s="11" t="n">
        <f aca="false">SUM(AB440:AG440)</f>
        <v>3.75</v>
      </c>
      <c r="AI440" s="12" t="s">
        <v>955</v>
      </c>
    </row>
    <row r="441" customFormat="false" ht="15" hidden="false" customHeight="false" outlineLevel="0" collapsed="false">
      <c r="A441" s="8" t="s">
        <v>968</v>
      </c>
      <c r="B441" s="12" t="s">
        <v>969</v>
      </c>
      <c r="C441" s="8" t="s">
        <v>953</v>
      </c>
      <c r="D441" s="12" t="s">
        <v>954</v>
      </c>
      <c r="E441" s="10" t="str">
        <f aca="true">IFERROR(IF(INDEX(INDIRECT("'"&amp;$AI441&amp;"'!$E$2:$E$327"),MATCH($A441,INDIRECT("'"&amp;$AI441&amp;"'!$A$2:$A$327"),0))="","",INDEX(INDIRECT("'"&amp;$AI441&amp;"'!$E$2:$E$327"),MATCH($A441,INDIRECT("'"&amp;$AI441&amp;"'!$A$2:$A$327"),0))),"")</f>
        <v/>
      </c>
      <c r="F441" s="9" t="str">
        <f aca="false">IF($E441="","",IFERROR(INDEX(担当者マスタ!$B$2:$B$101,MATCH($E441,担当者マスタ!$A$2:$A$101,0)),"※マスタ未登録"))</f>
        <v/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f aca="false">SUM(G441:L441)</f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f aca="false">SUM(N441:S441)</f>
        <v>0</v>
      </c>
      <c r="U441" s="11" t="n">
        <v>0</v>
      </c>
      <c r="V441" s="11" t="n">
        <v>40.5</v>
      </c>
      <c r="W441" s="11" t="n">
        <v>0</v>
      </c>
      <c r="X441" s="11" t="n">
        <v>0</v>
      </c>
      <c r="Y441" s="11" t="n">
        <v>0</v>
      </c>
      <c r="Z441" s="11" t="n">
        <v>0</v>
      </c>
      <c r="AA441" s="11" t="n">
        <f aca="false">SUM(U441:Z441)</f>
        <v>40.5</v>
      </c>
      <c r="AB441" s="11" t="n">
        <v>0</v>
      </c>
      <c r="AC441" s="11" t="n">
        <v>12</v>
      </c>
      <c r="AD441" s="11" t="n">
        <v>0</v>
      </c>
      <c r="AE441" s="11" t="n">
        <v>0</v>
      </c>
      <c r="AF441" s="11" t="n">
        <v>0</v>
      </c>
      <c r="AG441" s="11" t="n">
        <v>0</v>
      </c>
      <c r="AH441" s="11" t="n">
        <f aca="false">SUM(AB441:AG441)</f>
        <v>12</v>
      </c>
      <c r="AI441" s="12" t="s">
        <v>955</v>
      </c>
    </row>
    <row r="442" customFormat="false" ht="15" hidden="false" customHeight="false" outlineLevel="0" collapsed="false">
      <c r="A442" s="8" t="s">
        <v>970</v>
      </c>
      <c r="B442" s="12" t="s">
        <v>971</v>
      </c>
      <c r="C442" s="8" t="s">
        <v>953</v>
      </c>
      <c r="D442" s="12" t="s">
        <v>954</v>
      </c>
      <c r="E442" s="10" t="str">
        <f aca="true">IFERROR(IF(INDEX(INDIRECT("'"&amp;$AI442&amp;"'!$E$2:$E$327"),MATCH($A442,INDIRECT("'"&amp;$AI442&amp;"'!$A$2:$A$327"),0))="","",INDEX(INDIRECT("'"&amp;$AI442&amp;"'!$E$2:$E$327"),MATCH($A442,INDIRECT("'"&amp;$AI442&amp;"'!$A$2:$A$327"),0))),"")</f>
        <v/>
      </c>
      <c r="F442" s="9" t="str">
        <f aca="false">IF($E442="","",IFERROR(INDEX(担当者マスタ!$B$2:$B$101,MATCH($E442,担当者マスタ!$A$2:$A$101,0)),"※マスタ未登録"))</f>
        <v/>
      </c>
      <c r="G442" s="11" t="n">
        <v>128.58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f aca="false">SUM(G442:L442)</f>
        <v>128.58</v>
      </c>
      <c r="N442" s="11" t="n">
        <v>37.28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1" t="n">
        <f aca="false">SUM(N442:S442)</f>
        <v>37.28</v>
      </c>
      <c r="U442" s="11" t="n">
        <v>0</v>
      </c>
      <c r="V442" s="11" t="n">
        <v>0</v>
      </c>
      <c r="W442" s="11" t="n">
        <v>0</v>
      </c>
      <c r="X442" s="11" t="n">
        <v>0</v>
      </c>
      <c r="Y442" s="11" t="n">
        <v>0</v>
      </c>
      <c r="Z442" s="11" t="n">
        <v>0</v>
      </c>
      <c r="AA442" s="11" t="n">
        <f aca="false">SUM(U442:Z442)</f>
        <v>0</v>
      </c>
      <c r="AB442" s="11" t="n">
        <v>0</v>
      </c>
      <c r="AC442" s="11" t="n">
        <v>0</v>
      </c>
      <c r="AD442" s="11" t="n">
        <v>0</v>
      </c>
      <c r="AE442" s="11" t="n">
        <v>0</v>
      </c>
      <c r="AF442" s="11" t="n">
        <v>0</v>
      </c>
      <c r="AG442" s="11" t="n">
        <v>0</v>
      </c>
      <c r="AH442" s="11" t="n">
        <f aca="false">SUM(AB442:AG442)</f>
        <v>0</v>
      </c>
      <c r="AI442" s="12" t="s">
        <v>955</v>
      </c>
    </row>
    <row r="443" customFormat="false" ht="15" hidden="false" customHeight="false" outlineLevel="0" collapsed="false">
      <c r="A443" s="8" t="s">
        <v>972</v>
      </c>
      <c r="B443" s="12" t="s">
        <v>973</v>
      </c>
      <c r="C443" s="8" t="s">
        <v>953</v>
      </c>
      <c r="D443" s="12" t="s">
        <v>954</v>
      </c>
      <c r="E443" s="10" t="str">
        <f aca="true">IFERROR(IF(INDEX(INDIRECT("'"&amp;$AI443&amp;"'!$E$2:$E$327"),MATCH($A443,INDIRECT("'"&amp;$AI443&amp;"'!$A$2:$A$327"),0))="","",INDEX(INDIRECT("'"&amp;$AI443&amp;"'!$E$2:$E$327"),MATCH($A443,INDIRECT("'"&amp;$AI443&amp;"'!$A$2:$A$327"),0))),"")</f>
        <v/>
      </c>
      <c r="F443" s="9" t="str">
        <f aca="false">IF($E443="","",IFERROR(INDEX(担当者マスタ!$B$2:$B$101,MATCH($E443,担当者マスタ!$A$2:$A$101,0)),"※マスタ未登録"))</f>
        <v/>
      </c>
      <c r="G443" s="11" t="n">
        <v>1547.564</v>
      </c>
      <c r="H443" s="11" t="n">
        <v>1406</v>
      </c>
      <c r="I443" s="11" t="n">
        <v>1615.548</v>
      </c>
      <c r="J443" s="11" t="n">
        <v>863.426</v>
      </c>
      <c r="K443" s="11" t="n">
        <v>1042.139</v>
      </c>
      <c r="L443" s="11" t="n">
        <v>1264.186</v>
      </c>
      <c r="M443" s="11" t="n">
        <f aca="false">SUM(G443:L443)</f>
        <v>7738.863</v>
      </c>
      <c r="N443" s="11" t="n">
        <v>623.457</v>
      </c>
      <c r="O443" s="11" t="n">
        <v>527.519</v>
      </c>
      <c r="P443" s="11" t="n">
        <v>603.989</v>
      </c>
      <c r="Q443" s="11" t="n">
        <v>321.099</v>
      </c>
      <c r="R443" s="11" t="n">
        <v>387.532</v>
      </c>
      <c r="S443" s="11" t="n">
        <v>470.47</v>
      </c>
      <c r="T443" s="11" t="n">
        <f aca="false">SUM(N443:S443)</f>
        <v>2934.066</v>
      </c>
      <c r="U443" s="11" t="n">
        <v>1326.714</v>
      </c>
      <c r="V443" s="11" t="n">
        <v>2443.521</v>
      </c>
      <c r="W443" s="11" t="n">
        <v>3792.533</v>
      </c>
      <c r="X443" s="11" t="n">
        <v>1392.358</v>
      </c>
      <c r="Y443" s="11" t="n">
        <v>1962.283</v>
      </c>
      <c r="Z443" s="11" t="n">
        <v>2334.544</v>
      </c>
      <c r="AA443" s="11" t="n">
        <f aca="false">SUM(U443:Z443)</f>
        <v>13251.953</v>
      </c>
      <c r="AB443" s="11" t="n">
        <v>506.714</v>
      </c>
      <c r="AC443" s="11" t="n">
        <v>903.301</v>
      </c>
      <c r="AD443" s="11" t="n">
        <v>1382.363</v>
      </c>
      <c r="AE443" s="11" t="n">
        <v>517.465</v>
      </c>
      <c r="AF443" s="11" t="n">
        <v>731.053</v>
      </c>
      <c r="AG443" s="11" t="n">
        <v>867.793</v>
      </c>
      <c r="AH443" s="11" t="n">
        <f aca="false">SUM(AB443:AG443)</f>
        <v>4908.689</v>
      </c>
      <c r="AI443" s="12" t="s">
        <v>955</v>
      </c>
    </row>
    <row r="444" customFormat="false" ht="15" hidden="false" customHeight="false" outlineLevel="0" collapsed="false">
      <c r="A444" s="8" t="s">
        <v>974</v>
      </c>
      <c r="B444" s="12" t="s">
        <v>975</v>
      </c>
      <c r="C444" s="8" t="s">
        <v>953</v>
      </c>
      <c r="D444" s="12" t="s">
        <v>954</v>
      </c>
      <c r="E444" s="10" t="str">
        <f aca="true">IFERROR(IF(INDEX(INDIRECT("'"&amp;$AI444&amp;"'!$E$2:$E$327"),MATCH($A444,INDIRECT("'"&amp;$AI444&amp;"'!$A$2:$A$327"),0))="","",INDEX(INDIRECT("'"&amp;$AI444&amp;"'!$E$2:$E$327"),MATCH($A444,INDIRECT("'"&amp;$AI444&amp;"'!$A$2:$A$327"),0))),"")</f>
        <v/>
      </c>
      <c r="F444" s="9" t="str">
        <f aca="false">IF($E444="","",IFERROR(INDEX(担当者マスタ!$B$2:$B$101,MATCH($E444,担当者マスタ!$A$2:$A$101,0)),"※マスタ未登録"))</f>
        <v/>
      </c>
      <c r="G444" s="11" t="n">
        <v>1191.935</v>
      </c>
      <c r="H444" s="11" t="n">
        <v>1112.696</v>
      </c>
      <c r="I444" s="11" t="n">
        <v>2205.124</v>
      </c>
      <c r="J444" s="11" t="n">
        <v>890.156</v>
      </c>
      <c r="K444" s="11" t="n">
        <v>648.212</v>
      </c>
      <c r="L444" s="11" t="n">
        <v>857.469</v>
      </c>
      <c r="M444" s="11" t="n">
        <f aca="false">SUM(G444:L444)</f>
        <v>6905.592</v>
      </c>
      <c r="N444" s="11" t="n">
        <v>376.384</v>
      </c>
      <c r="O444" s="11" t="n">
        <v>342.913</v>
      </c>
      <c r="P444" s="11" t="n">
        <v>654.786</v>
      </c>
      <c r="Q444" s="11" t="n">
        <v>263.309</v>
      </c>
      <c r="R444" s="11" t="n">
        <v>199.727</v>
      </c>
      <c r="S444" s="11" t="n">
        <v>252.433</v>
      </c>
      <c r="T444" s="11" t="n">
        <f aca="false">SUM(N444:S444)</f>
        <v>2089.552</v>
      </c>
      <c r="U444" s="11" t="n">
        <v>1173.37</v>
      </c>
      <c r="V444" s="11" t="n">
        <v>805.49</v>
      </c>
      <c r="W444" s="11" t="n">
        <v>1487.927</v>
      </c>
      <c r="X444" s="11" t="n">
        <v>626.609</v>
      </c>
      <c r="Y444" s="11" t="n">
        <v>661.329</v>
      </c>
      <c r="Z444" s="11" t="n">
        <v>916.771</v>
      </c>
      <c r="AA444" s="11" t="n">
        <f aca="false">SUM(U444:Z444)</f>
        <v>5671.496</v>
      </c>
      <c r="AB444" s="11" t="n">
        <v>339.855</v>
      </c>
      <c r="AC444" s="11" t="n">
        <v>240.608</v>
      </c>
      <c r="AD444" s="11" t="n">
        <v>471.405</v>
      </c>
      <c r="AE444" s="11" t="n">
        <v>193.717</v>
      </c>
      <c r="AF444" s="11" t="n">
        <v>200.79</v>
      </c>
      <c r="AG444" s="11" t="n">
        <v>266.247</v>
      </c>
      <c r="AH444" s="11" t="n">
        <f aca="false">SUM(AB444:AG444)</f>
        <v>1712.622</v>
      </c>
      <c r="AI444" s="12" t="s">
        <v>955</v>
      </c>
    </row>
    <row r="445" customFormat="false" ht="15" hidden="false" customHeight="false" outlineLevel="0" collapsed="false">
      <c r="A445" s="8" t="s">
        <v>976</v>
      </c>
      <c r="B445" s="12" t="s">
        <v>977</v>
      </c>
      <c r="C445" s="8" t="s">
        <v>953</v>
      </c>
      <c r="D445" s="12" t="s">
        <v>954</v>
      </c>
      <c r="E445" s="10" t="str">
        <f aca="true">IFERROR(IF(INDEX(INDIRECT("'"&amp;$AI445&amp;"'!$E$2:$E$327"),MATCH($A445,INDIRECT("'"&amp;$AI445&amp;"'!$A$2:$A$327"),0))="","",INDEX(INDIRECT("'"&amp;$AI445&amp;"'!$E$2:$E$327"),MATCH($A445,INDIRECT("'"&amp;$AI445&amp;"'!$A$2:$A$327"),0))),"")</f>
        <v/>
      </c>
      <c r="F445" s="9" t="str">
        <f aca="false">IF($E445="","",IFERROR(INDEX(担当者マスタ!$B$2:$B$101,MATCH($E445,担当者マスタ!$A$2:$A$101,0)),"※マスタ未登録"))</f>
        <v/>
      </c>
      <c r="G445" s="11" t="n">
        <v>384.783</v>
      </c>
      <c r="H445" s="11" t="n">
        <v>336.247</v>
      </c>
      <c r="I445" s="11" t="n">
        <v>390.402</v>
      </c>
      <c r="J445" s="11" t="n">
        <v>239.207</v>
      </c>
      <c r="K445" s="11" t="n">
        <v>248.551</v>
      </c>
      <c r="L445" s="11" t="n">
        <v>379.936</v>
      </c>
      <c r="M445" s="11" t="n">
        <f aca="false">SUM(G445:L445)</f>
        <v>1979.126</v>
      </c>
      <c r="N445" s="11" t="n">
        <v>102.827</v>
      </c>
      <c r="O445" s="11" t="n">
        <v>84.486</v>
      </c>
      <c r="P445" s="11" t="n">
        <v>98.692</v>
      </c>
      <c r="Q445" s="11" t="n">
        <v>63.066</v>
      </c>
      <c r="R445" s="11" t="n">
        <v>61.868</v>
      </c>
      <c r="S445" s="11" t="n">
        <v>86.348</v>
      </c>
      <c r="T445" s="11" t="n">
        <f aca="false">SUM(N445:S445)</f>
        <v>497.287</v>
      </c>
      <c r="U445" s="11" t="n">
        <v>294.317</v>
      </c>
      <c r="V445" s="11" t="n">
        <v>305.119</v>
      </c>
      <c r="W445" s="11" t="n">
        <v>362.849</v>
      </c>
      <c r="X445" s="11" t="n">
        <v>188.841</v>
      </c>
      <c r="Y445" s="11" t="n">
        <v>176.299</v>
      </c>
      <c r="Z445" s="11" t="n">
        <v>255.538</v>
      </c>
      <c r="AA445" s="11" t="n">
        <f aca="false">SUM(U445:Z445)</f>
        <v>1582.963</v>
      </c>
      <c r="AB445" s="11" t="n">
        <v>68.426</v>
      </c>
      <c r="AC445" s="11" t="n">
        <v>75.103</v>
      </c>
      <c r="AD445" s="11" t="n">
        <v>87.018</v>
      </c>
      <c r="AE445" s="11" t="n">
        <v>39.573</v>
      </c>
      <c r="AF445" s="11" t="n">
        <v>37.862</v>
      </c>
      <c r="AG445" s="11" t="n">
        <v>56.028</v>
      </c>
      <c r="AH445" s="11" t="n">
        <f aca="false">SUM(AB445:AG445)</f>
        <v>364.01</v>
      </c>
      <c r="AI445" s="12" t="s">
        <v>955</v>
      </c>
    </row>
    <row r="446" customFormat="false" ht="15" hidden="false" customHeight="false" outlineLevel="0" collapsed="false">
      <c r="A446" s="8" t="s">
        <v>978</v>
      </c>
      <c r="B446" s="12" t="s">
        <v>979</v>
      </c>
      <c r="C446" s="8" t="s">
        <v>953</v>
      </c>
      <c r="D446" s="12" t="s">
        <v>954</v>
      </c>
      <c r="E446" s="10" t="str">
        <f aca="true">IFERROR(IF(INDEX(INDIRECT("'"&amp;$AI446&amp;"'!$E$2:$E$327"),MATCH($A446,INDIRECT("'"&amp;$AI446&amp;"'!$A$2:$A$327"),0))="","",INDEX(INDIRECT("'"&amp;$AI446&amp;"'!$E$2:$E$327"),MATCH($A446,INDIRECT("'"&amp;$AI446&amp;"'!$A$2:$A$327"),0))),"")</f>
        <v/>
      </c>
      <c r="F446" s="9" t="str">
        <f aca="false">IF($E446="","",IFERROR(INDEX(担当者マスタ!$B$2:$B$101,MATCH($E446,担当者マスタ!$A$2:$A$101,0)),"※マスタ未登録"))</f>
        <v/>
      </c>
      <c r="G446" s="11" t="n">
        <v>0</v>
      </c>
      <c r="H446" s="11" t="n">
        <v>22</v>
      </c>
      <c r="I446" s="11" t="n">
        <v>0</v>
      </c>
      <c r="J446" s="11" t="n">
        <v>0</v>
      </c>
      <c r="K446" s="11" t="n">
        <v>0</v>
      </c>
      <c r="L446" s="11" t="n">
        <v>11.72</v>
      </c>
      <c r="M446" s="11" t="n">
        <f aca="false">SUM(G446:L446)</f>
        <v>33.72</v>
      </c>
      <c r="N446" s="11" t="n">
        <v>0</v>
      </c>
      <c r="O446" s="11" t="n">
        <v>8.752</v>
      </c>
      <c r="P446" s="11" t="n">
        <v>0</v>
      </c>
      <c r="Q446" s="11" t="n">
        <v>0</v>
      </c>
      <c r="R446" s="11" t="n">
        <v>0</v>
      </c>
      <c r="S446" s="11" t="n">
        <v>5.62</v>
      </c>
      <c r="T446" s="11" t="n">
        <f aca="false">SUM(N446:S446)</f>
        <v>14.372</v>
      </c>
      <c r="U446" s="11" t="n">
        <v>0</v>
      </c>
      <c r="V446" s="11" t="n">
        <v>57.439</v>
      </c>
      <c r="W446" s="11" t="n">
        <v>0</v>
      </c>
      <c r="X446" s="11" t="n">
        <v>0</v>
      </c>
      <c r="Y446" s="11" t="n">
        <v>0</v>
      </c>
      <c r="Z446" s="11" t="n">
        <v>6.81</v>
      </c>
      <c r="AA446" s="11" t="n">
        <f aca="false">SUM(U446:Z446)</f>
        <v>64.249</v>
      </c>
      <c r="AB446" s="11" t="n">
        <v>0</v>
      </c>
      <c r="AC446" s="11" t="n">
        <v>20.201</v>
      </c>
      <c r="AD446" s="11" t="n">
        <v>0</v>
      </c>
      <c r="AE446" s="11" t="n">
        <v>0</v>
      </c>
      <c r="AF446" s="11" t="n">
        <v>0</v>
      </c>
      <c r="AG446" s="11" t="n">
        <v>3.59</v>
      </c>
      <c r="AH446" s="11" t="n">
        <f aca="false">SUM(AB446:AG446)</f>
        <v>23.791</v>
      </c>
      <c r="AI446" s="12" t="s">
        <v>955</v>
      </c>
    </row>
    <row r="447" customFormat="false" ht="15" hidden="false" customHeight="false" outlineLevel="0" collapsed="false">
      <c r="A447" s="8" t="s">
        <v>980</v>
      </c>
      <c r="B447" s="12" t="s">
        <v>981</v>
      </c>
      <c r="C447" s="8" t="s">
        <v>953</v>
      </c>
      <c r="D447" s="12" t="s">
        <v>954</v>
      </c>
      <c r="E447" s="10" t="str">
        <f aca="true">IFERROR(IF(INDEX(INDIRECT("'"&amp;$AI447&amp;"'!$E$2:$E$327"),MATCH($A447,INDIRECT("'"&amp;$AI447&amp;"'!$A$2:$A$327"),0))="","",INDEX(INDIRECT("'"&amp;$AI447&amp;"'!$E$2:$E$327"),MATCH($A447,INDIRECT("'"&amp;$AI447&amp;"'!$A$2:$A$327"),0))),"")</f>
        <v/>
      </c>
      <c r="F447" s="9" t="str">
        <f aca="false">IF($E447="","",IFERROR(INDEX(担当者マスタ!$B$2:$B$101,MATCH($E447,担当者マスタ!$A$2:$A$101,0)),"※マスタ未登録"))</f>
        <v/>
      </c>
      <c r="G447" s="11" t="n">
        <v>20.472</v>
      </c>
      <c r="H447" s="11" t="n">
        <v>112.39</v>
      </c>
      <c r="I447" s="11" t="n">
        <v>47.26</v>
      </c>
      <c r="J447" s="11" t="n">
        <v>11.3</v>
      </c>
      <c r="K447" s="11" t="n">
        <v>62.28</v>
      </c>
      <c r="L447" s="11" t="n">
        <v>0</v>
      </c>
      <c r="M447" s="11" t="n">
        <f aca="false">SUM(G447:L447)</f>
        <v>253.702</v>
      </c>
      <c r="N447" s="11" t="n">
        <v>8.292</v>
      </c>
      <c r="O447" s="11" t="n">
        <v>24.412</v>
      </c>
      <c r="P447" s="11" t="n">
        <v>12.58</v>
      </c>
      <c r="Q447" s="11" t="n">
        <v>1.75</v>
      </c>
      <c r="R447" s="11" t="n">
        <v>12.48</v>
      </c>
      <c r="S447" s="11" t="n">
        <v>0</v>
      </c>
      <c r="T447" s="11" t="n">
        <f aca="false">SUM(N447:S447)</f>
        <v>59.514</v>
      </c>
      <c r="U447" s="11" t="n">
        <v>46.6</v>
      </c>
      <c r="V447" s="11" t="n">
        <v>35.37</v>
      </c>
      <c r="W447" s="11" t="n">
        <v>0</v>
      </c>
      <c r="X447" s="11" t="n">
        <v>62.28</v>
      </c>
      <c r="Y447" s="11" t="n">
        <v>9.861</v>
      </c>
      <c r="Z447" s="11" t="n">
        <v>6.1</v>
      </c>
      <c r="AA447" s="11" t="n">
        <f aca="false">SUM(U447:Z447)</f>
        <v>160.211</v>
      </c>
      <c r="AB447" s="11" t="n">
        <v>11.1</v>
      </c>
      <c r="AC447" s="11" t="n">
        <v>11.13</v>
      </c>
      <c r="AD447" s="11" t="n">
        <v>0</v>
      </c>
      <c r="AE447" s="11" t="n">
        <v>12.48</v>
      </c>
      <c r="AF447" s="11" t="n">
        <v>3.171</v>
      </c>
      <c r="AG447" s="11" t="n">
        <v>2.37</v>
      </c>
      <c r="AH447" s="11" t="n">
        <f aca="false">SUM(AB447:AG447)</f>
        <v>40.251</v>
      </c>
      <c r="AI447" s="12" t="s">
        <v>955</v>
      </c>
    </row>
    <row r="448" customFormat="false" ht="15" hidden="false" customHeight="false" outlineLevel="0" collapsed="false">
      <c r="A448" s="8" t="s">
        <v>982</v>
      </c>
      <c r="B448" s="9" t="s">
        <v>983</v>
      </c>
      <c r="C448" s="8" t="s">
        <v>953</v>
      </c>
      <c r="D448" s="12" t="s">
        <v>954</v>
      </c>
      <c r="E448" s="10" t="str">
        <f aca="true">IFERROR(IF(INDEX(INDIRECT("'"&amp;$AI448&amp;"'!$E$2:$E$327"),MATCH($A448,INDIRECT("'"&amp;$AI448&amp;"'!$A$2:$A$327"),0))="","",INDEX(INDIRECT("'"&amp;$AI448&amp;"'!$E$2:$E$327"),MATCH($A448,INDIRECT("'"&amp;$AI448&amp;"'!$A$2:$A$327"),0))),"")</f>
        <v/>
      </c>
      <c r="F448" s="9" t="str">
        <f aca="false">IF($E448="","",IFERROR(INDEX(担当者マスタ!$B$2:$B$101,MATCH($E448,担当者マスタ!$A$2:$A$101,0)),"※マスタ未登録"))</f>
        <v/>
      </c>
      <c r="G448" s="11" t="n">
        <v>265.401</v>
      </c>
      <c r="H448" s="11" t="n">
        <v>211.854</v>
      </c>
      <c r="I448" s="11" t="n">
        <v>311.512</v>
      </c>
      <c r="J448" s="11" t="n">
        <v>122.486</v>
      </c>
      <c r="K448" s="11" t="n">
        <v>180.246</v>
      </c>
      <c r="L448" s="11" t="n">
        <v>221.597</v>
      </c>
      <c r="M448" s="11" t="n">
        <f aca="false">SUM(G448:L448)</f>
        <v>1313.096</v>
      </c>
      <c r="N448" s="11" t="n">
        <v>118.394</v>
      </c>
      <c r="O448" s="11" t="n">
        <v>84.555</v>
      </c>
      <c r="P448" s="11" t="n">
        <v>142.486</v>
      </c>
      <c r="Q448" s="11" t="n">
        <v>48.921</v>
      </c>
      <c r="R448" s="11" t="n">
        <v>71.683</v>
      </c>
      <c r="S448" s="11" t="n">
        <v>89.117</v>
      </c>
      <c r="T448" s="11" t="n">
        <f aca="false">SUM(N448:S448)</f>
        <v>555.156</v>
      </c>
      <c r="U448" s="11" t="n">
        <v>237.801</v>
      </c>
      <c r="V448" s="11" t="n">
        <v>165.622</v>
      </c>
      <c r="W448" s="11" t="n">
        <v>303.125</v>
      </c>
      <c r="X448" s="11" t="n">
        <v>104.459</v>
      </c>
      <c r="Y448" s="11" t="n">
        <v>150.063</v>
      </c>
      <c r="Z448" s="11" t="n">
        <v>225.907</v>
      </c>
      <c r="AA448" s="11" t="n">
        <f aca="false">SUM(U448:Z448)</f>
        <v>1186.977</v>
      </c>
      <c r="AB448" s="11" t="n">
        <v>97.19</v>
      </c>
      <c r="AC448" s="11" t="n">
        <v>70.165</v>
      </c>
      <c r="AD448" s="11" t="n">
        <v>132.679</v>
      </c>
      <c r="AE448" s="11" t="n">
        <v>40.531</v>
      </c>
      <c r="AF448" s="11" t="n">
        <v>57.168</v>
      </c>
      <c r="AG448" s="11" t="n">
        <v>93.852</v>
      </c>
      <c r="AH448" s="11" t="n">
        <f aca="false">SUM(AB448:AG448)</f>
        <v>491.585</v>
      </c>
      <c r="AI448" s="12" t="s">
        <v>955</v>
      </c>
    </row>
    <row r="449" customFormat="false" ht="15" hidden="false" customHeight="false" outlineLevel="0" collapsed="false">
      <c r="A449" s="8" t="s">
        <v>984</v>
      </c>
      <c r="B449" s="12" t="s">
        <v>730</v>
      </c>
      <c r="C449" s="8" t="s">
        <v>953</v>
      </c>
      <c r="D449" s="12" t="s">
        <v>954</v>
      </c>
      <c r="E449" s="10" t="str">
        <f aca="true">IFERROR(IF(INDEX(INDIRECT("'"&amp;$AI449&amp;"'!$E$2:$E$327"),MATCH($A449,INDIRECT("'"&amp;$AI449&amp;"'!$A$2:$A$327"),0))="","",INDEX(INDIRECT("'"&amp;$AI449&amp;"'!$E$2:$E$327"),MATCH($A449,INDIRECT("'"&amp;$AI449&amp;"'!$A$2:$A$327"),0))),"")</f>
        <v/>
      </c>
      <c r="F449" s="9" t="str">
        <f aca="false">IF($E449="","",IFERROR(INDEX(担当者マスタ!$B$2:$B$101,MATCH($E449,担当者マスタ!$A$2:$A$101,0)),"※マスタ未登録"))</f>
        <v/>
      </c>
      <c r="G449" s="11" t="n">
        <v>44.12</v>
      </c>
      <c r="H449" s="11" t="n">
        <v>65.3</v>
      </c>
      <c r="I449" s="11" t="n">
        <v>60.34</v>
      </c>
      <c r="J449" s="11" t="n">
        <v>29.68</v>
      </c>
      <c r="K449" s="11" t="n">
        <v>47.6</v>
      </c>
      <c r="L449" s="11" t="n">
        <v>40.33</v>
      </c>
      <c r="M449" s="11" t="n">
        <f aca="false">SUM(G449:L449)</f>
        <v>287.37</v>
      </c>
      <c r="N449" s="11" t="n">
        <v>13.94</v>
      </c>
      <c r="O449" s="11" t="n">
        <v>19.625</v>
      </c>
      <c r="P449" s="11" t="n">
        <v>21.07</v>
      </c>
      <c r="Q449" s="11" t="n">
        <v>9.28</v>
      </c>
      <c r="R449" s="11" t="n">
        <v>14.095</v>
      </c>
      <c r="S449" s="11" t="n">
        <v>13.955</v>
      </c>
      <c r="T449" s="11" t="n">
        <f aca="false">SUM(N449:S449)</f>
        <v>91.965</v>
      </c>
      <c r="U449" s="11" t="n">
        <v>91.65</v>
      </c>
      <c r="V449" s="11" t="n">
        <v>102.55</v>
      </c>
      <c r="W449" s="11" t="n">
        <v>44.12</v>
      </c>
      <c r="X449" s="11" t="n">
        <v>62.67</v>
      </c>
      <c r="Y449" s="11" t="n">
        <v>93.99</v>
      </c>
      <c r="Z449" s="11" t="n">
        <v>92.42</v>
      </c>
      <c r="AA449" s="11" t="n">
        <f aca="false">SUM(U449:Z449)</f>
        <v>487.4</v>
      </c>
      <c r="AB449" s="11" t="n">
        <v>37.45</v>
      </c>
      <c r="AC449" s="11" t="n">
        <v>39.925</v>
      </c>
      <c r="AD449" s="11" t="n">
        <v>18.69</v>
      </c>
      <c r="AE449" s="11" t="n">
        <v>26.49</v>
      </c>
      <c r="AF449" s="11" t="n">
        <v>38.48</v>
      </c>
      <c r="AG449" s="11" t="n">
        <v>33.34</v>
      </c>
      <c r="AH449" s="11" t="n">
        <f aca="false">SUM(AB449:AG449)</f>
        <v>194.375</v>
      </c>
      <c r="AI449" s="12" t="s">
        <v>955</v>
      </c>
    </row>
    <row r="450" customFormat="false" ht="15" hidden="false" customHeight="false" outlineLevel="0" collapsed="false">
      <c r="A450" s="8" t="s">
        <v>985</v>
      </c>
      <c r="B450" s="12" t="s">
        <v>986</v>
      </c>
      <c r="C450" s="8" t="s">
        <v>953</v>
      </c>
      <c r="D450" s="12" t="s">
        <v>954</v>
      </c>
      <c r="E450" s="10" t="str">
        <f aca="true">IFERROR(IF(INDEX(INDIRECT("'"&amp;$AI450&amp;"'!$E$2:$E$327"),MATCH($A450,INDIRECT("'"&amp;$AI450&amp;"'!$A$2:$A$327"),0))="","",INDEX(INDIRECT("'"&amp;$AI450&amp;"'!$E$2:$E$327"),MATCH($A450,INDIRECT("'"&amp;$AI450&amp;"'!$A$2:$A$327"),0))),"")</f>
        <v/>
      </c>
      <c r="F450" s="9" t="str">
        <f aca="false">IF($E450="","",IFERROR(INDEX(担当者マスタ!$B$2:$B$101,MATCH($E450,担当者マスタ!$A$2:$A$101,0)),"※マスタ未登録"))</f>
        <v/>
      </c>
      <c r="G450" s="11" t="n">
        <v>1296.541</v>
      </c>
      <c r="H450" s="11" t="n">
        <v>1306.347</v>
      </c>
      <c r="I450" s="11" t="n">
        <v>2441.148</v>
      </c>
      <c r="J450" s="11" t="n">
        <v>991.548</v>
      </c>
      <c r="K450" s="11" t="n">
        <v>903.243</v>
      </c>
      <c r="L450" s="11" t="n">
        <v>1262.929</v>
      </c>
      <c r="M450" s="11" t="n">
        <f aca="false">SUM(G450:L450)</f>
        <v>8201.756</v>
      </c>
      <c r="N450" s="11" t="n">
        <v>410.13</v>
      </c>
      <c r="O450" s="11" t="n">
        <v>393.243</v>
      </c>
      <c r="P450" s="11" t="n">
        <v>729.331</v>
      </c>
      <c r="Q450" s="11" t="n">
        <v>274.108</v>
      </c>
      <c r="R450" s="11" t="n">
        <v>242.078</v>
      </c>
      <c r="S450" s="11" t="n">
        <v>342.409</v>
      </c>
      <c r="T450" s="11" t="n">
        <f aca="false">SUM(N450:S450)</f>
        <v>2391.299</v>
      </c>
      <c r="U450" s="11" t="n">
        <v>1388.321</v>
      </c>
      <c r="V450" s="11" t="n">
        <v>994.632</v>
      </c>
      <c r="W450" s="11" t="n">
        <v>1976.759</v>
      </c>
      <c r="X450" s="11" t="n">
        <v>1014.156</v>
      </c>
      <c r="Y450" s="11" t="n">
        <v>1068.355</v>
      </c>
      <c r="Z450" s="11" t="n">
        <v>1310.903</v>
      </c>
      <c r="AA450" s="11" t="n">
        <f aca="false">SUM(U450:Z450)</f>
        <v>7753.126</v>
      </c>
      <c r="AB450" s="11" t="n">
        <v>364.021</v>
      </c>
      <c r="AC450" s="11" t="n">
        <v>255.667</v>
      </c>
      <c r="AD450" s="11" t="n">
        <v>536.661</v>
      </c>
      <c r="AE450" s="11" t="n">
        <v>260.328</v>
      </c>
      <c r="AF450" s="11" t="n">
        <v>278.487</v>
      </c>
      <c r="AG450" s="11" t="n">
        <v>341.632</v>
      </c>
      <c r="AH450" s="11" t="n">
        <f aca="false">SUM(AB450:AG450)</f>
        <v>2036.796</v>
      </c>
      <c r="AI450" s="12" t="s">
        <v>955</v>
      </c>
    </row>
    <row r="451" customFormat="false" ht="15" hidden="false" customHeight="false" outlineLevel="0" collapsed="false">
      <c r="A451" s="8" t="s">
        <v>987</v>
      </c>
      <c r="B451" s="12" t="s">
        <v>988</v>
      </c>
      <c r="C451" s="8" t="s">
        <v>953</v>
      </c>
      <c r="D451" s="12" t="s">
        <v>954</v>
      </c>
      <c r="E451" s="10" t="str">
        <f aca="true">IFERROR(IF(INDEX(INDIRECT("'"&amp;$AI451&amp;"'!$E$2:$E$327"),MATCH($A451,INDIRECT("'"&amp;$AI451&amp;"'!$A$2:$A$327"),0))="","",INDEX(INDIRECT("'"&amp;$AI451&amp;"'!$E$2:$E$327"),MATCH($A451,INDIRECT("'"&amp;$AI451&amp;"'!$A$2:$A$327"),0))),"")</f>
        <v/>
      </c>
      <c r="F451" s="9" t="str">
        <f aca="false">IF($E451="","",IFERROR(INDEX(担当者マスタ!$B$2:$B$101,MATCH($E451,担当者マスタ!$A$2:$A$101,0)),"※マスタ未登録"))</f>
        <v/>
      </c>
      <c r="G451" s="11" t="n">
        <v>0</v>
      </c>
      <c r="H451" s="11" t="n">
        <v>32.625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f aca="false">SUM(G451:L451)</f>
        <v>32.625</v>
      </c>
      <c r="N451" s="11" t="n">
        <v>0</v>
      </c>
      <c r="O451" s="11" t="n">
        <v>7.917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f aca="false">SUM(N451:S451)</f>
        <v>7.917</v>
      </c>
      <c r="U451" s="11" t="n">
        <v>33.728</v>
      </c>
      <c r="V451" s="11" t="n">
        <v>0</v>
      </c>
      <c r="W451" s="11" t="n">
        <v>18.352</v>
      </c>
      <c r="X451" s="11" t="n">
        <v>0</v>
      </c>
      <c r="Y451" s="11" t="n">
        <v>0</v>
      </c>
      <c r="Z451" s="11" t="n">
        <v>0</v>
      </c>
      <c r="AA451" s="11" t="n">
        <f aca="false">SUM(U451:Z451)</f>
        <v>52.08</v>
      </c>
      <c r="AB451" s="11" t="n">
        <v>8.935</v>
      </c>
      <c r="AC451" s="11" t="n">
        <v>0</v>
      </c>
      <c r="AD451" s="11" t="n">
        <v>4.862</v>
      </c>
      <c r="AE451" s="11" t="n">
        <v>0</v>
      </c>
      <c r="AF451" s="11" t="n">
        <v>0</v>
      </c>
      <c r="AG451" s="11" t="n">
        <v>0</v>
      </c>
      <c r="AH451" s="11" t="n">
        <f aca="false">SUM(AB451:AG451)</f>
        <v>13.797</v>
      </c>
      <c r="AI451" s="12" t="s">
        <v>955</v>
      </c>
    </row>
    <row r="452" customFormat="false" ht="15" hidden="false" customHeight="false" outlineLevel="0" collapsed="false">
      <c r="A452" s="8" t="s">
        <v>989</v>
      </c>
      <c r="B452" s="12" t="s">
        <v>990</v>
      </c>
      <c r="C452" s="8" t="s">
        <v>953</v>
      </c>
      <c r="D452" s="12" t="s">
        <v>954</v>
      </c>
      <c r="E452" s="10" t="str">
        <f aca="true">IFERROR(IF(INDEX(INDIRECT("'"&amp;$AI452&amp;"'!$E$2:$E$327"),MATCH($A452,INDIRECT("'"&amp;$AI452&amp;"'!$A$2:$A$327"),0))="","",INDEX(INDIRECT("'"&amp;$AI452&amp;"'!$E$2:$E$327"),MATCH($A452,INDIRECT("'"&amp;$AI452&amp;"'!$A$2:$A$327"),0))),"")</f>
        <v/>
      </c>
      <c r="F452" s="9" t="str">
        <f aca="false">IF($E452="","",IFERROR(INDEX(担当者マスタ!$B$2:$B$101,MATCH($E452,担当者マスタ!$A$2:$A$101,0)),"※マスタ未登録"))</f>
        <v/>
      </c>
      <c r="G452" s="11" t="n">
        <v>191.4</v>
      </c>
      <c r="H452" s="11" t="n">
        <v>273.044</v>
      </c>
      <c r="I452" s="11" t="n">
        <v>147.576</v>
      </c>
      <c r="J452" s="11" t="n">
        <v>201.03</v>
      </c>
      <c r="K452" s="11" t="n">
        <v>172.518</v>
      </c>
      <c r="L452" s="11" t="n">
        <v>157.16</v>
      </c>
      <c r="M452" s="11" t="n">
        <f aca="false">SUM(G452:L452)</f>
        <v>1142.728</v>
      </c>
      <c r="N452" s="11" t="n">
        <v>28.1</v>
      </c>
      <c r="O452" s="11" t="n">
        <v>45.292</v>
      </c>
      <c r="P452" s="11" t="n">
        <v>23.704</v>
      </c>
      <c r="Q452" s="11" t="n">
        <v>38.01</v>
      </c>
      <c r="R452" s="11" t="n">
        <v>28.473</v>
      </c>
      <c r="S452" s="11" t="n">
        <v>24.74</v>
      </c>
      <c r="T452" s="11" t="n">
        <f aca="false">SUM(N452:S452)</f>
        <v>188.319</v>
      </c>
      <c r="U452" s="11" t="n">
        <v>294.276</v>
      </c>
      <c r="V452" s="11" t="n">
        <v>303.53</v>
      </c>
      <c r="W452" s="11" t="n">
        <v>286.261</v>
      </c>
      <c r="X452" s="11" t="n">
        <v>114.644</v>
      </c>
      <c r="Y452" s="11" t="n">
        <v>248.686</v>
      </c>
      <c r="Z452" s="11" t="n">
        <v>243.36</v>
      </c>
      <c r="AA452" s="11" t="n">
        <f aca="false">SUM(U452:Z452)</f>
        <v>1490.757</v>
      </c>
      <c r="AB452" s="11" t="n">
        <v>50.204</v>
      </c>
      <c r="AC452" s="11" t="n">
        <v>50.798</v>
      </c>
      <c r="AD452" s="11" t="n">
        <v>48.249</v>
      </c>
      <c r="AE452" s="11" t="n">
        <v>18.242</v>
      </c>
      <c r="AF452" s="11" t="n">
        <v>47.01</v>
      </c>
      <c r="AG452" s="11" t="n">
        <v>41.456</v>
      </c>
      <c r="AH452" s="11" t="n">
        <f aca="false">SUM(AB452:AG452)</f>
        <v>255.959</v>
      </c>
      <c r="AI452" s="12" t="s">
        <v>955</v>
      </c>
    </row>
    <row r="453" customFormat="false" ht="15" hidden="false" customHeight="false" outlineLevel="0" collapsed="false">
      <c r="A453" s="8" t="s">
        <v>991</v>
      </c>
      <c r="B453" s="9" t="s">
        <v>992</v>
      </c>
      <c r="C453" s="8" t="s">
        <v>953</v>
      </c>
      <c r="D453" s="12" t="s">
        <v>954</v>
      </c>
      <c r="E453" s="10" t="str">
        <f aca="true">IFERROR(IF(INDEX(INDIRECT("'"&amp;$AI453&amp;"'!$E$2:$E$327"),MATCH($A453,INDIRECT("'"&amp;$AI453&amp;"'!$A$2:$A$327"),0))="","",INDEX(INDIRECT("'"&amp;$AI453&amp;"'!$E$2:$E$327"),MATCH($A453,INDIRECT("'"&amp;$AI453&amp;"'!$A$2:$A$327"),0))),"")</f>
        <v/>
      </c>
      <c r="F453" s="9" t="str">
        <f aca="false">IF($E453="","",IFERROR(INDEX(担当者マスタ!$B$2:$B$101,MATCH($E453,担当者マスタ!$A$2:$A$101,0)),"※マスタ未登録"))</f>
        <v/>
      </c>
      <c r="G453" s="11" t="n">
        <v>188.927</v>
      </c>
      <c r="H453" s="11" t="n">
        <v>185.72</v>
      </c>
      <c r="I453" s="11" t="n">
        <v>221.194</v>
      </c>
      <c r="J453" s="11" t="n">
        <v>99.129</v>
      </c>
      <c r="K453" s="11" t="n">
        <v>130.946</v>
      </c>
      <c r="L453" s="11" t="n">
        <v>210.101</v>
      </c>
      <c r="M453" s="11" t="n">
        <f aca="false">SUM(G453:L453)</f>
        <v>1036.017</v>
      </c>
      <c r="N453" s="11" t="n">
        <v>70.146</v>
      </c>
      <c r="O453" s="11" t="n">
        <v>67.098</v>
      </c>
      <c r="P453" s="11" t="n">
        <v>74.367</v>
      </c>
      <c r="Q453" s="11" t="n">
        <v>34.655</v>
      </c>
      <c r="R453" s="11" t="n">
        <v>44.337</v>
      </c>
      <c r="S453" s="11" t="n">
        <v>73.461</v>
      </c>
      <c r="T453" s="11" t="n">
        <f aca="false">SUM(N453:S453)</f>
        <v>364.064</v>
      </c>
      <c r="U453" s="11" t="n">
        <v>145.395</v>
      </c>
      <c r="V453" s="11" t="n">
        <v>0</v>
      </c>
      <c r="W453" s="11" t="n">
        <v>0</v>
      </c>
      <c r="X453" s="11" t="n">
        <v>0</v>
      </c>
      <c r="Y453" s="11" t="n">
        <v>0</v>
      </c>
      <c r="Z453" s="11" t="n">
        <v>0</v>
      </c>
      <c r="AA453" s="11" t="n">
        <f aca="false">SUM(U453:Z453)</f>
        <v>145.395</v>
      </c>
      <c r="AB453" s="11" t="n">
        <v>53.522</v>
      </c>
      <c r="AC453" s="11" t="n">
        <v>0</v>
      </c>
      <c r="AD453" s="11" t="n">
        <v>0</v>
      </c>
      <c r="AE453" s="11" t="n">
        <v>0</v>
      </c>
      <c r="AF453" s="11" t="n">
        <v>0</v>
      </c>
      <c r="AG453" s="11" t="n">
        <v>0</v>
      </c>
      <c r="AH453" s="11" t="n">
        <f aca="false">SUM(AB453:AG453)</f>
        <v>53.522</v>
      </c>
      <c r="AI453" s="12" t="s">
        <v>955</v>
      </c>
    </row>
    <row r="454" customFormat="false" ht="15" hidden="false" customHeight="false" outlineLevel="0" collapsed="false">
      <c r="A454" s="8" t="s">
        <v>993</v>
      </c>
      <c r="B454" s="9" t="s">
        <v>994</v>
      </c>
      <c r="C454" s="8" t="s">
        <v>953</v>
      </c>
      <c r="D454" s="12" t="s">
        <v>954</v>
      </c>
      <c r="E454" s="10" t="str">
        <f aca="true">IFERROR(IF(INDEX(INDIRECT("'"&amp;$AI454&amp;"'!$E$2:$E$327"),MATCH($A454,INDIRECT("'"&amp;$AI454&amp;"'!$A$2:$A$327"),0))="","",INDEX(INDIRECT("'"&amp;$AI454&amp;"'!$E$2:$E$327"),MATCH($A454,INDIRECT("'"&amp;$AI454&amp;"'!$A$2:$A$327"),0))),"")</f>
        <v/>
      </c>
      <c r="F454" s="9" t="str">
        <f aca="false">IF($E454="","",IFERROR(INDEX(担当者マスタ!$B$2:$B$101,MATCH($E454,担当者マスタ!$A$2:$A$101,0)),"※マスタ未登録"))</f>
        <v/>
      </c>
      <c r="G454" s="11" t="n">
        <v>412.377</v>
      </c>
      <c r="H454" s="11" t="n">
        <v>321.857</v>
      </c>
      <c r="I454" s="11" t="n">
        <v>574.565</v>
      </c>
      <c r="J454" s="11" t="n">
        <v>198.444</v>
      </c>
      <c r="K454" s="11" t="n">
        <v>279.705</v>
      </c>
      <c r="L454" s="11" t="n">
        <v>319.721</v>
      </c>
      <c r="M454" s="11" t="n">
        <f aca="false">SUM(G454:L454)</f>
        <v>2106.669</v>
      </c>
      <c r="N454" s="11" t="n">
        <v>157.821</v>
      </c>
      <c r="O454" s="11" t="n">
        <v>123.976</v>
      </c>
      <c r="P454" s="11" t="n">
        <v>212.145</v>
      </c>
      <c r="Q454" s="11" t="n">
        <v>64.333</v>
      </c>
      <c r="R454" s="11" t="n">
        <v>106.518</v>
      </c>
      <c r="S454" s="11" t="n">
        <v>117.386</v>
      </c>
      <c r="T454" s="11" t="n">
        <f aca="false">SUM(N454:S454)</f>
        <v>782.179</v>
      </c>
      <c r="U454" s="11" t="n">
        <v>380.941</v>
      </c>
      <c r="V454" s="11" t="n">
        <v>313.126</v>
      </c>
      <c r="W454" s="11" t="n">
        <v>489.1</v>
      </c>
      <c r="X454" s="11" t="n">
        <v>199.995</v>
      </c>
      <c r="Y454" s="11" t="n">
        <v>229.389</v>
      </c>
      <c r="Z454" s="11" t="n">
        <v>265.753</v>
      </c>
      <c r="AA454" s="11" t="n">
        <f aca="false">SUM(U454:Z454)</f>
        <v>1878.304</v>
      </c>
      <c r="AB454" s="11" t="n">
        <v>146.682</v>
      </c>
      <c r="AC454" s="11" t="n">
        <v>118.767</v>
      </c>
      <c r="AD454" s="11" t="n">
        <v>182.394</v>
      </c>
      <c r="AE454" s="11" t="n">
        <v>77.148</v>
      </c>
      <c r="AF454" s="11" t="n">
        <v>82.903</v>
      </c>
      <c r="AG454" s="11" t="n">
        <v>98.95</v>
      </c>
      <c r="AH454" s="11" t="n">
        <f aca="false">SUM(AB454:AG454)</f>
        <v>706.844</v>
      </c>
      <c r="AI454" s="12" t="s">
        <v>955</v>
      </c>
    </row>
    <row r="455" customFormat="false" ht="15" hidden="false" customHeight="false" outlineLevel="0" collapsed="false">
      <c r="A455" s="8" t="s">
        <v>995</v>
      </c>
      <c r="B455" s="9" t="s">
        <v>996</v>
      </c>
      <c r="C455" s="8" t="s">
        <v>953</v>
      </c>
      <c r="D455" s="12" t="s">
        <v>954</v>
      </c>
      <c r="E455" s="10" t="str">
        <f aca="true">IFERROR(IF(INDEX(INDIRECT("'"&amp;$AI455&amp;"'!$E$2:$E$327"),MATCH($A455,INDIRECT("'"&amp;$AI455&amp;"'!$A$2:$A$327"),0))="","",INDEX(INDIRECT("'"&amp;$AI455&amp;"'!$E$2:$E$327"),MATCH($A455,INDIRECT("'"&amp;$AI455&amp;"'!$A$2:$A$327"),0))),"")</f>
        <v/>
      </c>
      <c r="F455" s="9" t="str">
        <f aca="false">IF($E455="","",IFERROR(INDEX(担当者マスタ!$B$2:$B$101,MATCH($E455,担当者マスタ!$A$2:$A$101,0)),"※マスタ未登録"))</f>
        <v/>
      </c>
      <c r="G455" s="11" t="n">
        <v>407.844</v>
      </c>
      <c r="H455" s="11" t="n">
        <v>425.422</v>
      </c>
      <c r="I455" s="11" t="n">
        <v>825.854</v>
      </c>
      <c r="J455" s="11" t="n">
        <v>194.29</v>
      </c>
      <c r="K455" s="11" t="n">
        <v>345.69</v>
      </c>
      <c r="L455" s="11" t="n">
        <v>433.354</v>
      </c>
      <c r="M455" s="11" t="n">
        <f aca="false">SUM(G455:L455)</f>
        <v>2632.454</v>
      </c>
      <c r="N455" s="11" t="n">
        <v>152.137</v>
      </c>
      <c r="O455" s="11" t="n">
        <v>143.833</v>
      </c>
      <c r="P455" s="11" t="n">
        <v>300.413</v>
      </c>
      <c r="Q455" s="11" t="n">
        <v>57.712</v>
      </c>
      <c r="R455" s="11" t="n">
        <v>112.483</v>
      </c>
      <c r="S455" s="11" t="n">
        <v>144.637</v>
      </c>
      <c r="T455" s="11" t="n">
        <f aca="false">SUM(N455:S455)</f>
        <v>911.215</v>
      </c>
      <c r="U455" s="11" t="n">
        <v>553.736</v>
      </c>
      <c r="V455" s="11" t="n">
        <v>332.423</v>
      </c>
      <c r="W455" s="11" t="n">
        <v>631.785</v>
      </c>
      <c r="X455" s="11" t="n">
        <v>214.175</v>
      </c>
      <c r="Y455" s="11" t="n">
        <v>368.819</v>
      </c>
      <c r="Z455" s="11" t="n">
        <v>422.313</v>
      </c>
      <c r="AA455" s="11" t="n">
        <f aca="false">SUM(U455:Z455)</f>
        <v>2523.251</v>
      </c>
      <c r="AB455" s="11" t="n">
        <v>188.705</v>
      </c>
      <c r="AC455" s="11" t="n">
        <v>112.862</v>
      </c>
      <c r="AD455" s="11" t="n">
        <v>225.252</v>
      </c>
      <c r="AE455" s="11" t="n">
        <v>70.335</v>
      </c>
      <c r="AF455" s="11" t="n">
        <v>123.508</v>
      </c>
      <c r="AG455" s="11" t="n">
        <v>146.337</v>
      </c>
      <c r="AH455" s="11" t="n">
        <f aca="false">SUM(AB455:AG455)</f>
        <v>866.999</v>
      </c>
      <c r="AI455" s="12" t="s">
        <v>955</v>
      </c>
    </row>
    <row r="456" customFormat="false" ht="15" hidden="false" customHeight="false" outlineLevel="0" collapsed="false">
      <c r="A456" s="8" t="s">
        <v>997</v>
      </c>
      <c r="B456" s="9" t="s">
        <v>998</v>
      </c>
      <c r="C456" s="8" t="s">
        <v>953</v>
      </c>
      <c r="D456" s="12" t="s">
        <v>954</v>
      </c>
      <c r="E456" s="10" t="str">
        <f aca="true">IFERROR(IF(INDEX(INDIRECT("'"&amp;$AI456&amp;"'!$E$2:$E$327"),MATCH($A456,INDIRECT("'"&amp;$AI456&amp;"'!$A$2:$A$327"),0))="","",INDEX(INDIRECT("'"&amp;$AI456&amp;"'!$E$2:$E$327"),MATCH($A456,INDIRECT("'"&amp;$AI456&amp;"'!$A$2:$A$327"),0))),"")</f>
        <v/>
      </c>
      <c r="F456" s="9" t="str">
        <f aca="false">IF($E456="","",IFERROR(INDEX(担当者マスタ!$B$2:$B$101,MATCH($E456,担当者マスタ!$A$2:$A$101,0)),"※マスタ未登録"))</f>
        <v/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f aca="false">SUM(G456:L456)</f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f aca="false">SUM(N456:S456)</f>
        <v>0</v>
      </c>
      <c r="U456" s="11" t="n">
        <v>139.8</v>
      </c>
      <c r="V456" s="11" t="n">
        <v>122.5</v>
      </c>
      <c r="W456" s="11" t="n">
        <v>605.135</v>
      </c>
      <c r="X456" s="11" t="n">
        <v>77.11</v>
      </c>
      <c r="Y456" s="11" t="n">
        <v>128.825</v>
      </c>
      <c r="Z456" s="11" t="n">
        <v>197.714</v>
      </c>
      <c r="AA456" s="11" t="n">
        <f aca="false">SUM(U456:Z456)</f>
        <v>1271.084</v>
      </c>
      <c r="AB456" s="11" t="n">
        <v>31.72</v>
      </c>
      <c r="AC456" s="11" t="n">
        <v>44.015</v>
      </c>
      <c r="AD456" s="11" t="n">
        <v>184.52</v>
      </c>
      <c r="AE456" s="11" t="n">
        <v>23.739</v>
      </c>
      <c r="AF456" s="11" t="n">
        <v>41.999</v>
      </c>
      <c r="AG456" s="11" t="n">
        <v>64.968</v>
      </c>
      <c r="AH456" s="11" t="n">
        <f aca="false">SUM(AB456:AG456)</f>
        <v>390.961</v>
      </c>
      <c r="AI456" s="12" t="s">
        <v>955</v>
      </c>
    </row>
    <row r="457" customFormat="false" ht="15" hidden="false" customHeight="false" outlineLevel="0" collapsed="false">
      <c r="A457" s="8" t="s">
        <v>999</v>
      </c>
      <c r="B457" s="9" t="s">
        <v>1000</v>
      </c>
      <c r="C457" s="8" t="s">
        <v>953</v>
      </c>
      <c r="D457" s="12" t="s">
        <v>954</v>
      </c>
      <c r="E457" s="10" t="str">
        <f aca="true">IFERROR(IF(INDEX(INDIRECT("'"&amp;$AI457&amp;"'!$E$2:$E$327"),MATCH($A457,INDIRECT("'"&amp;$AI457&amp;"'!$A$2:$A$327"),0))="","",INDEX(INDIRECT("'"&amp;$AI457&amp;"'!$E$2:$E$327"),MATCH($A457,INDIRECT("'"&amp;$AI457&amp;"'!$A$2:$A$327"),0))),"")</f>
        <v/>
      </c>
      <c r="F457" s="9" t="str">
        <f aca="false">IF($E457="","",IFERROR(INDEX(担当者マスタ!$B$2:$B$101,MATCH($E457,担当者マスタ!$A$2:$A$101,0)),"※マスタ未登録"))</f>
        <v/>
      </c>
      <c r="G457" s="11" t="n">
        <v>151.846</v>
      </c>
      <c r="H457" s="11" t="n">
        <v>158.849</v>
      </c>
      <c r="I457" s="11" t="n">
        <v>255.652</v>
      </c>
      <c r="J457" s="11" t="n">
        <v>72.441</v>
      </c>
      <c r="K457" s="11" t="n">
        <v>126.472</v>
      </c>
      <c r="L457" s="11" t="n">
        <v>208.1</v>
      </c>
      <c r="M457" s="11" t="n">
        <f aca="false">SUM(G457:L457)</f>
        <v>973.36</v>
      </c>
      <c r="N457" s="11" t="n">
        <v>56.845</v>
      </c>
      <c r="O457" s="11" t="n">
        <v>54.882</v>
      </c>
      <c r="P457" s="11" t="n">
        <v>86.801</v>
      </c>
      <c r="Q457" s="11" t="n">
        <v>24.978</v>
      </c>
      <c r="R457" s="11" t="n">
        <v>44.396</v>
      </c>
      <c r="S457" s="11" t="n">
        <v>68.906</v>
      </c>
      <c r="T457" s="11" t="n">
        <f aca="false">SUM(N457:S457)</f>
        <v>336.808</v>
      </c>
      <c r="U457" s="11" t="n">
        <v>200.554</v>
      </c>
      <c r="V457" s="11" t="n">
        <v>0</v>
      </c>
      <c r="W457" s="11" t="n">
        <v>0</v>
      </c>
      <c r="X457" s="11" t="n">
        <v>0</v>
      </c>
      <c r="Y457" s="11" t="n">
        <v>0</v>
      </c>
      <c r="Z457" s="11" t="n">
        <v>0</v>
      </c>
      <c r="AA457" s="11" t="n">
        <f aca="false">SUM(U457:Z457)</f>
        <v>200.554</v>
      </c>
      <c r="AB457" s="11" t="n">
        <v>76.958</v>
      </c>
      <c r="AC457" s="11" t="n">
        <v>0</v>
      </c>
      <c r="AD457" s="11" t="n">
        <v>0</v>
      </c>
      <c r="AE457" s="11" t="n">
        <v>0</v>
      </c>
      <c r="AF457" s="11" t="n">
        <v>0</v>
      </c>
      <c r="AG457" s="11" t="n">
        <v>0</v>
      </c>
      <c r="AH457" s="11" t="n">
        <f aca="false">SUM(AB457:AG457)</f>
        <v>76.958</v>
      </c>
      <c r="AI457" s="12" t="s">
        <v>955</v>
      </c>
    </row>
    <row r="458" customFormat="false" ht="15" hidden="false" customHeight="false" outlineLevel="0" collapsed="false">
      <c r="A458" s="8" t="s">
        <v>1001</v>
      </c>
      <c r="B458" s="12" t="s">
        <v>1002</v>
      </c>
      <c r="C458" s="8" t="s">
        <v>953</v>
      </c>
      <c r="D458" s="12" t="s">
        <v>954</v>
      </c>
      <c r="E458" s="10" t="str">
        <f aca="true">IFERROR(IF(INDEX(INDIRECT("'"&amp;$AI458&amp;"'!$E$2:$E$327"),MATCH($A458,INDIRECT("'"&amp;$AI458&amp;"'!$A$2:$A$327"),0))="","",INDEX(INDIRECT("'"&amp;$AI458&amp;"'!$E$2:$E$327"),MATCH($A458,INDIRECT("'"&amp;$AI458&amp;"'!$A$2:$A$327"),0))),"")</f>
        <v/>
      </c>
      <c r="F458" s="9" t="str">
        <f aca="false">IF($E458="","",IFERROR(INDEX(担当者マスタ!$B$2:$B$101,MATCH($E458,担当者マスタ!$A$2:$A$101,0)),"※マスタ未登録"))</f>
        <v/>
      </c>
      <c r="G458" s="11" t="n">
        <v>1125.412</v>
      </c>
      <c r="H458" s="11" t="n">
        <v>972.148</v>
      </c>
      <c r="I458" s="11" t="n">
        <v>1842.656</v>
      </c>
      <c r="J458" s="11" t="n">
        <v>847.181</v>
      </c>
      <c r="K458" s="11" t="n">
        <v>654.894</v>
      </c>
      <c r="L458" s="11" t="n">
        <v>692.149</v>
      </c>
      <c r="M458" s="11" t="n">
        <f aca="false">SUM(G458:L458)</f>
        <v>6134.44</v>
      </c>
      <c r="N458" s="11" t="n">
        <v>228.169</v>
      </c>
      <c r="O458" s="11" t="n">
        <v>212.65</v>
      </c>
      <c r="P458" s="11" t="n">
        <v>405.229</v>
      </c>
      <c r="Q458" s="11" t="n">
        <v>200.955</v>
      </c>
      <c r="R458" s="11" t="n">
        <v>140.876</v>
      </c>
      <c r="S458" s="11" t="n">
        <v>150.273</v>
      </c>
      <c r="T458" s="11" t="n">
        <f aca="false">SUM(N458:S458)</f>
        <v>1338.152</v>
      </c>
      <c r="U458" s="11" t="n">
        <v>1367.103</v>
      </c>
      <c r="V458" s="11" t="n">
        <v>959.491</v>
      </c>
      <c r="W458" s="11" t="n">
        <v>1812.051</v>
      </c>
      <c r="X458" s="11" t="n">
        <v>713.896</v>
      </c>
      <c r="Y458" s="11" t="n">
        <v>1209.097</v>
      </c>
      <c r="Z458" s="11" t="n">
        <v>986.094</v>
      </c>
      <c r="AA458" s="11" t="n">
        <f aca="false">SUM(U458:Z458)</f>
        <v>7047.732</v>
      </c>
      <c r="AB458" s="11" t="n">
        <v>310.696</v>
      </c>
      <c r="AC458" s="11" t="n">
        <v>219.11</v>
      </c>
      <c r="AD458" s="11" t="n">
        <v>428.294</v>
      </c>
      <c r="AE458" s="11" t="n">
        <v>166.9322</v>
      </c>
      <c r="AF458" s="11" t="n">
        <v>291.642</v>
      </c>
      <c r="AG458" s="11" t="n">
        <v>243.016</v>
      </c>
      <c r="AH458" s="11" t="n">
        <f aca="false">SUM(AB458:AG458)</f>
        <v>1659.6902</v>
      </c>
      <c r="AI458" s="12" t="s">
        <v>955</v>
      </c>
    </row>
    <row r="459" customFormat="false" ht="15" hidden="false" customHeight="false" outlineLevel="0" collapsed="false">
      <c r="A459" s="8" t="s">
        <v>1003</v>
      </c>
      <c r="B459" s="12" t="s">
        <v>1004</v>
      </c>
      <c r="C459" s="8" t="s">
        <v>953</v>
      </c>
      <c r="D459" s="12" t="s">
        <v>954</v>
      </c>
      <c r="E459" s="10" t="str">
        <f aca="true">IFERROR(IF(INDEX(INDIRECT("'"&amp;$AI459&amp;"'!$E$2:$E$327"),MATCH($A459,INDIRECT("'"&amp;$AI459&amp;"'!$A$2:$A$327"),0))="","",INDEX(INDIRECT("'"&amp;$AI459&amp;"'!$E$2:$E$327"),MATCH($A459,INDIRECT("'"&amp;$AI459&amp;"'!$A$2:$A$327"),0))),"")</f>
        <v/>
      </c>
      <c r="F459" s="9" t="str">
        <f aca="false">IF($E459="","",IFERROR(INDEX(担当者マスタ!$B$2:$B$101,MATCH($E459,担当者マスタ!$A$2:$A$101,0)),"※マスタ未登録"))</f>
        <v/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908.2</v>
      </c>
      <c r="M459" s="11" t="n">
        <f aca="false">SUM(G459:L459)</f>
        <v>908.2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272.81</v>
      </c>
      <c r="T459" s="11" t="n">
        <f aca="false">SUM(N459:S459)</f>
        <v>272.81</v>
      </c>
      <c r="U459" s="11" t="n">
        <v>0</v>
      </c>
      <c r="V459" s="11" t="n">
        <v>0</v>
      </c>
      <c r="W459" s="11" t="n">
        <v>0</v>
      </c>
      <c r="X459" s="11" t="n">
        <v>0</v>
      </c>
      <c r="Y459" s="11" t="n">
        <v>0</v>
      </c>
      <c r="Z459" s="11" t="n">
        <v>0</v>
      </c>
      <c r="AA459" s="11" t="n">
        <f aca="false">SUM(U459:Z459)</f>
        <v>0</v>
      </c>
      <c r="AB459" s="11" t="n">
        <v>0</v>
      </c>
      <c r="AC459" s="11" t="n">
        <v>0</v>
      </c>
      <c r="AD459" s="11" t="n">
        <v>0</v>
      </c>
      <c r="AE459" s="11" t="n">
        <v>0</v>
      </c>
      <c r="AF459" s="11" t="n">
        <v>0</v>
      </c>
      <c r="AG459" s="11" t="n">
        <v>0</v>
      </c>
      <c r="AH459" s="11" t="n">
        <f aca="false">SUM(AB459:AG459)</f>
        <v>0</v>
      </c>
      <c r="AI459" s="12" t="s">
        <v>955</v>
      </c>
    </row>
    <row r="460" customFormat="false" ht="15" hidden="false" customHeight="false" outlineLevel="0" collapsed="false">
      <c r="A460" s="8" t="s">
        <v>1005</v>
      </c>
      <c r="B460" s="12" t="s">
        <v>1006</v>
      </c>
      <c r="C460" s="8" t="s">
        <v>953</v>
      </c>
      <c r="D460" s="12" t="s">
        <v>954</v>
      </c>
      <c r="E460" s="10" t="str">
        <f aca="true">IFERROR(IF(INDEX(INDIRECT("'"&amp;$AI460&amp;"'!$E$2:$E$327"),MATCH($A460,INDIRECT("'"&amp;$AI460&amp;"'!$A$2:$A$327"),0))="","",INDEX(INDIRECT("'"&amp;$AI460&amp;"'!$E$2:$E$327"),MATCH($A460,INDIRECT("'"&amp;$AI460&amp;"'!$A$2:$A$327"),0))),"")</f>
        <v/>
      </c>
      <c r="F460" s="9" t="str">
        <f aca="false">IF($E460="","",IFERROR(INDEX(担当者マスタ!$B$2:$B$101,MATCH($E460,担当者マスタ!$A$2:$A$101,0)),"※マスタ未登録"))</f>
        <v/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65.2</v>
      </c>
      <c r="L460" s="11" t="n">
        <v>0</v>
      </c>
      <c r="M460" s="11" t="n">
        <f aca="false">SUM(G460:L460)</f>
        <v>65.2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17</v>
      </c>
      <c r="S460" s="11" t="n">
        <v>0</v>
      </c>
      <c r="T460" s="11" t="n">
        <f aca="false">SUM(N460:S460)</f>
        <v>17</v>
      </c>
      <c r="U460" s="11" t="n">
        <v>0</v>
      </c>
      <c r="V460" s="11" t="n">
        <v>0</v>
      </c>
      <c r="W460" s="11" t="n">
        <v>0</v>
      </c>
      <c r="X460" s="11" t="n">
        <v>22.82</v>
      </c>
      <c r="Y460" s="11" t="n">
        <v>0</v>
      </c>
      <c r="Z460" s="11" t="n">
        <v>0</v>
      </c>
      <c r="AA460" s="11" t="n">
        <f aca="false">SUM(U460:Z460)</f>
        <v>22.82</v>
      </c>
      <c r="AB460" s="11" t="n">
        <v>0</v>
      </c>
      <c r="AC460" s="11" t="n">
        <v>0</v>
      </c>
      <c r="AD460" s="11" t="n">
        <v>0</v>
      </c>
      <c r="AE460" s="11" t="n">
        <v>5.95</v>
      </c>
      <c r="AF460" s="11" t="n">
        <v>0</v>
      </c>
      <c r="AG460" s="11" t="n">
        <v>0</v>
      </c>
      <c r="AH460" s="11" t="n">
        <f aca="false">SUM(AB460:AG460)</f>
        <v>5.95</v>
      </c>
      <c r="AI460" s="12" t="s">
        <v>955</v>
      </c>
    </row>
    <row r="461" customFormat="false" ht="15" hidden="false" customHeight="false" outlineLevel="0" collapsed="false">
      <c r="A461" s="8" t="s">
        <v>1007</v>
      </c>
      <c r="B461" s="9" t="s">
        <v>1008</v>
      </c>
      <c r="C461" s="8" t="s">
        <v>953</v>
      </c>
      <c r="D461" s="12" t="s">
        <v>954</v>
      </c>
      <c r="E461" s="10" t="str">
        <f aca="true">IFERROR(IF(INDEX(INDIRECT("'"&amp;$AI461&amp;"'!$E$2:$E$327"),MATCH($A461,INDIRECT("'"&amp;$AI461&amp;"'!$A$2:$A$327"),0))="","",INDEX(INDIRECT("'"&amp;$AI461&amp;"'!$E$2:$E$327"),MATCH($A461,INDIRECT("'"&amp;$AI461&amp;"'!$A$2:$A$327"),0))),"")</f>
        <v/>
      </c>
      <c r="F461" s="9" t="str">
        <f aca="false">IF($E461="","",IFERROR(INDEX(担当者マスタ!$B$2:$B$101,MATCH($E461,担当者マスタ!$A$2:$A$101,0)),"※マスタ未登録"))</f>
        <v/>
      </c>
      <c r="G461" s="11" t="n">
        <v>306.953</v>
      </c>
      <c r="H461" s="11" t="n">
        <v>238.291</v>
      </c>
      <c r="I461" s="11" t="n">
        <v>284.161</v>
      </c>
      <c r="J461" s="11" t="n">
        <v>161.792</v>
      </c>
      <c r="K461" s="11" t="n">
        <v>243.868</v>
      </c>
      <c r="L461" s="11" t="n">
        <v>249.665</v>
      </c>
      <c r="M461" s="11" t="n">
        <f aca="false">SUM(G461:L461)</f>
        <v>1484.73</v>
      </c>
      <c r="N461" s="11" t="n">
        <v>115.706</v>
      </c>
      <c r="O461" s="11" t="n">
        <v>86.424</v>
      </c>
      <c r="P461" s="11" t="n">
        <v>100.617</v>
      </c>
      <c r="Q461" s="11" t="n">
        <v>57.326</v>
      </c>
      <c r="R461" s="11" t="n">
        <v>87.632</v>
      </c>
      <c r="S461" s="11" t="n">
        <v>96.685</v>
      </c>
      <c r="T461" s="11" t="n">
        <f aca="false">SUM(N461:S461)</f>
        <v>544.39</v>
      </c>
      <c r="U461" s="11" t="n">
        <v>376.767</v>
      </c>
      <c r="V461" s="11" t="n">
        <v>0</v>
      </c>
      <c r="W461" s="11" t="n">
        <v>0</v>
      </c>
      <c r="X461" s="11" t="n">
        <v>0</v>
      </c>
      <c r="Y461" s="11" t="n">
        <v>0</v>
      </c>
      <c r="Z461" s="11" t="n">
        <v>0</v>
      </c>
      <c r="AA461" s="11" t="n">
        <f aca="false">SUM(U461:Z461)</f>
        <v>376.767</v>
      </c>
      <c r="AB461" s="11" t="n">
        <v>140.631</v>
      </c>
      <c r="AC461" s="11" t="n">
        <v>0</v>
      </c>
      <c r="AD461" s="11" t="n">
        <v>0</v>
      </c>
      <c r="AE461" s="11" t="n">
        <v>0</v>
      </c>
      <c r="AF461" s="11" t="n">
        <v>0</v>
      </c>
      <c r="AG461" s="11" t="n">
        <v>0</v>
      </c>
      <c r="AH461" s="11" t="n">
        <f aca="false">SUM(AB461:AG461)</f>
        <v>140.631</v>
      </c>
      <c r="AI461" s="12" t="s">
        <v>955</v>
      </c>
    </row>
    <row r="462" customFormat="false" ht="15" hidden="false" customHeight="false" outlineLevel="0" collapsed="false">
      <c r="A462" s="8" t="s">
        <v>1009</v>
      </c>
      <c r="B462" s="9" t="s">
        <v>1010</v>
      </c>
      <c r="C462" s="8" t="s">
        <v>953</v>
      </c>
      <c r="D462" s="12" t="s">
        <v>954</v>
      </c>
      <c r="E462" s="10" t="str">
        <f aca="true">IFERROR(IF(INDEX(INDIRECT("'"&amp;$AI462&amp;"'!$E$2:$E$327"),MATCH($A462,INDIRECT("'"&amp;$AI462&amp;"'!$A$2:$A$327"),0))="","",INDEX(INDIRECT("'"&amp;$AI462&amp;"'!$E$2:$E$327"),MATCH($A462,INDIRECT("'"&amp;$AI462&amp;"'!$A$2:$A$327"),0))),"")</f>
        <v/>
      </c>
      <c r="F462" s="9" t="str">
        <f aca="false">IF($E462="","",IFERROR(INDEX(担当者マスタ!$B$2:$B$101,MATCH($E462,担当者マスタ!$A$2:$A$101,0)),"※マスタ未登録"))</f>
        <v/>
      </c>
      <c r="G462" s="11" t="n">
        <v>67.479</v>
      </c>
      <c r="H462" s="11" t="n">
        <v>75.377</v>
      </c>
      <c r="I462" s="11" t="n">
        <v>212.164</v>
      </c>
      <c r="J462" s="11" t="n">
        <v>8.444</v>
      </c>
      <c r="K462" s="11" t="n">
        <v>36.22</v>
      </c>
      <c r="L462" s="11" t="n">
        <v>126.064</v>
      </c>
      <c r="M462" s="11" t="n">
        <f aca="false">SUM(G462:L462)</f>
        <v>525.748</v>
      </c>
      <c r="N462" s="11" t="n">
        <v>25.783</v>
      </c>
      <c r="O462" s="11" t="n">
        <v>23.298</v>
      </c>
      <c r="P462" s="11" t="n">
        <v>64.622</v>
      </c>
      <c r="Q462" s="11" t="n">
        <v>2.524</v>
      </c>
      <c r="R462" s="11" t="n">
        <v>10.21</v>
      </c>
      <c r="S462" s="11" t="n">
        <v>39.668</v>
      </c>
      <c r="T462" s="11" t="n">
        <f aca="false">SUM(N462:S462)</f>
        <v>166.105</v>
      </c>
      <c r="U462" s="11" t="n">
        <v>148.43</v>
      </c>
      <c r="V462" s="11" t="n">
        <v>0</v>
      </c>
      <c r="W462" s="11" t="n">
        <v>0</v>
      </c>
      <c r="X462" s="11" t="n">
        <v>0</v>
      </c>
      <c r="Y462" s="11" t="n">
        <v>0</v>
      </c>
      <c r="Z462" s="11" t="n">
        <v>0</v>
      </c>
      <c r="AA462" s="11" t="n">
        <f aca="false">SUM(U462:Z462)</f>
        <v>148.43</v>
      </c>
      <c r="AB462" s="11" t="n">
        <v>45.86</v>
      </c>
      <c r="AC462" s="11" t="n">
        <v>0</v>
      </c>
      <c r="AD462" s="11" t="n">
        <v>0</v>
      </c>
      <c r="AE462" s="11" t="n">
        <v>0</v>
      </c>
      <c r="AF462" s="11" t="n">
        <v>0</v>
      </c>
      <c r="AG462" s="11" t="n">
        <v>0</v>
      </c>
      <c r="AH462" s="11" t="n">
        <f aca="false">SUM(AB462:AG462)</f>
        <v>45.86</v>
      </c>
      <c r="AI462" s="12" t="s">
        <v>955</v>
      </c>
    </row>
    <row r="463" customFormat="false" ht="15" hidden="false" customHeight="false" outlineLevel="0" collapsed="false">
      <c r="A463" s="8" t="s">
        <v>1011</v>
      </c>
      <c r="B463" s="9" t="s">
        <v>1012</v>
      </c>
      <c r="C463" s="8" t="s">
        <v>953</v>
      </c>
      <c r="D463" s="12" t="s">
        <v>954</v>
      </c>
      <c r="E463" s="10" t="str">
        <f aca="true">IFERROR(IF(INDEX(INDIRECT("'"&amp;$AI463&amp;"'!$E$2:$E$327"),MATCH($A463,INDIRECT("'"&amp;$AI463&amp;"'!$A$2:$A$327"),0))="","",INDEX(INDIRECT("'"&amp;$AI463&amp;"'!$E$2:$E$327"),MATCH($A463,INDIRECT("'"&amp;$AI463&amp;"'!$A$2:$A$327"),0))),"")</f>
        <v/>
      </c>
      <c r="F463" s="9" t="str">
        <f aca="false">IF($E463="","",IFERROR(INDEX(担当者マスタ!$B$2:$B$101,MATCH($E463,担当者マスタ!$A$2:$A$101,0)),"※マスタ未登録"))</f>
        <v/>
      </c>
      <c r="G463" s="11" t="n">
        <v>41.701</v>
      </c>
      <c r="H463" s="11" t="n">
        <v>74.721</v>
      </c>
      <c r="I463" s="11" t="n">
        <v>77.797</v>
      </c>
      <c r="J463" s="11" t="n">
        <v>39.088</v>
      </c>
      <c r="K463" s="11" t="n">
        <v>40.381</v>
      </c>
      <c r="L463" s="11" t="n">
        <v>44.073</v>
      </c>
      <c r="M463" s="11" t="n">
        <f aca="false">SUM(G463:L463)</f>
        <v>317.761</v>
      </c>
      <c r="N463" s="11" t="n">
        <v>15.959</v>
      </c>
      <c r="O463" s="11" t="n">
        <v>26.615</v>
      </c>
      <c r="P463" s="11" t="n">
        <v>27.878</v>
      </c>
      <c r="Q463" s="11" t="n">
        <v>14.706</v>
      </c>
      <c r="R463" s="11" t="n">
        <v>16.592</v>
      </c>
      <c r="S463" s="11" t="n">
        <v>15.28</v>
      </c>
      <c r="T463" s="11" t="n">
        <f aca="false">SUM(N463:S463)</f>
        <v>117.03</v>
      </c>
      <c r="U463" s="11" t="n">
        <v>49.257</v>
      </c>
      <c r="V463" s="11" t="n">
        <v>0</v>
      </c>
      <c r="W463" s="11" t="n">
        <v>0</v>
      </c>
      <c r="X463" s="11" t="n">
        <v>0</v>
      </c>
      <c r="Y463" s="11" t="n">
        <v>0</v>
      </c>
      <c r="Z463" s="11" t="n">
        <v>0</v>
      </c>
      <c r="AA463" s="11" t="n">
        <f aca="false">SUM(U463:Z463)</f>
        <v>49.257</v>
      </c>
      <c r="AB463" s="11" t="n">
        <v>18.186</v>
      </c>
      <c r="AC463" s="11" t="n">
        <v>0</v>
      </c>
      <c r="AD463" s="11" t="n">
        <v>0</v>
      </c>
      <c r="AE463" s="11" t="n">
        <v>0</v>
      </c>
      <c r="AF463" s="11" t="n">
        <v>0</v>
      </c>
      <c r="AG463" s="11" t="n">
        <v>0</v>
      </c>
      <c r="AH463" s="11" t="n">
        <f aca="false">SUM(AB463:AG463)</f>
        <v>18.186</v>
      </c>
      <c r="AI463" s="12" t="s">
        <v>955</v>
      </c>
    </row>
    <row r="464" customFormat="false" ht="15" hidden="false" customHeight="false" outlineLevel="0" collapsed="false">
      <c r="A464" s="8" t="s">
        <v>1013</v>
      </c>
      <c r="B464" s="9" t="s">
        <v>1014</v>
      </c>
      <c r="C464" s="8" t="s">
        <v>953</v>
      </c>
      <c r="D464" s="12" t="s">
        <v>954</v>
      </c>
      <c r="E464" s="10" t="str">
        <f aca="true">IFERROR(IF(INDEX(INDIRECT("'"&amp;$AI464&amp;"'!$E$2:$E$327"),MATCH($A464,INDIRECT("'"&amp;$AI464&amp;"'!$A$2:$A$327"),0))="","",INDEX(INDIRECT("'"&amp;$AI464&amp;"'!$E$2:$E$327"),MATCH($A464,INDIRECT("'"&amp;$AI464&amp;"'!$A$2:$A$327"),0))),"")</f>
        <v/>
      </c>
      <c r="F464" s="9" t="str">
        <f aca="false">IF($E464="","",IFERROR(INDEX(担当者マスタ!$B$2:$B$101,MATCH($E464,担当者マスタ!$A$2:$A$101,0)),"※マスタ未登録"))</f>
        <v/>
      </c>
      <c r="G464" s="11" t="n">
        <v>400.075</v>
      </c>
      <c r="H464" s="11" t="n">
        <v>412.362</v>
      </c>
      <c r="I464" s="11" t="n">
        <v>521.325</v>
      </c>
      <c r="J464" s="11" t="n">
        <v>295.525</v>
      </c>
      <c r="K464" s="11" t="n">
        <v>365.114</v>
      </c>
      <c r="L464" s="11" t="n">
        <v>406.766</v>
      </c>
      <c r="M464" s="11" t="n">
        <f aca="false">SUM(G464:L464)</f>
        <v>2401.167</v>
      </c>
      <c r="N464" s="11" t="n">
        <v>140.722</v>
      </c>
      <c r="O464" s="11" t="n">
        <v>139.356</v>
      </c>
      <c r="P464" s="11" t="n">
        <v>175.571</v>
      </c>
      <c r="Q464" s="11" t="n">
        <v>98.181</v>
      </c>
      <c r="R464" s="11" t="n">
        <v>124.447</v>
      </c>
      <c r="S464" s="11" t="n">
        <v>136.675</v>
      </c>
      <c r="T464" s="11" t="n">
        <f aca="false">SUM(N464:S464)</f>
        <v>814.952</v>
      </c>
      <c r="U464" s="11" t="n">
        <v>393.368</v>
      </c>
      <c r="V464" s="11" t="n">
        <v>0</v>
      </c>
      <c r="W464" s="11" t="n">
        <v>0</v>
      </c>
      <c r="X464" s="11" t="n">
        <v>0</v>
      </c>
      <c r="Y464" s="11" t="n">
        <v>0</v>
      </c>
      <c r="Z464" s="11" t="n">
        <v>0</v>
      </c>
      <c r="AA464" s="11" t="n">
        <f aca="false">SUM(U464:Z464)</f>
        <v>393.368</v>
      </c>
      <c r="AB464" s="11" t="n">
        <v>132.281</v>
      </c>
      <c r="AC464" s="11" t="n">
        <v>0</v>
      </c>
      <c r="AD464" s="11" t="n">
        <v>0</v>
      </c>
      <c r="AE464" s="11" t="n">
        <v>0</v>
      </c>
      <c r="AF464" s="11" t="n">
        <v>0</v>
      </c>
      <c r="AG464" s="11" t="n">
        <v>0</v>
      </c>
      <c r="AH464" s="11" t="n">
        <f aca="false">SUM(AB464:AG464)</f>
        <v>132.281</v>
      </c>
      <c r="AI464" s="12" t="s">
        <v>955</v>
      </c>
    </row>
    <row r="465" customFormat="false" ht="15" hidden="false" customHeight="false" outlineLevel="0" collapsed="false">
      <c r="A465" s="8" t="s">
        <v>1015</v>
      </c>
      <c r="B465" s="9" t="s">
        <v>1016</v>
      </c>
      <c r="C465" s="8" t="s">
        <v>953</v>
      </c>
      <c r="D465" s="12" t="s">
        <v>954</v>
      </c>
      <c r="E465" s="10" t="str">
        <f aca="true">IFERROR(IF(INDEX(INDIRECT("'"&amp;$AI465&amp;"'!$E$2:$E$327"),MATCH($A465,INDIRECT("'"&amp;$AI465&amp;"'!$A$2:$A$327"),0))="","",INDEX(INDIRECT("'"&amp;$AI465&amp;"'!$E$2:$E$327"),MATCH($A465,INDIRECT("'"&amp;$AI465&amp;"'!$A$2:$A$327"),0))),"")</f>
        <v/>
      </c>
      <c r="F465" s="9" t="str">
        <f aca="false">IF($E465="","",IFERROR(INDEX(担当者マスタ!$B$2:$B$101,MATCH($E465,担当者マスタ!$A$2:$A$101,0)),"※マスタ未登録"))</f>
        <v/>
      </c>
      <c r="G465" s="11" t="n">
        <v>317.11</v>
      </c>
      <c r="H465" s="11" t="n">
        <v>378.856</v>
      </c>
      <c r="I465" s="11" t="n">
        <v>497.821</v>
      </c>
      <c r="J465" s="11" t="n">
        <v>327.996</v>
      </c>
      <c r="K465" s="11" t="n">
        <v>301.605</v>
      </c>
      <c r="L465" s="11" t="n">
        <v>357.139</v>
      </c>
      <c r="M465" s="11" t="n">
        <f aca="false">SUM(G465:L465)</f>
        <v>2180.527</v>
      </c>
      <c r="N465" s="11" t="n">
        <v>123.406</v>
      </c>
      <c r="O465" s="11" t="n">
        <v>138.088</v>
      </c>
      <c r="P465" s="11" t="n">
        <v>178.883</v>
      </c>
      <c r="Q465" s="11" t="n">
        <v>117.77</v>
      </c>
      <c r="R465" s="11" t="n">
        <v>111.228</v>
      </c>
      <c r="S465" s="11" t="n">
        <v>133.273</v>
      </c>
      <c r="T465" s="11" t="n">
        <f aca="false">SUM(N465:S465)</f>
        <v>802.648</v>
      </c>
      <c r="U465" s="11" t="n">
        <v>278.526</v>
      </c>
      <c r="V465" s="11" t="n">
        <v>0</v>
      </c>
      <c r="W465" s="11" t="n">
        <v>0</v>
      </c>
      <c r="X465" s="11" t="n">
        <v>0</v>
      </c>
      <c r="Y465" s="11" t="n">
        <v>0</v>
      </c>
      <c r="Z465" s="11" t="n">
        <v>0</v>
      </c>
      <c r="AA465" s="11" t="n">
        <f aca="false">SUM(U465:Z465)</f>
        <v>278.526</v>
      </c>
      <c r="AB465" s="11" t="n">
        <v>104.352</v>
      </c>
      <c r="AC465" s="11" t="n">
        <v>0</v>
      </c>
      <c r="AD465" s="11" t="n">
        <v>0</v>
      </c>
      <c r="AE465" s="11" t="n">
        <v>0</v>
      </c>
      <c r="AF465" s="11" t="n">
        <v>0</v>
      </c>
      <c r="AG465" s="11" t="n">
        <v>0</v>
      </c>
      <c r="AH465" s="11" t="n">
        <f aca="false">SUM(AB465:AG465)</f>
        <v>104.352</v>
      </c>
      <c r="AI465" s="12" t="s">
        <v>955</v>
      </c>
    </row>
    <row r="466" customFormat="false" ht="15" hidden="false" customHeight="false" outlineLevel="0" collapsed="false">
      <c r="A466" s="8" t="s">
        <v>1017</v>
      </c>
      <c r="B466" s="9" t="s">
        <v>1018</v>
      </c>
      <c r="C466" s="8" t="s">
        <v>953</v>
      </c>
      <c r="D466" s="12" t="s">
        <v>954</v>
      </c>
      <c r="E466" s="10" t="str">
        <f aca="true">IFERROR(IF(INDEX(INDIRECT("'"&amp;$AI466&amp;"'!$E$2:$E$327"),MATCH($A466,INDIRECT("'"&amp;$AI466&amp;"'!$A$2:$A$327"),0))="","",INDEX(INDIRECT("'"&amp;$AI466&amp;"'!$E$2:$E$327"),MATCH($A466,INDIRECT("'"&amp;$AI466&amp;"'!$A$2:$A$327"),0))),"")</f>
        <v/>
      </c>
      <c r="F466" s="9" t="str">
        <f aca="false">IF($E466="","",IFERROR(INDEX(担当者マスタ!$B$2:$B$101,MATCH($E466,担当者マスタ!$A$2:$A$101,0)),"※マスタ未登録"))</f>
        <v/>
      </c>
      <c r="G466" s="11" t="n">
        <v>88.196</v>
      </c>
      <c r="H466" s="11" t="n">
        <v>123.148</v>
      </c>
      <c r="I466" s="11" t="n">
        <v>186.668</v>
      </c>
      <c r="J466" s="11" t="n">
        <v>13.356</v>
      </c>
      <c r="K466" s="11" t="n">
        <v>65.198</v>
      </c>
      <c r="L466" s="11" t="n">
        <v>68.391</v>
      </c>
      <c r="M466" s="11" t="n">
        <f aca="false">SUM(G466:L466)</f>
        <v>544.957</v>
      </c>
      <c r="N466" s="11" t="n">
        <v>27.04</v>
      </c>
      <c r="O466" s="11" t="n">
        <v>40.92</v>
      </c>
      <c r="P466" s="11" t="n">
        <v>58.504</v>
      </c>
      <c r="Q466" s="11" t="n">
        <v>5.396</v>
      </c>
      <c r="R466" s="11" t="n">
        <v>24.954</v>
      </c>
      <c r="S466" s="11" t="n">
        <v>21.915</v>
      </c>
      <c r="T466" s="11" t="n">
        <f aca="false">SUM(N466:S466)</f>
        <v>178.729</v>
      </c>
      <c r="U466" s="11" t="n">
        <v>103.214</v>
      </c>
      <c r="V466" s="11" t="n">
        <v>58.616</v>
      </c>
      <c r="W466" s="11" t="n">
        <v>225.514</v>
      </c>
      <c r="X466" s="11" t="n">
        <v>15.256</v>
      </c>
      <c r="Y466" s="11" t="n">
        <v>77.552</v>
      </c>
      <c r="Z466" s="11" t="n">
        <v>52.59</v>
      </c>
      <c r="AA466" s="11" t="n">
        <f aca="false">SUM(U466:Z466)</f>
        <v>532.742</v>
      </c>
      <c r="AB466" s="11" t="n">
        <v>38.846</v>
      </c>
      <c r="AC466" s="11" t="n">
        <v>20.56</v>
      </c>
      <c r="AD466" s="11" t="n">
        <v>77.681</v>
      </c>
      <c r="AE466" s="11" t="n">
        <v>6.032</v>
      </c>
      <c r="AF466" s="11" t="n">
        <v>28.56</v>
      </c>
      <c r="AG466" s="11" t="n">
        <v>17.184</v>
      </c>
      <c r="AH466" s="11" t="n">
        <f aca="false">SUM(AB466:AG466)</f>
        <v>188.863</v>
      </c>
      <c r="AI466" s="12" t="s">
        <v>955</v>
      </c>
    </row>
    <row r="467" customFormat="false" ht="15" hidden="false" customHeight="false" outlineLevel="0" collapsed="false">
      <c r="A467" s="8" t="s">
        <v>1019</v>
      </c>
      <c r="B467" s="9" t="s">
        <v>1020</v>
      </c>
      <c r="C467" s="8" t="s">
        <v>953</v>
      </c>
      <c r="D467" s="12" t="s">
        <v>954</v>
      </c>
      <c r="E467" s="10" t="str">
        <f aca="true">IFERROR(IF(INDEX(INDIRECT("'"&amp;$AI467&amp;"'!$E$2:$E$327"),MATCH($A467,INDIRECT("'"&amp;$AI467&amp;"'!$A$2:$A$327"),0))="","",INDEX(INDIRECT("'"&amp;$AI467&amp;"'!$E$2:$E$327"),MATCH($A467,INDIRECT("'"&amp;$AI467&amp;"'!$A$2:$A$327"),0))),"")</f>
        <v/>
      </c>
      <c r="F467" s="9" t="str">
        <f aca="false">IF($E467="","",IFERROR(INDEX(担当者マスタ!$B$2:$B$101,MATCH($E467,担当者マスタ!$A$2:$A$101,0)),"※マスタ未登録"))</f>
        <v/>
      </c>
      <c r="G467" s="11" t="n">
        <v>20.4</v>
      </c>
      <c r="H467" s="11" t="n">
        <v>1.7</v>
      </c>
      <c r="I467" s="11" t="n">
        <v>5.1</v>
      </c>
      <c r="J467" s="11" t="n">
        <v>0</v>
      </c>
      <c r="K467" s="11" t="n">
        <v>0</v>
      </c>
      <c r="L467" s="11" t="n">
        <v>0</v>
      </c>
      <c r="M467" s="11" t="n">
        <f aca="false">SUM(G467:L467)</f>
        <v>27.2</v>
      </c>
      <c r="N467" s="11" t="n">
        <v>5.85</v>
      </c>
      <c r="O467" s="11" t="n">
        <v>0.35</v>
      </c>
      <c r="P467" s="11" t="n">
        <v>1.05</v>
      </c>
      <c r="Q467" s="11" t="n">
        <v>0</v>
      </c>
      <c r="R467" s="11" t="n">
        <v>0</v>
      </c>
      <c r="S467" s="11" t="n">
        <v>0</v>
      </c>
      <c r="T467" s="11" t="n">
        <f aca="false">SUM(N467:S467)</f>
        <v>7.25</v>
      </c>
      <c r="U467" s="11" t="n">
        <v>0.85</v>
      </c>
      <c r="V467" s="11" t="n">
        <v>0</v>
      </c>
      <c r="W467" s="11" t="n">
        <v>0</v>
      </c>
      <c r="X467" s="11" t="n">
        <v>0</v>
      </c>
      <c r="Y467" s="11" t="n">
        <v>0</v>
      </c>
      <c r="Z467" s="11" t="n">
        <v>0</v>
      </c>
      <c r="AA467" s="11" t="n">
        <f aca="false">SUM(U467:Z467)</f>
        <v>0.85</v>
      </c>
      <c r="AB467" s="11" t="n">
        <v>0.175</v>
      </c>
      <c r="AC467" s="11" t="n">
        <v>0</v>
      </c>
      <c r="AD467" s="11" t="n">
        <v>0</v>
      </c>
      <c r="AE467" s="11" t="n">
        <v>0</v>
      </c>
      <c r="AF467" s="11" t="n">
        <v>0</v>
      </c>
      <c r="AG467" s="11" t="n">
        <v>0</v>
      </c>
      <c r="AH467" s="11" t="n">
        <f aca="false">SUM(AB467:AG467)</f>
        <v>0.175</v>
      </c>
      <c r="AI467" s="12" t="s">
        <v>955</v>
      </c>
    </row>
    <row r="468" customFormat="false" ht="15" hidden="false" customHeight="false" outlineLevel="0" collapsed="false">
      <c r="A468" s="8" t="s">
        <v>1021</v>
      </c>
      <c r="B468" s="9" t="s">
        <v>1022</v>
      </c>
      <c r="C468" s="8" t="s">
        <v>953</v>
      </c>
      <c r="D468" s="12" t="s">
        <v>954</v>
      </c>
      <c r="E468" s="10" t="str">
        <f aca="true">IFERROR(IF(INDEX(INDIRECT("'"&amp;$AI468&amp;"'!$E$2:$E$327"),MATCH($A468,INDIRECT("'"&amp;$AI468&amp;"'!$A$2:$A$327"),0))="","",INDEX(INDIRECT("'"&amp;$AI468&amp;"'!$E$2:$E$327"),MATCH($A468,INDIRECT("'"&amp;$AI468&amp;"'!$A$2:$A$327"),0))),"")</f>
        <v/>
      </c>
      <c r="F468" s="9" t="str">
        <f aca="false">IF($E468="","",IFERROR(INDEX(担当者マスタ!$B$2:$B$101,MATCH($E468,担当者マスタ!$A$2:$A$101,0)),"※マスタ未登録"))</f>
        <v/>
      </c>
      <c r="G468" s="11" t="n">
        <v>0</v>
      </c>
      <c r="H468" s="11" t="n">
        <v>6.405</v>
      </c>
      <c r="I468" s="11" t="n">
        <v>0</v>
      </c>
      <c r="J468" s="11" t="n">
        <v>0</v>
      </c>
      <c r="K468" s="11" t="n">
        <v>0</v>
      </c>
      <c r="L468" s="11" t="n">
        <v>14.238</v>
      </c>
      <c r="M468" s="11" t="n">
        <f aca="false">SUM(G468:L468)</f>
        <v>20.643</v>
      </c>
      <c r="N468" s="11" t="n">
        <v>0</v>
      </c>
      <c r="O468" s="11" t="n">
        <v>1.26</v>
      </c>
      <c r="P468" s="11" t="n">
        <v>0</v>
      </c>
      <c r="Q468" s="11" t="n">
        <v>0</v>
      </c>
      <c r="R468" s="11" t="n">
        <v>0</v>
      </c>
      <c r="S468" s="11" t="n">
        <v>2.52</v>
      </c>
      <c r="T468" s="11" t="n">
        <f aca="false">SUM(N468:S468)</f>
        <v>3.78</v>
      </c>
      <c r="U468" s="11" t="n">
        <v>0</v>
      </c>
      <c r="V468" s="11" t="n">
        <v>23.358</v>
      </c>
      <c r="W468" s="11" t="n">
        <v>27.918</v>
      </c>
      <c r="X468" s="11" t="n">
        <v>0</v>
      </c>
      <c r="Y468" s="11" t="n">
        <v>0</v>
      </c>
      <c r="Z468" s="11" t="n">
        <v>0</v>
      </c>
      <c r="AA468" s="11" t="n">
        <f aca="false">SUM(U468:Z468)</f>
        <v>51.276</v>
      </c>
      <c r="AB468" s="11" t="n">
        <v>0</v>
      </c>
      <c r="AC468" s="11" t="n">
        <v>4.104</v>
      </c>
      <c r="AD468" s="11" t="n">
        <v>4.896</v>
      </c>
      <c r="AE468" s="11" t="n">
        <v>0</v>
      </c>
      <c r="AF468" s="11" t="n">
        <v>0</v>
      </c>
      <c r="AG468" s="11" t="n">
        <v>0</v>
      </c>
      <c r="AH468" s="11" t="n">
        <f aca="false">SUM(AB468:AG468)</f>
        <v>9</v>
      </c>
      <c r="AI468" s="12" t="s">
        <v>955</v>
      </c>
    </row>
    <row r="469" customFormat="false" ht="15" hidden="false" customHeight="false" outlineLevel="0" collapsed="false">
      <c r="A469" s="8" t="s">
        <v>1023</v>
      </c>
      <c r="B469" s="12" t="s">
        <v>1024</v>
      </c>
      <c r="C469" s="8" t="s">
        <v>953</v>
      </c>
      <c r="D469" s="12" t="s">
        <v>954</v>
      </c>
      <c r="E469" s="10" t="str">
        <f aca="true">IFERROR(IF(INDEX(INDIRECT("'"&amp;$AI469&amp;"'!$E$2:$E$327"),MATCH($A469,INDIRECT("'"&amp;$AI469&amp;"'!$A$2:$A$327"),0))="","",INDEX(INDIRECT("'"&amp;$AI469&amp;"'!$E$2:$E$327"),MATCH($A469,INDIRECT("'"&amp;$AI469&amp;"'!$A$2:$A$327"),0))),"")</f>
        <v/>
      </c>
      <c r="F469" s="9" t="str">
        <f aca="false">IF($E469="","",IFERROR(INDEX(担当者マスタ!$B$2:$B$101,MATCH($E469,担当者マスタ!$A$2:$A$101,0)),"※マスタ未登録"))</f>
        <v/>
      </c>
      <c r="G469" s="11" t="n">
        <v>115.266</v>
      </c>
      <c r="H469" s="11" t="n">
        <v>79.72</v>
      </c>
      <c r="I469" s="11" t="n">
        <v>90.726</v>
      </c>
      <c r="J469" s="11" t="n">
        <v>85.866</v>
      </c>
      <c r="K469" s="11" t="n">
        <v>92.932</v>
      </c>
      <c r="L469" s="11" t="n">
        <v>63.274</v>
      </c>
      <c r="M469" s="11" t="n">
        <f aca="false">SUM(G469:L469)</f>
        <v>527.784</v>
      </c>
      <c r="N469" s="11" t="n">
        <v>31.345</v>
      </c>
      <c r="O469" s="11" t="n">
        <v>22.536</v>
      </c>
      <c r="P469" s="11" t="n">
        <v>27.365</v>
      </c>
      <c r="Q469" s="11" t="n">
        <v>23.313</v>
      </c>
      <c r="R469" s="11" t="n">
        <v>27.692</v>
      </c>
      <c r="S469" s="11" t="n">
        <v>18.507</v>
      </c>
      <c r="T469" s="11" t="n">
        <f aca="false">SUM(N469:S469)</f>
        <v>150.758</v>
      </c>
      <c r="U469" s="11" t="n">
        <v>241.566</v>
      </c>
      <c r="V469" s="11" t="n">
        <v>110.936</v>
      </c>
      <c r="W469" s="11" t="n">
        <v>162.314</v>
      </c>
      <c r="X469" s="11" t="n">
        <v>144.048</v>
      </c>
      <c r="Y469" s="11" t="n">
        <v>164.841</v>
      </c>
      <c r="Z469" s="11" t="n">
        <v>159.804</v>
      </c>
      <c r="AA469" s="11" t="n">
        <f aca="false">SUM(U469:Z469)</f>
        <v>983.509</v>
      </c>
      <c r="AB469" s="11" t="n">
        <v>59.002</v>
      </c>
      <c r="AC469" s="11" t="n">
        <v>31.478</v>
      </c>
      <c r="AD469" s="11" t="n">
        <v>42.466</v>
      </c>
      <c r="AE469" s="11" t="n">
        <v>37.882</v>
      </c>
      <c r="AF469" s="11" t="n">
        <v>44.928</v>
      </c>
      <c r="AG469" s="11" t="n">
        <v>40.872</v>
      </c>
      <c r="AH469" s="11" t="n">
        <f aca="false">SUM(AB469:AG469)</f>
        <v>256.628</v>
      </c>
      <c r="AI469" s="12" t="s">
        <v>955</v>
      </c>
    </row>
    <row r="470" customFormat="false" ht="15" hidden="false" customHeight="false" outlineLevel="0" collapsed="false">
      <c r="A470" s="8" t="s">
        <v>1025</v>
      </c>
      <c r="B470" s="12" t="s">
        <v>1026</v>
      </c>
      <c r="C470" s="8" t="s">
        <v>953</v>
      </c>
      <c r="D470" s="12" t="s">
        <v>954</v>
      </c>
      <c r="E470" s="10" t="str">
        <f aca="true">IFERROR(IF(INDEX(INDIRECT("'"&amp;$AI470&amp;"'!$E$2:$E$327"),MATCH($A470,INDIRECT("'"&amp;$AI470&amp;"'!$A$2:$A$327"),0))="","",INDEX(INDIRECT("'"&amp;$AI470&amp;"'!$E$2:$E$327"),MATCH($A470,INDIRECT("'"&amp;$AI470&amp;"'!$A$2:$A$327"),0))),"")</f>
        <v/>
      </c>
      <c r="F470" s="9" t="str">
        <f aca="false">IF($E470="","",IFERROR(INDEX(担当者マスタ!$B$2:$B$101,MATCH($E470,担当者マスタ!$A$2:$A$101,0)),"※マスタ未登録"))</f>
        <v/>
      </c>
      <c r="G470" s="11" t="n">
        <v>0</v>
      </c>
      <c r="H470" s="11" t="n">
        <v>102.374</v>
      </c>
      <c r="I470" s="11" t="n">
        <v>87.734</v>
      </c>
      <c r="J470" s="11" t="n">
        <v>56.214</v>
      </c>
      <c r="K470" s="11" t="n">
        <v>93.216</v>
      </c>
      <c r="L470" s="11" t="n">
        <v>89.942</v>
      </c>
      <c r="M470" s="11" t="n">
        <f aca="false">SUM(G470:L470)</f>
        <v>429.48</v>
      </c>
      <c r="N470" s="11" t="n">
        <v>0</v>
      </c>
      <c r="O470" s="11" t="n">
        <v>13.538</v>
      </c>
      <c r="P470" s="11" t="n">
        <v>11.998</v>
      </c>
      <c r="Q470" s="11" t="n">
        <v>8.478</v>
      </c>
      <c r="R470" s="11" t="n">
        <v>14.016</v>
      </c>
      <c r="S470" s="11" t="n">
        <v>14.05</v>
      </c>
      <c r="T470" s="11" t="n">
        <f aca="false">SUM(N470:S470)</f>
        <v>62.08</v>
      </c>
      <c r="U470" s="11" t="n">
        <v>60.544</v>
      </c>
      <c r="V470" s="11" t="n">
        <v>103.584</v>
      </c>
      <c r="W470" s="11" t="n">
        <v>64.722</v>
      </c>
      <c r="X470" s="11" t="n">
        <v>83.918</v>
      </c>
      <c r="Y470" s="11" t="n">
        <v>37.476</v>
      </c>
      <c r="Z470" s="11" t="n">
        <v>37.476</v>
      </c>
      <c r="AA470" s="11" t="n">
        <f aca="false">SUM(U470:Z470)</f>
        <v>387.72</v>
      </c>
      <c r="AB470" s="11" t="n">
        <v>13.828</v>
      </c>
      <c r="AC470" s="11" t="n">
        <v>13.648</v>
      </c>
      <c r="AD470" s="11" t="n">
        <v>9.582</v>
      </c>
      <c r="AE470" s="11" t="n">
        <v>12.618</v>
      </c>
      <c r="AF470" s="11" t="n">
        <v>5.652</v>
      </c>
      <c r="AG470" s="11" t="n">
        <v>5.652</v>
      </c>
      <c r="AH470" s="11" t="n">
        <f aca="false">SUM(AB470:AG470)</f>
        <v>60.98</v>
      </c>
      <c r="AI470" s="12" t="s">
        <v>955</v>
      </c>
    </row>
    <row r="471" customFormat="false" ht="15" hidden="false" customHeight="false" outlineLevel="0" collapsed="false">
      <c r="A471" s="8" t="s">
        <v>1027</v>
      </c>
      <c r="B471" s="9" t="s">
        <v>1028</v>
      </c>
      <c r="C471" s="8" t="s">
        <v>953</v>
      </c>
      <c r="D471" s="12" t="s">
        <v>954</v>
      </c>
      <c r="E471" s="10" t="str">
        <f aca="true">IFERROR(IF(INDEX(INDIRECT("'"&amp;$AI471&amp;"'!$E$2:$E$327"),MATCH($A471,INDIRECT("'"&amp;$AI471&amp;"'!$A$2:$A$327"),0))="","",INDEX(INDIRECT("'"&amp;$AI471&amp;"'!$E$2:$E$327"),MATCH($A471,INDIRECT("'"&amp;$AI471&amp;"'!$A$2:$A$327"),0))),"")</f>
        <v/>
      </c>
      <c r="F471" s="9" t="str">
        <f aca="false">IF($E471="","",IFERROR(INDEX(担当者マスタ!$B$2:$B$101,MATCH($E471,担当者マスタ!$A$2:$A$101,0)),"※マスタ未登録"))</f>
        <v/>
      </c>
      <c r="G471" s="11" t="n">
        <v>6.95</v>
      </c>
      <c r="H471" s="11" t="n">
        <v>14.37</v>
      </c>
      <c r="I471" s="11" t="n">
        <v>42.62</v>
      </c>
      <c r="J471" s="11" t="n">
        <v>32.8</v>
      </c>
      <c r="K471" s="11" t="n">
        <v>44.65</v>
      </c>
      <c r="L471" s="11" t="n">
        <v>34.55</v>
      </c>
      <c r="M471" s="11" t="n">
        <f aca="false">SUM(G471:L471)</f>
        <v>175.94</v>
      </c>
      <c r="N471" s="11" t="n">
        <v>1.4</v>
      </c>
      <c r="O471" s="11" t="n">
        <v>2.92</v>
      </c>
      <c r="P471" s="11" t="n">
        <v>7.27</v>
      </c>
      <c r="Q471" s="11" t="n">
        <v>5.15</v>
      </c>
      <c r="R471" s="11" t="n">
        <v>8.705</v>
      </c>
      <c r="S471" s="11" t="n">
        <v>6.818</v>
      </c>
      <c r="T471" s="11" t="n">
        <f aca="false">SUM(N471:S471)</f>
        <v>32.263</v>
      </c>
      <c r="U471" s="11" t="n">
        <v>94.45</v>
      </c>
      <c r="V471" s="11" t="n">
        <v>82.52</v>
      </c>
      <c r="W471" s="11" t="n">
        <v>90.95</v>
      </c>
      <c r="X471" s="11" t="n">
        <v>0</v>
      </c>
      <c r="Y471" s="11" t="n">
        <v>13</v>
      </c>
      <c r="Z471" s="11" t="n">
        <v>39.7</v>
      </c>
      <c r="AA471" s="11" t="n">
        <f aca="false">SUM(U471:Z471)</f>
        <v>320.62</v>
      </c>
      <c r="AB471" s="11" t="n">
        <v>17.968</v>
      </c>
      <c r="AC471" s="11" t="n">
        <v>16.87</v>
      </c>
      <c r="AD471" s="11" t="n">
        <v>20.03</v>
      </c>
      <c r="AE471" s="11" t="n">
        <v>0</v>
      </c>
      <c r="AF471" s="11" t="n">
        <v>2.4</v>
      </c>
      <c r="AG471" s="11" t="n">
        <v>8</v>
      </c>
      <c r="AH471" s="11" t="n">
        <f aca="false">SUM(AB471:AG471)</f>
        <v>65.268</v>
      </c>
      <c r="AI471" s="12" t="s">
        <v>955</v>
      </c>
    </row>
    <row r="472" customFormat="false" ht="15" hidden="false" customHeight="false" outlineLevel="0" collapsed="false">
      <c r="A472" s="8" t="s">
        <v>1029</v>
      </c>
      <c r="B472" s="12" t="s">
        <v>1030</v>
      </c>
      <c r="C472" s="8" t="s">
        <v>953</v>
      </c>
      <c r="D472" s="12" t="s">
        <v>954</v>
      </c>
      <c r="E472" s="10" t="str">
        <f aca="true">IFERROR(IF(INDEX(INDIRECT("'"&amp;$AI472&amp;"'!$E$2:$E$327"),MATCH($A472,INDIRECT("'"&amp;$AI472&amp;"'!$A$2:$A$327"),0))="","",INDEX(INDIRECT("'"&amp;$AI472&amp;"'!$E$2:$E$327"),MATCH($A472,INDIRECT("'"&amp;$AI472&amp;"'!$A$2:$A$327"),0))),"")</f>
        <v/>
      </c>
      <c r="F472" s="9" t="str">
        <f aca="false">IF($E472="","",IFERROR(INDEX(担当者マスタ!$B$2:$B$101,MATCH($E472,担当者マスタ!$A$2:$A$101,0)),"※マスタ未登録"))</f>
        <v/>
      </c>
      <c r="G472" s="11" t="n">
        <v>217.42</v>
      </c>
      <c r="H472" s="11" t="n">
        <v>217.614</v>
      </c>
      <c r="I472" s="11" t="n">
        <v>416.096</v>
      </c>
      <c r="J472" s="11" t="n">
        <v>171.64</v>
      </c>
      <c r="K472" s="11" t="n">
        <v>414.82</v>
      </c>
      <c r="L472" s="11" t="n">
        <v>270.38</v>
      </c>
      <c r="M472" s="11" t="n">
        <f aca="false">SUM(G472:L472)</f>
        <v>1707.97</v>
      </c>
      <c r="N472" s="11" t="n">
        <v>42.034</v>
      </c>
      <c r="O472" s="11" t="n">
        <v>58.39</v>
      </c>
      <c r="P472" s="11" t="n">
        <v>89.274</v>
      </c>
      <c r="Q472" s="11" t="n">
        <v>41.585</v>
      </c>
      <c r="R472" s="11" t="n">
        <v>83.784</v>
      </c>
      <c r="S472" s="11" t="n">
        <v>51.992</v>
      </c>
      <c r="T472" s="11" t="n">
        <f aca="false">SUM(N472:S472)</f>
        <v>367.059</v>
      </c>
      <c r="U472" s="11" t="n">
        <v>136.42</v>
      </c>
      <c r="V472" s="11" t="n">
        <v>316.394</v>
      </c>
      <c r="W472" s="11" t="n">
        <v>661.798</v>
      </c>
      <c r="X472" s="11" t="n">
        <v>693.176</v>
      </c>
      <c r="Y472" s="11" t="n">
        <v>315.103</v>
      </c>
      <c r="Z472" s="11" t="n">
        <v>381.356</v>
      </c>
      <c r="AA472" s="11" t="n">
        <f aca="false">SUM(U472:Z472)</f>
        <v>2504.247</v>
      </c>
      <c r="AB472" s="11" t="n">
        <v>28.894</v>
      </c>
      <c r="AC472" s="11" t="n">
        <v>46.796</v>
      </c>
      <c r="AD472" s="11" t="n">
        <v>123.178</v>
      </c>
      <c r="AE472" s="11" t="n">
        <v>125.096</v>
      </c>
      <c r="AF472" s="11" t="n">
        <v>65.888</v>
      </c>
      <c r="AG472" s="11" t="n">
        <v>69.059</v>
      </c>
      <c r="AH472" s="11" t="n">
        <f aca="false">SUM(AB472:AG472)</f>
        <v>458.911</v>
      </c>
      <c r="AI472" s="12" t="s">
        <v>955</v>
      </c>
    </row>
    <row r="473" customFormat="false" ht="15" hidden="false" customHeight="false" outlineLevel="0" collapsed="false">
      <c r="A473" s="8" t="s">
        <v>1031</v>
      </c>
      <c r="B473" s="12" t="s">
        <v>1032</v>
      </c>
      <c r="C473" s="8" t="s">
        <v>953</v>
      </c>
      <c r="D473" s="12" t="s">
        <v>954</v>
      </c>
      <c r="E473" s="10" t="str">
        <f aca="true">IFERROR(IF(INDEX(INDIRECT("'"&amp;$AI473&amp;"'!$E$2:$E$327"),MATCH($A473,INDIRECT("'"&amp;$AI473&amp;"'!$A$2:$A$327"),0))="","",INDEX(INDIRECT("'"&amp;$AI473&amp;"'!$E$2:$E$327"),MATCH($A473,INDIRECT("'"&amp;$AI473&amp;"'!$A$2:$A$327"),0))),"")</f>
        <v/>
      </c>
      <c r="F473" s="9" t="str">
        <f aca="false">IF($E473="","",IFERROR(INDEX(担当者マスタ!$B$2:$B$101,MATCH($E473,担当者マスタ!$A$2:$A$101,0)),"※マスタ未登録"))</f>
        <v/>
      </c>
      <c r="G473" s="11" t="n">
        <v>1960</v>
      </c>
      <c r="H473" s="11" t="n">
        <v>58.5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f aca="false">SUM(G473:L473)</f>
        <v>2018.5</v>
      </c>
      <c r="N473" s="11" t="n">
        <v>360</v>
      </c>
      <c r="O473" s="11" t="n">
        <v>11.7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f aca="false">SUM(N473:S473)</f>
        <v>371.7</v>
      </c>
      <c r="U473" s="11" t="n">
        <v>0</v>
      </c>
      <c r="V473" s="11" t="n">
        <v>0</v>
      </c>
      <c r="W473" s="11" t="n">
        <v>0</v>
      </c>
      <c r="X473" s="11" t="n">
        <v>0</v>
      </c>
      <c r="Y473" s="11" t="n">
        <v>0</v>
      </c>
      <c r="Z473" s="11" t="n">
        <v>0</v>
      </c>
      <c r="AA473" s="11" t="n">
        <f aca="false">SUM(U473:Z473)</f>
        <v>0</v>
      </c>
      <c r="AB473" s="11" t="n">
        <v>0</v>
      </c>
      <c r="AC473" s="11" t="n">
        <v>0</v>
      </c>
      <c r="AD473" s="11" t="n">
        <v>0</v>
      </c>
      <c r="AE473" s="11" t="n">
        <v>0</v>
      </c>
      <c r="AF473" s="11" t="n">
        <v>0</v>
      </c>
      <c r="AG473" s="11" t="n">
        <v>0</v>
      </c>
      <c r="AH473" s="11" t="n">
        <f aca="false">SUM(AB473:AG473)</f>
        <v>0</v>
      </c>
      <c r="AI473" s="12" t="s">
        <v>955</v>
      </c>
    </row>
    <row r="474" customFormat="false" ht="15" hidden="false" customHeight="false" outlineLevel="0" collapsed="false">
      <c r="A474" s="8" t="s">
        <v>1033</v>
      </c>
      <c r="B474" s="9" t="s">
        <v>1034</v>
      </c>
      <c r="C474" s="8" t="s">
        <v>953</v>
      </c>
      <c r="D474" s="12" t="s">
        <v>954</v>
      </c>
      <c r="E474" s="10" t="str">
        <f aca="true">IFERROR(IF(INDEX(INDIRECT("'"&amp;$AI474&amp;"'!$E$2:$E$327"),MATCH($A474,INDIRECT("'"&amp;$AI474&amp;"'!$A$2:$A$327"),0))="","",INDEX(INDIRECT("'"&amp;$AI474&amp;"'!$E$2:$E$327"),MATCH($A474,INDIRECT("'"&amp;$AI474&amp;"'!$A$2:$A$327"),0))),"")</f>
        <v/>
      </c>
      <c r="F474" s="9" t="str">
        <f aca="false">IF($E474="","",IFERROR(INDEX(担当者マスタ!$B$2:$B$101,MATCH($E474,担当者マスタ!$A$2:$A$101,0)),"※マスタ未登録"))</f>
        <v/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1003</v>
      </c>
      <c r="M474" s="11" t="n">
        <f aca="false">SUM(G474:L474)</f>
        <v>1003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1" t="n">
        <f aca="false">SUM(N474:S474)</f>
        <v>0</v>
      </c>
      <c r="U474" s="11" t="n">
        <v>0</v>
      </c>
      <c r="V474" s="11" t="n">
        <v>0</v>
      </c>
      <c r="W474" s="11" t="n">
        <v>0</v>
      </c>
      <c r="X474" s="11" t="n">
        <v>0</v>
      </c>
      <c r="Y474" s="11" t="n">
        <v>0</v>
      </c>
      <c r="Z474" s="11" t="n">
        <v>0</v>
      </c>
      <c r="AA474" s="11" t="n">
        <f aca="false">SUM(U474:Z474)</f>
        <v>0</v>
      </c>
      <c r="AB474" s="11" t="n">
        <v>0</v>
      </c>
      <c r="AC474" s="11" t="n">
        <v>0</v>
      </c>
      <c r="AD474" s="11" t="n">
        <v>0</v>
      </c>
      <c r="AE474" s="11" t="n">
        <v>0</v>
      </c>
      <c r="AF474" s="11" t="n">
        <v>0</v>
      </c>
      <c r="AG474" s="11" t="n">
        <v>0</v>
      </c>
      <c r="AH474" s="11" t="n">
        <f aca="false">SUM(AB474:AG474)</f>
        <v>0</v>
      </c>
      <c r="AI474" s="12" t="s">
        <v>955</v>
      </c>
    </row>
    <row r="475" customFormat="false" ht="15" hidden="false" customHeight="false" outlineLevel="0" collapsed="false">
      <c r="A475" s="8" t="s">
        <v>1035</v>
      </c>
      <c r="B475" s="12" t="s">
        <v>1036</v>
      </c>
      <c r="C475" s="8" t="s">
        <v>953</v>
      </c>
      <c r="D475" s="12" t="s">
        <v>954</v>
      </c>
      <c r="E475" s="10" t="str">
        <f aca="true">IFERROR(IF(INDEX(INDIRECT("'"&amp;$AI475&amp;"'!$E$2:$E$327"),MATCH($A475,INDIRECT("'"&amp;$AI475&amp;"'!$A$2:$A$327"),0))="","",INDEX(INDIRECT("'"&amp;$AI475&amp;"'!$E$2:$E$327"),MATCH($A475,INDIRECT("'"&amp;$AI475&amp;"'!$A$2:$A$327"),0))),"")</f>
        <v/>
      </c>
      <c r="F475" s="9" t="str">
        <f aca="false">IF($E475="","",IFERROR(INDEX(担当者マスタ!$B$2:$B$101,MATCH($E475,担当者マスタ!$A$2:$A$101,0)),"※マスタ未登録"))</f>
        <v/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f aca="false">SUM(G475:L475)</f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f aca="false">SUM(N475:S475)</f>
        <v>0</v>
      </c>
      <c r="U475" s="11" t="n">
        <v>37.5</v>
      </c>
      <c r="V475" s="11" t="n">
        <v>24.77</v>
      </c>
      <c r="W475" s="11" t="n">
        <v>0</v>
      </c>
      <c r="X475" s="11" t="n">
        <v>36.24</v>
      </c>
      <c r="Y475" s="11" t="n">
        <v>24</v>
      </c>
      <c r="Z475" s="11" t="n">
        <v>0</v>
      </c>
      <c r="AA475" s="11" t="n">
        <f aca="false">SUM(U475:Z475)</f>
        <v>122.51</v>
      </c>
      <c r="AB475" s="11" t="n">
        <v>7.795</v>
      </c>
      <c r="AC475" s="11" t="n">
        <v>3.933</v>
      </c>
      <c r="AD475" s="11" t="n">
        <v>0</v>
      </c>
      <c r="AE475" s="11" t="n">
        <v>8.04</v>
      </c>
      <c r="AF475" s="11" t="n">
        <v>2.5</v>
      </c>
      <c r="AG475" s="11" t="n">
        <v>0</v>
      </c>
      <c r="AH475" s="11" t="n">
        <f aca="false">SUM(AB475:AG475)</f>
        <v>22.268</v>
      </c>
      <c r="AI475" s="12" t="s">
        <v>955</v>
      </c>
    </row>
    <row r="476" customFormat="false" ht="15" hidden="false" customHeight="false" outlineLevel="0" collapsed="false">
      <c r="A476" s="8" t="s">
        <v>1037</v>
      </c>
      <c r="B476" s="12" t="s">
        <v>1038</v>
      </c>
      <c r="C476" s="8" t="s">
        <v>953</v>
      </c>
      <c r="D476" s="12" t="s">
        <v>954</v>
      </c>
      <c r="E476" s="10" t="str">
        <f aca="true">IFERROR(IF(INDEX(INDIRECT("'"&amp;$AI476&amp;"'!$E$2:$E$327"),MATCH($A476,INDIRECT("'"&amp;$AI476&amp;"'!$A$2:$A$327"),0))="","",INDEX(INDIRECT("'"&amp;$AI476&amp;"'!$E$2:$E$327"),MATCH($A476,INDIRECT("'"&amp;$AI476&amp;"'!$A$2:$A$327"),0))),"")</f>
        <v/>
      </c>
      <c r="F476" s="9" t="str">
        <f aca="false">IF($E476="","",IFERROR(INDEX(担当者マスタ!$B$2:$B$101,MATCH($E476,担当者マスタ!$A$2:$A$101,0)),"※マスタ未登録"))</f>
        <v/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f aca="false">SUM(G476:L476)</f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f aca="false">SUM(N476:S476)</f>
        <v>0</v>
      </c>
      <c r="U476" s="11" t="n">
        <v>0</v>
      </c>
      <c r="V476" s="11" t="n">
        <v>80.22</v>
      </c>
      <c r="W476" s="11" t="n">
        <v>1056.437</v>
      </c>
      <c r="X476" s="11" t="n">
        <v>854.19</v>
      </c>
      <c r="Y476" s="11" t="n">
        <v>44.42</v>
      </c>
      <c r="Z476" s="11" t="n">
        <v>95.015</v>
      </c>
      <c r="AA476" s="11" t="n">
        <f aca="false">SUM(U476:Z476)</f>
        <v>2130.282</v>
      </c>
      <c r="AB476" s="11" t="n">
        <v>0</v>
      </c>
      <c r="AC476" s="11" t="n">
        <v>17.698</v>
      </c>
      <c r="AD476" s="11" t="n">
        <v>233.966</v>
      </c>
      <c r="AE476" s="11" t="n">
        <v>150.115</v>
      </c>
      <c r="AF476" s="11" t="n">
        <v>9.565</v>
      </c>
      <c r="AG476" s="11" t="n">
        <v>19.275</v>
      </c>
      <c r="AH476" s="11" t="n">
        <f aca="false">SUM(AB476:AG476)</f>
        <v>430.619</v>
      </c>
      <c r="AI476" s="12" t="s">
        <v>955</v>
      </c>
    </row>
    <row r="477" customFormat="false" ht="15" hidden="false" customHeight="false" outlineLevel="0" collapsed="false">
      <c r="A477" s="8" t="s">
        <v>1039</v>
      </c>
      <c r="B477" s="12" t="s">
        <v>1040</v>
      </c>
      <c r="C477" s="8" t="s">
        <v>953</v>
      </c>
      <c r="D477" s="12" t="s">
        <v>954</v>
      </c>
      <c r="E477" s="10" t="str">
        <f aca="true">IFERROR(IF(INDEX(INDIRECT("'"&amp;$AI477&amp;"'!$E$2:$E$327"),MATCH($A477,INDIRECT("'"&amp;$AI477&amp;"'!$A$2:$A$327"),0))="","",INDEX(INDIRECT("'"&amp;$AI477&amp;"'!$E$2:$E$327"),MATCH($A477,INDIRECT("'"&amp;$AI477&amp;"'!$A$2:$A$327"),0))),"")</f>
        <v/>
      </c>
      <c r="F477" s="9" t="str">
        <f aca="false">IF($E477="","",IFERROR(INDEX(担当者マスタ!$B$2:$B$101,MATCH($E477,担当者マスタ!$A$2:$A$101,0)),"※マスタ未登録"))</f>
        <v/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f aca="false">SUM(G477:L477)</f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f aca="false">SUM(N477:S477)</f>
        <v>0</v>
      </c>
      <c r="U477" s="11" t="n">
        <v>0</v>
      </c>
      <c r="V477" s="11" t="n">
        <v>10.05</v>
      </c>
      <c r="W477" s="11" t="n">
        <v>70.37</v>
      </c>
      <c r="X477" s="11" t="n">
        <v>30.16</v>
      </c>
      <c r="Y477" s="11" t="n">
        <v>30.16</v>
      </c>
      <c r="Z477" s="11" t="n">
        <v>70.37</v>
      </c>
      <c r="AA477" s="11" t="n">
        <f aca="false">SUM(U477:Z477)</f>
        <v>211.11</v>
      </c>
      <c r="AB477" s="11" t="n">
        <v>0</v>
      </c>
      <c r="AC477" s="11" t="n">
        <v>1.35</v>
      </c>
      <c r="AD477" s="11" t="n">
        <v>13.67</v>
      </c>
      <c r="AE477" s="11" t="n">
        <v>6.16</v>
      </c>
      <c r="AF477" s="11" t="n">
        <v>6.16</v>
      </c>
      <c r="AG477" s="11" t="n">
        <v>13.67</v>
      </c>
      <c r="AH477" s="11" t="n">
        <f aca="false">SUM(AB477:AG477)</f>
        <v>41.01</v>
      </c>
      <c r="AI477" s="12" t="s">
        <v>955</v>
      </c>
    </row>
    <row r="478" customFormat="false" ht="15" hidden="false" customHeight="false" outlineLevel="0" collapsed="false">
      <c r="A478" s="8" t="s">
        <v>1041</v>
      </c>
      <c r="B478" s="12" t="s">
        <v>1042</v>
      </c>
      <c r="C478" s="8" t="s">
        <v>953</v>
      </c>
      <c r="D478" s="12" t="s">
        <v>954</v>
      </c>
      <c r="E478" s="10" t="str">
        <f aca="true">IFERROR(IF(INDEX(INDIRECT("'"&amp;$AI478&amp;"'!$E$2:$E$327"),MATCH($A478,INDIRECT("'"&amp;$AI478&amp;"'!$A$2:$A$327"),0))="","",INDEX(INDIRECT("'"&amp;$AI478&amp;"'!$E$2:$E$327"),MATCH($A478,INDIRECT("'"&amp;$AI478&amp;"'!$A$2:$A$327"),0))),"")</f>
        <v/>
      </c>
      <c r="F478" s="9" t="str">
        <f aca="false">IF($E478="","",IFERROR(INDEX(担当者マスタ!$B$2:$B$101,MATCH($E478,担当者マスタ!$A$2:$A$101,0)),"※マスタ未登録"))</f>
        <v/>
      </c>
      <c r="G478" s="11" t="n">
        <v>5.15</v>
      </c>
      <c r="H478" s="11" t="n">
        <v>16.58</v>
      </c>
      <c r="I478" s="11" t="n">
        <v>8.24</v>
      </c>
      <c r="J478" s="11" t="n">
        <v>10.3</v>
      </c>
      <c r="K478" s="11" t="n">
        <v>5.15</v>
      </c>
      <c r="L478" s="11" t="n">
        <v>0</v>
      </c>
      <c r="M478" s="11" t="n">
        <f aca="false">SUM(G478:L478)</f>
        <v>45.42</v>
      </c>
      <c r="N478" s="11" t="n">
        <v>1.9</v>
      </c>
      <c r="O478" s="11" t="n">
        <v>6.27</v>
      </c>
      <c r="P478" s="11" t="n">
        <v>3.04</v>
      </c>
      <c r="Q478" s="11" t="n">
        <v>3.8</v>
      </c>
      <c r="R478" s="11" t="n">
        <v>1.9</v>
      </c>
      <c r="S478" s="11" t="n">
        <v>0</v>
      </c>
      <c r="T478" s="11" t="n">
        <f aca="false">SUM(N478:S478)</f>
        <v>16.91</v>
      </c>
      <c r="U478" s="11" t="n">
        <v>2.06</v>
      </c>
      <c r="V478" s="11" t="n">
        <v>12.46</v>
      </c>
      <c r="W478" s="11" t="n">
        <v>4.12</v>
      </c>
      <c r="X478" s="11" t="n">
        <v>10.4</v>
      </c>
      <c r="Y478" s="11" t="n">
        <v>0</v>
      </c>
      <c r="Z478" s="11" t="n">
        <v>2.06</v>
      </c>
      <c r="AA478" s="11" t="n">
        <f aca="false">SUM(U478:Z478)</f>
        <v>31.1</v>
      </c>
      <c r="AB478" s="11" t="n">
        <v>0.76</v>
      </c>
      <c r="AC478" s="11" t="n">
        <v>4.75</v>
      </c>
      <c r="AD478" s="11" t="n">
        <v>1.52</v>
      </c>
      <c r="AE478" s="11" t="n">
        <v>3.99</v>
      </c>
      <c r="AF478" s="11" t="n">
        <v>0</v>
      </c>
      <c r="AG478" s="11" t="n">
        <v>0.76</v>
      </c>
      <c r="AH478" s="11" t="n">
        <f aca="false">SUM(AB478:AG478)</f>
        <v>11.78</v>
      </c>
      <c r="AI478" s="12" t="s">
        <v>955</v>
      </c>
    </row>
    <row r="479" customFormat="false" ht="15" hidden="false" customHeight="false" outlineLevel="0" collapsed="false">
      <c r="A479" s="8" t="s">
        <v>1043</v>
      </c>
      <c r="B479" s="9" t="s">
        <v>1044</v>
      </c>
      <c r="C479" s="8" t="s">
        <v>1045</v>
      </c>
      <c r="D479" s="12" t="s">
        <v>1046</v>
      </c>
      <c r="E479" s="10" t="str">
        <f aca="true">IFERROR(IF(INDEX(INDIRECT("'"&amp;$AI479&amp;"'!$E$2:$E$327"),MATCH($A479,INDIRECT("'"&amp;$AI479&amp;"'!$A$2:$A$327"),0))="","",INDEX(INDIRECT("'"&amp;$AI479&amp;"'!$E$2:$E$327"),MATCH($A479,INDIRECT("'"&amp;$AI479&amp;"'!$A$2:$A$327"),0))),"")</f>
        <v/>
      </c>
      <c r="F479" s="9" t="str">
        <f aca="false">IF($E479="","",IFERROR(INDEX(担当者マスタ!$B$2:$B$101,MATCH($E479,担当者マスタ!$A$2:$A$101,0)),"※マスタ未登録"))</f>
        <v/>
      </c>
      <c r="G479" s="11" t="n">
        <v>107.9</v>
      </c>
      <c r="H479" s="11" t="n">
        <v>284.92</v>
      </c>
      <c r="I479" s="11" t="n">
        <v>21</v>
      </c>
      <c r="J479" s="11" t="n">
        <v>0</v>
      </c>
      <c r="K479" s="11" t="n">
        <v>0</v>
      </c>
      <c r="L479" s="11" t="n">
        <v>0</v>
      </c>
      <c r="M479" s="11" t="n">
        <f aca="false">SUM(G479:L479)</f>
        <v>413.82</v>
      </c>
      <c r="N479" s="11" t="n">
        <v>26.9</v>
      </c>
      <c r="O479" s="11" t="n">
        <v>63.56</v>
      </c>
      <c r="P479" s="11" t="n">
        <v>4.5</v>
      </c>
      <c r="Q479" s="11" t="n">
        <v>0</v>
      </c>
      <c r="R479" s="11" t="n">
        <v>0</v>
      </c>
      <c r="S479" s="11" t="n">
        <v>0</v>
      </c>
      <c r="T479" s="11" t="n">
        <f aca="false">SUM(N479:S479)</f>
        <v>94.96</v>
      </c>
      <c r="U479" s="11" t="n">
        <v>4.12</v>
      </c>
      <c r="V479" s="11" t="n">
        <v>372.6</v>
      </c>
      <c r="W479" s="11" t="n">
        <v>0</v>
      </c>
      <c r="X479" s="11" t="n">
        <v>0</v>
      </c>
      <c r="Y479" s="11" t="n">
        <v>0</v>
      </c>
      <c r="Z479" s="11" t="n">
        <v>0</v>
      </c>
      <c r="AA479" s="11" t="n">
        <f aca="false">SUM(U479:Z479)</f>
        <v>376.72</v>
      </c>
      <c r="AB479" s="11" t="n">
        <v>0.6</v>
      </c>
      <c r="AC479" s="11" t="n">
        <v>82.8</v>
      </c>
      <c r="AD479" s="11" t="n">
        <v>0</v>
      </c>
      <c r="AE479" s="11" t="n">
        <v>0</v>
      </c>
      <c r="AF479" s="11" t="n">
        <v>0</v>
      </c>
      <c r="AG479" s="11" t="n">
        <v>0</v>
      </c>
      <c r="AH479" s="11" t="n">
        <f aca="false">SUM(AB479:AG479)</f>
        <v>83.4</v>
      </c>
      <c r="AI479" s="12" t="s">
        <v>955</v>
      </c>
    </row>
    <row r="480" customFormat="false" ht="15" hidden="false" customHeight="false" outlineLevel="0" collapsed="false">
      <c r="A480" s="8" t="s">
        <v>1047</v>
      </c>
      <c r="B480" s="9" t="s">
        <v>1048</v>
      </c>
      <c r="C480" s="8" t="s">
        <v>1045</v>
      </c>
      <c r="D480" s="12" t="s">
        <v>1046</v>
      </c>
      <c r="E480" s="10" t="str">
        <f aca="true">IFERROR(IF(INDEX(INDIRECT("'"&amp;$AI480&amp;"'!$E$2:$E$327"),MATCH($A480,INDIRECT("'"&amp;$AI480&amp;"'!$A$2:$A$327"),0))="","",INDEX(INDIRECT("'"&amp;$AI480&amp;"'!$E$2:$E$327"),MATCH($A480,INDIRECT("'"&amp;$AI480&amp;"'!$A$2:$A$327"),0))),"")</f>
        <v/>
      </c>
      <c r="F480" s="9" t="str">
        <f aca="false">IF($E480="","",IFERROR(INDEX(担当者マスタ!$B$2:$B$101,MATCH($E480,担当者マスタ!$A$2:$A$101,0)),"※マスタ未登録"))</f>
        <v/>
      </c>
      <c r="G480" s="11" t="n">
        <v>5891.895</v>
      </c>
      <c r="H480" s="11" t="n">
        <v>3313.479</v>
      </c>
      <c r="I480" s="11" t="n">
        <v>1635.806</v>
      </c>
      <c r="J480" s="11" t="n">
        <v>458.65</v>
      </c>
      <c r="K480" s="11" t="n">
        <v>577.895</v>
      </c>
      <c r="L480" s="11" t="n">
        <v>1235.012</v>
      </c>
      <c r="M480" s="11" t="n">
        <f aca="false">SUM(G480:L480)</f>
        <v>13112.737</v>
      </c>
      <c r="N480" s="11" t="n">
        <v>1233.4245</v>
      </c>
      <c r="O480" s="11" t="n">
        <v>1128.282</v>
      </c>
      <c r="P480" s="11" t="n">
        <v>516.536</v>
      </c>
      <c r="Q480" s="11" t="n">
        <v>75.1</v>
      </c>
      <c r="R480" s="11" t="n">
        <v>137.292</v>
      </c>
      <c r="S480" s="11" t="n">
        <v>187.208</v>
      </c>
      <c r="T480" s="11" t="n">
        <f aca="false">SUM(N480:S480)</f>
        <v>3277.8425</v>
      </c>
      <c r="U480" s="11" t="n">
        <v>3591.125</v>
      </c>
      <c r="V480" s="11" t="n">
        <v>1612.054</v>
      </c>
      <c r="W480" s="11" t="n">
        <v>1573.635</v>
      </c>
      <c r="X480" s="11" t="n">
        <v>436.426</v>
      </c>
      <c r="Y480" s="11" t="n">
        <v>1807.737</v>
      </c>
      <c r="Z480" s="11" t="n">
        <v>18723.57</v>
      </c>
      <c r="AA480" s="11" t="n">
        <f aca="false">SUM(U480:Z480)</f>
        <v>27744.547</v>
      </c>
      <c r="AB480" s="11" t="n">
        <v>920.9965</v>
      </c>
      <c r="AC480" s="11" t="n">
        <v>489.575</v>
      </c>
      <c r="AD480" s="11" t="n">
        <v>500.915</v>
      </c>
      <c r="AE480" s="11" t="n">
        <v>79.674</v>
      </c>
      <c r="AF480" s="11" t="n">
        <v>347.44</v>
      </c>
      <c r="AG480" s="11" t="n">
        <v>5663.174</v>
      </c>
      <c r="AH480" s="11" t="n">
        <f aca="false">SUM(AB480:AG480)</f>
        <v>8001.7745</v>
      </c>
      <c r="AI480" s="12" t="s">
        <v>955</v>
      </c>
    </row>
    <row r="481" customFormat="false" ht="15" hidden="false" customHeight="false" outlineLevel="0" collapsed="false">
      <c r="A481" s="8" t="s">
        <v>1049</v>
      </c>
      <c r="B481" s="9" t="s">
        <v>1050</v>
      </c>
      <c r="C481" s="8" t="s">
        <v>1045</v>
      </c>
      <c r="D481" s="12" t="s">
        <v>1046</v>
      </c>
      <c r="E481" s="10" t="str">
        <f aca="true">IFERROR(IF(INDEX(INDIRECT("'"&amp;$AI481&amp;"'!$E$2:$E$327"),MATCH($A481,INDIRECT("'"&amp;$AI481&amp;"'!$A$2:$A$327"),0))="","",INDEX(INDIRECT("'"&amp;$AI481&amp;"'!$E$2:$E$327"),MATCH($A481,INDIRECT("'"&amp;$AI481&amp;"'!$A$2:$A$327"),0))),"")</f>
        <v/>
      </c>
      <c r="F481" s="9" t="str">
        <f aca="false">IF($E481="","",IFERROR(INDEX(担当者マスタ!$B$2:$B$101,MATCH($E481,担当者マスタ!$A$2:$A$101,0)),"※マスタ未登録"))</f>
        <v/>
      </c>
      <c r="G481" s="11" t="n">
        <v>230.6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f aca="false">SUM(G481:L481)</f>
        <v>230.6</v>
      </c>
      <c r="N481" s="11" t="n">
        <v>38.346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f aca="false">SUM(N481:S481)</f>
        <v>38.346</v>
      </c>
      <c r="U481" s="11" t="n">
        <v>77.98</v>
      </c>
      <c r="V481" s="11" t="n">
        <v>46.025</v>
      </c>
      <c r="W481" s="11" t="n">
        <v>12</v>
      </c>
      <c r="X481" s="11" t="n">
        <v>0</v>
      </c>
      <c r="Y481" s="11" t="n">
        <v>0</v>
      </c>
      <c r="Z481" s="11" t="n">
        <v>0</v>
      </c>
      <c r="AA481" s="11" t="n">
        <f aca="false">SUM(U481:Z481)</f>
        <v>136.005</v>
      </c>
      <c r="AB481" s="11" t="n">
        <v>6.903</v>
      </c>
      <c r="AC481" s="11" t="n">
        <v>4.065</v>
      </c>
      <c r="AD481" s="11" t="n">
        <v>1.38</v>
      </c>
      <c r="AE481" s="11" t="n">
        <v>0</v>
      </c>
      <c r="AF481" s="11" t="n">
        <v>0</v>
      </c>
      <c r="AG481" s="11" t="n">
        <v>0</v>
      </c>
      <c r="AH481" s="11" t="n">
        <f aca="false">SUM(AB481:AG481)</f>
        <v>12.348</v>
      </c>
      <c r="AI481" s="12" t="s">
        <v>955</v>
      </c>
    </row>
    <row r="482" customFormat="false" ht="15" hidden="false" customHeight="false" outlineLevel="0" collapsed="false">
      <c r="A482" s="8" t="s">
        <v>1051</v>
      </c>
      <c r="B482" s="12" t="s">
        <v>1052</v>
      </c>
      <c r="C482" s="8" t="s">
        <v>1045</v>
      </c>
      <c r="D482" s="12" t="s">
        <v>1046</v>
      </c>
      <c r="E482" s="10" t="str">
        <f aca="true">IFERROR(IF(INDEX(INDIRECT("'"&amp;$AI482&amp;"'!$E$2:$E$327"),MATCH($A482,INDIRECT("'"&amp;$AI482&amp;"'!$A$2:$A$327"),0))="","",INDEX(INDIRECT("'"&amp;$AI482&amp;"'!$E$2:$E$327"),MATCH($A482,INDIRECT("'"&amp;$AI482&amp;"'!$A$2:$A$327"),0))),"")</f>
        <v/>
      </c>
      <c r="F482" s="9" t="str">
        <f aca="false">IF($E482="","",IFERROR(INDEX(担当者マスタ!$B$2:$B$101,MATCH($E482,担当者マスタ!$A$2:$A$101,0)),"※マスタ未登録"))</f>
        <v/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f aca="false">SUM(G482:L482)</f>
        <v>0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1" t="n">
        <f aca="false">SUM(N482:S482)</f>
        <v>0</v>
      </c>
      <c r="U482" s="11" t="n">
        <v>81.267</v>
      </c>
      <c r="V482" s="11" t="n">
        <v>83.52</v>
      </c>
      <c r="W482" s="11" t="n">
        <v>63.214</v>
      </c>
      <c r="X482" s="11" t="n">
        <v>22.32</v>
      </c>
      <c r="Y482" s="11" t="n">
        <v>61.775</v>
      </c>
      <c r="Z482" s="11" t="n">
        <v>58.629</v>
      </c>
      <c r="AA482" s="11" t="n">
        <f aca="false">SUM(U482:Z482)</f>
        <v>370.725</v>
      </c>
      <c r="AB482" s="11" t="n">
        <v>19.351</v>
      </c>
      <c r="AC482" s="11" t="n">
        <v>19.861</v>
      </c>
      <c r="AD482" s="11" t="n">
        <v>15.962</v>
      </c>
      <c r="AE482" s="11" t="n">
        <v>4.57</v>
      </c>
      <c r="AF482" s="11" t="n">
        <v>14.459</v>
      </c>
      <c r="AG482" s="11" t="n">
        <v>13.705</v>
      </c>
      <c r="AH482" s="11" t="n">
        <f aca="false">SUM(AB482:AG482)</f>
        <v>87.908</v>
      </c>
      <c r="AI482" s="12" t="s">
        <v>955</v>
      </c>
    </row>
    <row r="483" customFormat="false" ht="15" hidden="false" customHeight="false" outlineLevel="0" collapsed="false">
      <c r="A483" s="8" t="s">
        <v>1053</v>
      </c>
      <c r="B483" s="12" t="s">
        <v>1054</v>
      </c>
      <c r="C483" s="8" t="s">
        <v>1045</v>
      </c>
      <c r="D483" s="12" t="s">
        <v>1046</v>
      </c>
      <c r="E483" s="10" t="str">
        <f aca="true">IFERROR(IF(INDEX(INDIRECT("'"&amp;$AI483&amp;"'!$E$2:$E$327"),MATCH($A483,INDIRECT("'"&amp;$AI483&amp;"'!$A$2:$A$327"),0))="","",INDEX(INDIRECT("'"&amp;$AI483&amp;"'!$E$2:$E$327"),MATCH($A483,INDIRECT("'"&amp;$AI483&amp;"'!$A$2:$A$327"),0))),"")</f>
        <v/>
      </c>
      <c r="F483" s="9" t="str">
        <f aca="false">IF($E483="","",IFERROR(INDEX(担当者マスタ!$B$2:$B$101,MATCH($E483,担当者マスタ!$A$2:$A$101,0)),"※マスタ未登録"))</f>
        <v/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f aca="false">SUM(G483:L483)</f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f aca="false">SUM(N483:S483)</f>
        <v>0</v>
      </c>
      <c r="U483" s="11" t="n">
        <v>66.537</v>
      </c>
      <c r="V483" s="11" t="n">
        <v>76.508</v>
      </c>
      <c r="W483" s="11" t="n">
        <v>82.816</v>
      </c>
      <c r="X483" s="11" t="n">
        <v>63.971</v>
      </c>
      <c r="Y483" s="11" t="n">
        <v>72.32</v>
      </c>
      <c r="Z483" s="11" t="n">
        <v>93.672</v>
      </c>
      <c r="AA483" s="11" t="n">
        <f aca="false">SUM(U483:Z483)</f>
        <v>455.824</v>
      </c>
      <c r="AB483" s="11" t="n">
        <v>18.253</v>
      </c>
      <c r="AC483" s="11" t="n">
        <v>19.107</v>
      </c>
      <c r="AD483" s="11" t="n">
        <v>21.9</v>
      </c>
      <c r="AE483" s="11" t="n">
        <v>16.936</v>
      </c>
      <c r="AF483" s="11" t="n">
        <v>17.854</v>
      </c>
      <c r="AG483" s="11" t="n">
        <v>24.589</v>
      </c>
      <c r="AH483" s="11" t="n">
        <f aca="false">SUM(AB483:AG483)</f>
        <v>118.639</v>
      </c>
      <c r="AI483" s="12" t="s">
        <v>955</v>
      </c>
    </row>
    <row r="484" customFormat="false" ht="15" hidden="false" customHeight="false" outlineLevel="0" collapsed="false">
      <c r="A484" s="8" t="s">
        <v>1055</v>
      </c>
      <c r="B484" s="12" t="s">
        <v>1056</v>
      </c>
      <c r="C484" s="8" t="s">
        <v>1045</v>
      </c>
      <c r="D484" s="12" t="s">
        <v>1046</v>
      </c>
      <c r="E484" s="10" t="str">
        <f aca="true">IFERROR(IF(INDEX(INDIRECT("'"&amp;$AI484&amp;"'!$E$2:$E$327"),MATCH($A484,INDIRECT("'"&amp;$AI484&amp;"'!$A$2:$A$327"),0))="","",INDEX(INDIRECT("'"&amp;$AI484&amp;"'!$E$2:$E$327"),MATCH($A484,INDIRECT("'"&amp;$AI484&amp;"'!$A$2:$A$327"),0))),"")</f>
        <v/>
      </c>
      <c r="F484" s="9" t="str">
        <f aca="false">IF($E484="","",IFERROR(INDEX(担当者マスタ!$B$2:$B$101,MATCH($E484,担当者マスタ!$A$2:$A$101,0)),"※マスタ未登録"))</f>
        <v/>
      </c>
      <c r="G484" s="11" t="n">
        <v>0</v>
      </c>
      <c r="H484" s="11" t="n">
        <v>0</v>
      </c>
      <c r="I484" s="11" t="n">
        <v>0</v>
      </c>
      <c r="J484" s="11" t="n">
        <v>168.686</v>
      </c>
      <c r="K484" s="11" t="n">
        <v>48.736</v>
      </c>
      <c r="L484" s="11" t="n">
        <v>125.575</v>
      </c>
      <c r="M484" s="11" t="n">
        <f aca="false">SUM(G484:L484)</f>
        <v>342.997</v>
      </c>
      <c r="N484" s="11" t="n">
        <v>0</v>
      </c>
      <c r="O484" s="11" t="n">
        <v>0</v>
      </c>
      <c r="P484" s="11" t="n">
        <v>0</v>
      </c>
      <c r="Q484" s="11" t="n">
        <v>42.266</v>
      </c>
      <c r="R484" s="11" t="n">
        <v>10.815</v>
      </c>
      <c r="S484" s="11" t="n">
        <v>33.505</v>
      </c>
      <c r="T484" s="11" t="n">
        <f aca="false">SUM(N484:S484)</f>
        <v>86.586</v>
      </c>
      <c r="U484" s="11" t="n">
        <v>158.137</v>
      </c>
      <c r="V484" s="11" t="n">
        <v>146.798</v>
      </c>
      <c r="W484" s="11" t="n">
        <v>143.236</v>
      </c>
      <c r="X484" s="11" t="n">
        <v>121.472</v>
      </c>
      <c r="Y484" s="11" t="n">
        <v>163.74</v>
      </c>
      <c r="Z484" s="11" t="n">
        <v>208.391</v>
      </c>
      <c r="AA484" s="11" t="n">
        <f aca="false">SUM(U484:Z484)</f>
        <v>941.774</v>
      </c>
      <c r="AB484" s="11" t="n">
        <v>45.215</v>
      </c>
      <c r="AC484" s="11" t="n">
        <v>50.443</v>
      </c>
      <c r="AD484" s="11" t="n">
        <v>46.015</v>
      </c>
      <c r="AE484" s="11" t="n">
        <v>40.881</v>
      </c>
      <c r="AF484" s="11" t="n">
        <v>58.584</v>
      </c>
      <c r="AG484" s="11" t="n">
        <v>72.082</v>
      </c>
      <c r="AH484" s="11" t="n">
        <f aca="false">SUM(AB484:AG484)</f>
        <v>313.22</v>
      </c>
      <c r="AI484" s="12" t="s">
        <v>955</v>
      </c>
    </row>
    <row r="485" customFormat="false" ht="15" hidden="false" customHeight="false" outlineLevel="0" collapsed="false">
      <c r="A485" s="8" t="s">
        <v>1057</v>
      </c>
      <c r="B485" s="12" t="s">
        <v>1058</v>
      </c>
      <c r="C485" s="8" t="s">
        <v>1045</v>
      </c>
      <c r="D485" s="12" t="s">
        <v>1046</v>
      </c>
      <c r="E485" s="10" t="str">
        <f aca="true">IFERROR(IF(INDEX(INDIRECT("'"&amp;$AI485&amp;"'!$E$2:$E$327"),MATCH($A485,INDIRECT("'"&amp;$AI485&amp;"'!$A$2:$A$327"),0))="","",INDEX(INDIRECT("'"&amp;$AI485&amp;"'!$E$2:$E$327"),MATCH($A485,INDIRECT("'"&amp;$AI485&amp;"'!$A$2:$A$327"),0))),"")</f>
        <v/>
      </c>
      <c r="F485" s="9" t="str">
        <f aca="false">IF($E485="","",IFERROR(INDEX(担当者マスタ!$B$2:$B$101,MATCH($E485,担当者マスタ!$A$2:$A$101,0)),"※マスタ未登録"))</f>
        <v/>
      </c>
      <c r="G485" s="11" t="n">
        <v>1310.6</v>
      </c>
      <c r="H485" s="11" t="n">
        <v>0</v>
      </c>
      <c r="I485" s="11" t="n">
        <v>45.6</v>
      </c>
      <c r="J485" s="11" t="n">
        <v>50.4</v>
      </c>
      <c r="K485" s="11" t="n">
        <v>50.4</v>
      </c>
      <c r="L485" s="11" t="n">
        <v>0</v>
      </c>
      <c r="M485" s="11" t="n">
        <f aca="false">SUM(G485:L485)</f>
        <v>1457</v>
      </c>
      <c r="N485" s="11" t="n">
        <v>86.432</v>
      </c>
      <c r="O485" s="11" t="n">
        <v>0</v>
      </c>
      <c r="P485" s="11" t="n">
        <v>8.232</v>
      </c>
      <c r="Q485" s="11" t="n">
        <v>9.288</v>
      </c>
      <c r="R485" s="11" t="n">
        <v>9.288</v>
      </c>
      <c r="S485" s="11" t="n">
        <v>0</v>
      </c>
      <c r="T485" s="11" t="n">
        <f aca="false">SUM(N485:S485)</f>
        <v>113.24</v>
      </c>
      <c r="U485" s="11" t="n">
        <v>0</v>
      </c>
      <c r="V485" s="11" t="n">
        <v>0</v>
      </c>
      <c r="W485" s="11" t="n">
        <v>0</v>
      </c>
      <c r="X485" s="11" t="n">
        <v>0</v>
      </c>
      <c r="Y485" s="11" t="n">
        <v>0</v>
      </c>
      <c r="Z485" s="11" t="n">
        <v>0</v>
      </c>
      <c r="AA485" s="11" t="n">
        <f aca="false">SUM(U485:Z485)</f>
        <v>0</v>
      </c>
      <c r="AB485" s="11" t="n">
        <v>0</v>
      </c>
      <c r="AC485" s="11" t="n">
        <v>0</v>
      </c>
      <c r="AD485" s="11" t="n">
        <v>0</v>
      </c>
      <c r="AE485" s="11" t="n">
        <v>0</v>
      </c>
      <c r="AF485" s="11" t="n">
        <v>0</v>
      </c>
      <c r="AG485" s="11" t="n">
        <v>0</v>
      </c>
      <c r="AH485" s="11" t="n">
        <f aca="false">SUM(AB485:AG485)</f>
        <v>0</v>
      </c>
      <c r="AI485" s="12" t="s">
        <v>955</v>
      </c>
    </row>
    <row r="486" customFormat="false" ht="15" hidden="false" customHeight="false" outlineLevel="0" collapsed="false">
      <c r="A486" s="8" t="s">
        <v>1059</v>
      </c>
      <c r="B486" s="12" t="s">
        <v>1060</v>
      </c>
      <c r="C486" s="8" t="s">
        <v>1045</v>
      </c>
      <c r="D486" s="12" t="s">
        <v>1046</v>
      </c>
      <c r="E486" s="10" t="str">
        <f aca="true">IFERROR(IF(INDEX(INDIRECT("'"&amp;$AI486&amp;"'!$E$2:$E$327"),MATCH($A486,INDIRECT("'"&amp;$AI486&amp;"'!$A$2:$A$327"),0))="","",INDEX(INDIRECT("'"&amp;$AI486&amp;"'!$E$2:$E$327"),MATCH($A486,INDIRECT("'"&amp;$AI486&amp;"'!$A$2:$A$327"),0))),"")</f>
        <v/>
      </c>
      <c r="F486" s="9" t="str">
        <f aca="false">IF($E486="","",IFERROR(INDEX(担当者マスタ!$B$2:$B$101,MATCH($E486,担当者マスタ!$A$2:$A$101,0)),"※マスタ未登録"))</f>
        <v/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f aca="false">SUM(G486:L486)</f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1" t="n">
        <f aca="false">SUM(N486:S486)</f>
        <v>0</v>
      </c>
      <c r="U486" s="11" t="n">
        <v>0</v>
      </c>
      <c r="V486" s="11" t="n">
        <v>0</v>
      </c>
      <c r="W486" s="11" t="n">
        <v>33</v>
      </c>
      <c r="X486" s="11" t="n">
        <v>0</v>
      </c>
      <c r="Y486" s="11" t="n">
        <v>0</v>
      </c>
      <c r="Z486" s="11" t="n">
        <v>0</v>
      </c>
      <c r="AA486" s="11" t="n">
        <f aca="false">SUM(U486:Z486)</f>
        <v>33</v>
      </c>
      <c r="AB486" s="11" t="n">
        <v>0</v>
      </c>
      <c r="AC486" s="11" t="n">
        <v>0</v>
      </c>
      <c r="AD486" s="11" t="n">
        <v>9.6</v>
      </c>
      <c r="AE486" s="11" t="n">
        <v>0</v>
      </c>
      <c r="AF486" s="11" t="n">
        <v>0</v>
      </c>
      <c r="AG486" s="11" t="n">
        <v>0</v>
      </c>
      <c r="AH486" s="11" t="n">
        <f aca="false">SUM(AB486:AG486)</f>
        <v>9.6</v>
      </c>
      <c r="AI486" s="12" t="s">
        <v>955</v>
      </c>
    </row>
    <row r="487" customFormat="false" ht="15" hidden="false" customHeight="false" outlineLevel="0" collapsed="false">
      <c r="A487" s="8" t="s">
        <v>1061</v>
      </c>
      <c r="B487" s="9" t="s">
        <v>1062</v>
      </c>
      <c r="C487" s="8" t="s">
        <v>1045</v>
      </c>
      <c r="D487" s="12" t="s">
        <v>1046</v>
      </c>
      <c r="E487" s="10" t="str">
        <f aca="true">IFERROR(IF(INDEX(INDIRECT("'"&amp;$AI487&amp;"'!$E$2:$E$327"),MATCH($A487,INDIRECT("'"&amp;$AI487&amp;"'!$A$2:$A$327"),0))="","",INDEX(INDIRECT("'"&amp;$AI487&amp;"'!$E$2:$E$327"),MATCH($A487,INDIRECT("'"&amp;$AI487&amp;"'!$A$2:$A$327"),0))),"")</f>
        <v/>
      </c>
      <c r="F487" s="9" t="str">
        <f aca="false">IF($E487="","",IFERROR(INDEX(担当者マスタ!$B$2:$B$101,MATCH($E487,担当者マスタ!$A$2:$A$101,0)),"※マスタ未登録"))</f>
        <v/>
      </c>
      <c r="G487" s="11" t="n">
        <v>1659.323</v>
      </c>
      <c r="H487" s="11" t="n">
        <v>2039.21</v>
      </c>
      <c r="I487" s="11" t="n">
        <v>1697.39</v>
      </c>
      <c r="J487" s="11" t="n">
        <v>2170.313</v>
      </c>
      <c r="K487" s="11" t="n">
        <v>1388.229</v>
      </c>
      <c r="L487" s="11" t="n">
        <v>1797.535</v>
      </c>
      <c r="M487" s="11" t="n">
        <f aca="false">SUM(G487:L487)</f>
        <v>10752</v>
      </c>
      <c r="N487" s="11" t="n">
        <v>676.5908</v>
      </c>
      <c r="O487" s="11" t="n">
        <v>810.53</v>
      </c>
      <c r="P487" s="11" t="n">
        <v>618.023</v>
      </c>
      <c r="Q487" s="11" t="n">
        <v>815.3998</v>
      </c>
      <c r="R487" s="11" t="n">
        <v>604.545</v>
      </c>
      <c r="S487" s="11" t="n">
        <v>726.255</v>
      </c>
      <c r="T487" s="11" t="n">
        <f aca="false">SUM(N487:S487)</f>
        <v>4251.3436</v>
      </c>
      <c r="U487" s="11" t="n">
        <v>1769.574</v>
      </c>
      <c r="V487" s="11" t="n">
        <v>1694.5</v>
      </c>
      <c r="W487" s="11" t="n">
        <v>1543.81</v>
      </c>
      <c r="X487" s="11" t="n">
        <v>2892.62</v>
      </c>
      <c r="Y487" s="11" t="n">
        <v>914.739</v>
      </c>
      <c r="Z487" s="11" t="n">
        <v>3710.655</v>
      </c>
      <c r="AA487" s="11" t="n">
        <f aca="false">SUM(U487:Z487)</f>
        <v>12525.898</v>
      </c>
      <c r="AB487" s="11" t="n">
        <v>695.263</v>
      </c>
      <c r="AC487" s="11" t="n">
        <v>619.3858</v>
      </c>
      <c r="AD487" s="11" t="n">
        <v>592.048</v>
      </c>
      <c r="AE487" s="11" t="n">
        <v>1054.2318</v>
      </c>
      <c r="AF487" s="11" t="n">
        <v>339.979</v>
      </c>
      <c r="AG487" s="11" t="n">
        <v>1220.623</v>
      </c>
      <c r="AH487" s="11" t="n">
        <f aca="false">SUM(AB487:AG487)</f>
        <v>4521.5306</v>
      </c>
      <c r="AI487" s="12" t="s">
        <v>955</v>
      </c>
    </row>
    <row r="488" customFormat="false" ht="15" hidden="false" customHeight="false" outlineLevel="0" collapsed="false">
      <c r="A488" s="8" t="s">
        <v>1063</v>
      </c>
      <c r="B488" s="12" t="s">
        <v>1064</v>
      </c>
      <c r="C488" s="8" t="s">
        <v>1045</v>
      </c>
      <c r="D488" s="12" t="s">
        <v>1046</v>
      </c>
      <c r="E488" s="10" t="str">
        <f aca="true">IFERROR(IF(INDEX(INDIRECT("'"&amp;$AI488&amp;"'!$E$2:$E$327"),MATCH($A488,INDIRECT("'"&amp;$AI488&amp;"'!$A$2:$A$327"),0))="","",INDEX(INDIRECT("'"&amp;$AI488&amp;"'!$E$2:$E$327"),MATCH($A488,INDIRECT("'"&amp;$AI488&amp;"'!$A$2:$A$327"),0))),"")</f>
        <v/>
      </c>
      <c r="F488" s="9" t="str">
        <f aca="false">IF($E488="","",IFERROR(INDEX(担当者マスタ!$B$2:$B$101,MATCH($E488,担当者マスタ!$A$2:$A$101,0)),"※マスタ未登録"))</f>
        <v/>
      </c>
      <c r="G488" s="11" t="n">
        <v>334</v>
      </c>
      <c r="H488" s="11" t="n">
        <v>842.903</v>
      </c>
      <c r="I488" s="11" t="n">
        <v>129.133</v>
      </c>
      <c r="J488" s="11" t="n">
        <v>95.13</v>
      </c>
      <c r="K488" s="11" t="n">
        <v>9.3</v>
      </c>
      <c r="L488" s="11" t="n">
        <v>308.094</v>
      </c>
      <c r="M488" s="11" t="n">
        <f aca="false">SUM(G488:L488)</f>
        <v>1718.56</v>
      </c>
      <c r="N488" s="11" t="n">
        <v>79.2</v>
      </c>
      <c r="O488" s="11" t="n">
        <v>198.775</v>
      </c>
      <c r="P488" s="11" t="n">
        <v>28.316</v>
      </c>
      <c r="Q488" s="11" t="n">
        <v>21.48</v>
      </c>
      <c r="R488" s="11" t="n">
        <v>1.296</v>
      </c>
      <c r="S488" s="11" t="n">
        <v>69.38</v>
      </c>
      <c r="T488" s="11" t="n">
        <f aca="false">SUM(N488:S488)</f>
        <v>398.447</v>
      </c>
      <c r="U488" s="11" t="n">
        <v>41.575</v>
      </c>
      <c r="V488" s="11" t="n">
        <v>692.8</v>
      </c>
      <c r="W488" s="11" t="n">
        <v>191.74</v>
      </c>
      <c r="X488" s="11" t="n">
        <v>56.39</v>
      </c>
      <c r="Y488" s="11" t="n">
        <v>3.81</v>
      </c>
      <c r="Z488" s="11" t="n">
        <v>418.905</v>
      </c>
      <c r="AA488" s="11" t="n">
        <f aca="false">SUM(U488:Z488)</f>
        <v>1405.22</v>
      </c>
      <c r="AB488" s="11" t="n">
        <v>11.856</v>
      </c>
      <c r="AC488" s="11" t="n">
        <v>144.35</v>
      </c>
      <c r="AD488" s="11" t="n">
        <v>44.856</v>
      </c>
      <c r="AE488" s="11" t="n">
        <v>16.196</v>
      </c>
      <c r="AF488" s="11" t="n">
        <v>0.542</v>
      </c>
      <c r="AG488" s="11" t="n">
        <v>104.973</v>
      </c>
      <c r="AH488" s="11" t="n">
        <f aca="false">SUM(AB488:AG488)</f>
        <v>322.773</v>
      </c>
      <c r="AI488" s="12" t="s">
        <v>955</v>
      </c>
    </row>
    <row r="489" customFormat="false" ht="15" hidden="false" customHeight="false" outlineLevel="0" collapsed="false">
      <c r="A489" s="8" t="s">
        <v>1065</v>
      </c>
      <c r="B489" s="12" t="s">
        <v>1066</v>
      </c>
      <c r="C489" s="8" t="s">
        <v>1045</v>
      </c>
      <c r="D489" s="12" t="s">
        <v>1046</v>
      </c>
      <c r="E489" s="10" t="str">
        <f aca="true">IFERROR(IF(INDEX(INDIRECT("'"&amp;$AI489&amp;"'!$E$2:$E$327"),MATCH($A489,INDIRECT("'"&amp;$AI489&amp;"'!$A$2:$A$327"),0))="","",INDEX(INDIRECT("'"&amp;$AI489&amp;"'!$E$2:$E$327"),MATCH($A489,INDIRECT("'"&amp;$AI489&amp;"'!$A$2:$A$327"),0))),"")</f>
        <v/>
      </c>
      <c r="F489" s="9" t="str">
        <f aca="false">IF($E489="","",IFERROR(INDEX(担当者マスタ!$B$2:$B$101,MATCH($E489,担当者マスタ!$A$2:$A$101,0)),"※マスタ未登録"))</f>
        <v/>
      </c>
      <c r="G489" s="11" t="n">
        <v>0</v>
      </c>
      <c r="H489" s="11" t="n">
        <v>0</v>
      </c>
      <c r="I489" s="11" t="n">
        <v>0</v>
      </c>
      <c r="J489" s="11" t="n">
        <v>14.85</v>
      </c>
      <c r="K489" s="11" t="n">
        <v>0</v>
      </c>
      <c r="L489" s="11" t="n">
        <v>0</v>
      </c>
      <c r="M489" s="11" t="n">
        <f aca="false">SUM(G489:L489)</f>
        <v>14.85</v>
      </c>
      <c r="N489" s="11" t="n">
        <v>0</v>
      </c>
      <c r="O489" s="11" t="n">
        <v>0</v>
      </c>
      <c r="P489" s="11" t="n">
        <v>0</v>
      </c>
      <c r="Q489" s="11" t="n">
        <v>4.65</v>
      </c>
      <c r="R489" s="11" t="n">
        <v>0</v>
      </c>
      <c r="S489" s="11" t="n">
        <v>0</v>
      </c>
      <c r="T489" s="11" t="n">
        <f aca="false">SUM(N489:S489)</f>
        <v>4.65</v>
      </c>
      <c r="U489" s="11" t="n">
        <v>0</v>
      </c>
      <c r="V489" s="11" t="n">
        <v>13.2</v>
      </c>
      <c r="W489" s="11" t="n">
        <v>0</v>
      </c>
      <c r="X489" s="11" t="n">
        <v>13.2</v>
      </c>
      <c r="Y489" s="11" t="n">
        <v>0</v>
      </c>
      <c r="Z489" s="11" t="n">
        <v>0</v>
      </c>
      <c r="AA489" s="11" t="n">
        <f aca="false">SUM(U489:Z489)</f>
        <v>26.4</v>
      </c>
      <c r="AB489" s="11" t="n">
        <v>0</v>
      </c>
      <c r="AC489" s="11" t="n">
        <v>1.936</v>
      </c>
      <c r="AD489" s="11" t="n">
        <v>0</v>
      </c>
      <c r="AE489" s="11" t="n">
        <v>1.936</v>
      </c>
      <c r="AF489" s="11" t="n">
        <v>0</v>
      </c>
      <c r="AG489" s="11" t="n">
        <v>0</v>
      </c>
      <c r="AH489" s="11" t="n">
        <f aca="false">SUM(AB489:AG489)</f>
        <v>3.872</v>
      </c>
      <c r="AI489" s="12" t="s">
        <v>955</v>
      </c>
    </row>
    <row r="490" customFormat="false" ht="15" hidden="false" customHeight="false" outlineLevel="0" collapsed="false">
      <c r="A490" s="8" t="s">
        <v>1067</v>
      </c>
      <c r="B490" s="12" t="s">
        <v>1068</v>
      </c>
      <c r="C490" s="8" t="s">
        <v>1045</v>
      </c>
      <c r="D490" s="12" t="s">
        <v>1046</v>
      </c>
      <c r="E490" s="10" t="str">
        <f aca="true">IFERROR(IF(INDEX(INDIRECT("'"&amp;$AI490&amp;"'!$E$2:$E$327"),MATCH($A490,INDIRECT("'"&amp;$AI490&amp;"'!$A$2:$A$327"),0))="","",INDEX(INDIRECT("'"&amp;$AI490&amp;"'!$E$2:$E$327"),MATCH($A490,INDIRECT("'"&amp;$AI490&amp;"'!$A$2:$A$327"),0))),"")</f>
        <v/>
      </c>
      <c r="F490" s="9" t="str">
        <f aca="false">IF($E490="","",IFERROR(INDEX(担当者マスタ!$B$2:$B$101,MATCH($E490,担当者マスタ!$A$2:$A$101,0)),"※マスタ未登録"))</f>
        <v/>
      </c>
      <c r="G490" s="11" t="n">
        <v>0</v>
      </c>
      <c r="H490" s="11" t="n">
        <v>0</v>
      </c>
      <c r="I490" s="11" t="n">
        <v>11</v>
      </c>
      <c r="J490" s="11" t="n">
        <v>0</v>
      </c>
      <c r="K490" s="11" t="n">
        <v>0</v>
      </c>
      <c r="L490" s="11" t="n">
        <v>0</v>
      </c>
      <c r="M490" s="11" t="n">
        <f aca="false">SUM(G490:L490)</f>
        <v>11</v>
      </c>
      <c r="N490" s="11" t="n">
        <v>0</v>
      </c>
      <c r="O490" s="11" t="n">
        <v>0</v>
      </c>
      <c r="P490" s="11" t="n">
        <v>6.45</v>
      </c>
      <c r="Q490" s="11" t="n">
        <v>0</v>
      </c>
      <c r="R490" s="11" t="n">
        <v>0</v>
      </c>
      <c r="S490" s="11" t="n">
        <v>0</v>
      </c>
      <c r="T490" s="11" t="n">
        <f aca="false">SUM(N490:S490)</f>
        <v>6.45</v>
      </c>
      <c r="U490" s="11" t="n">
        <v>0</v>
      </c>
      <c r="V490" s="11" t="n">
        <v>0</v>
      </c>
      <c r="W490" s="11" t="n">
        <v>0</v>
      </c>
      <c r="X490" s="11" t="n">
        <v>0</v>
      </c>
      <c r="Y490" s="11" t="n">
        <v>0</v>
      </c>
      <c r="Z490" s="11" t="n">
        <v>0</v>
      </c>
      <c r="AA490" s="11" t="n">
        <f aca="false">SUM(U490:Z490)</f>
        <v>0</v>
      </c>
      <c r="AB490" s="11" t="n">
        <v>0</v>
      </c>
      <c r="AC490" s="11" t="n">
        <v>0</v>
      </c>
      <c r="AD490" s="11" t="n">
        <v>0</v>
      </c>
      <c r="AE490" s="11" t="n">
        <v>0</v>
      </c>
      <c r="AF490" s="11" t="n">
        <v>0</v>
      </c>
      <c r="AG490" s="11" t="n">
        <v>0</v>
      </c>
      <c r="AH490" s="11" t="n">
        <f aca="false">SUM(AB490:AG490)</f>
        <v>0</v>
      </c>
      <c r="AI490" s="12" t="s">
        <v>955</v>
      </c>
    </row>
    <row r="491" customFormat="false" ht="15" hidden="false" customHeight="false" outlineLevel="0" collapsed="false">
      <c r="A491" s="8" t="s">
        <v>1069</v>
      </c>
      <c r="B491" s="12" t="s">
        <v>1070</v>
      </c>
      <c r="C491" s="8" t="s">
        <v>1045</v>
      </c>
      <c r="D491" s="12" t="s">
        <v>1046</v>
      </c>
      <c r="E491" s="10" t="str">
        <f aca="true">IFERROR(IF(INDEX(INDIRECT("'"&amp;$AI491&amp;"'!$E$2:$E$327"),MATCH($A491,INDIRECT("'"&amp;$AI491&amp;"'!$A$2:$A$327"),0))="","",INDEX(INDIRECT("'"&amp;$AI491&amp;"'!$E$2:$E$327"),MATCH($A491,INDIRECT("'"&amp;$AI491&amp;"'!$A$2:$A$327"),0))),"")</f>
        <v/>
      </c>
      <c r="F491" s="9" t="str">
        <f aca="false">IF($E491="","",IFERROR(INDEX(担当者マスタ!$B$2:$B$101,MATCH($E491,担当者マスタ!$A$2:$A$101,0)),"※マスタ未登録"))</f>
        <v/>
      </c>
      <c r="G491" s="11" t="n">
        <v>0</v>
      </c>
      <c r="H491" s="11" t="n">
        <v>71.16</v>
      </c>
      <c r="I491" s="11" t="n">
        <v>60.128</v>
      </c>
      <c r="J491" s="11" t="n">
        <v>0</v>
      </c>
      <c r="K491" s="11" t="n">
        <v>56.06</v>
      </c>
      <c r="L491" s="11" t="n">
        <v>0</v>
      </c>
      <c r="M491" s="11" t="n">
        <f aca="false">SUM(G491:L491)</f>
        <v>187.348</v>
      </c>
      <c r="N491" s="11" t="n">
        <v>0</v>
      </c>
      <c r="O491" s="11" t="n">
        <v>23.06</v>
      </c>
      <c r="P491" s="11" t="n">
        <v>21.064</v>
      </c>
      <c r="Q491" s="11" t="n">
        <v>0</v>
      </c>
      <c r="R491" s="11" t="n">
        <v>19.36</v>
      </c>
      <c r="S491" s="11" t="n">
        <v>0</v>
      </c>
      <c r="T491" s="11" t="n">
        <f aca="false">SUM(N491:S491)</f>
        <v>63.484</v>
      </c>
      <c r="U491" s="11" t="n">
        <v>38.05</v>
      </c>
      <c r="V491" s="11" t="n">
        <v>31</v>
      </c>
      <c r="W491" s="11" t="n">
        <v>54.22</v>
      </c>
      <c r="X491" s="11" t="n">
        <v>0</v>
      </c>
      <c r="Y491" s="11" t="n">
        <v>0</v>
      </c>
      <c r="Z491" s="11" t="n">
        <v>36.16</v>
      </c>
      <c r="AA491" s="11" t="n">
        <f aca="false">SUM(U491:Z491)</f>
        <v>159.43</v>
      </c>
      <c r="AB491" s="11" t="n">
        <v>12.69</v>
      </c>
      <c r="AC491" s="11" t="n">
        <v>9.8</v>
      </c>
      <c r="AD491" s="11" t="n">
        <v>19.08</v>
      </c>
      <c r="AE491" s="11" t="n">
        <v>0</v>
      </c>
      <c r="AF491" s="11" t="n">
        <v>0</v>
      </c>
      <c r="AG491" s="11" t="n">
        <v>12.36</v>
      </c>
      <c r="AH491" s="11" t="n">
        <f aca="false">SUM(AB491:AG491)</f>
        <v>53.93</v>
      </c>
      <c r="AI491" s="12" t="s">
        <v>955</v>
      </c>
    </row>
    <row r="492" customFormat="false" ht="15" hidden="false" customHeight="false" outlineLevel="0" collapsed="false">
      <c r="A492" s="8" t="s">
        <v>1071</v>
      </c>
      <c r="B492" s="9" t="s">
        <v>1072</v>
      </c>
      <c r="C492" s="8" t="s">
        <v>1045</v>
      </c>
      <c r="D492" s="12" t="s">
        <v>1046</v>
      </c>
      <c r="E492" s="10" t="str">
        <f aca="true">IFERROR(IF(INDEX(INDIRECT("'"&amp;$AI492&amp;"'!$E$2:$E$327"),MATCH($A492,INDIRECT("'"&amp;$AI492&amp;"'!$A$2:$A$327"),0))="","",INDEX(INDIRECT("'"&amp;$AI492&amp;"'!$E$2:$E$327"),MATCH($A492,INDIRECT("'"&amp;$AI492&amp;"'!$A$2:$A$327"),0))),"")</f>
        <v/>
      </c>
      <c r="F492" s="9" t="str">
        <f aca="false">IF($E492="","",IFERROR(INDEX(担当者マスタ!$B$2:$B$101,MATCH($E492,担当者マスタ!$A$2:$A$101,0)),"※マスタ未登録"))</f>
        <v/>
      </c>
      <c r="G492" s="11" t="n">
        <v>0</v>
      </c>
      <c r="H492" s="11" t="n">
        <v>0</v>
      </c>
      <c r="I492" s="11" t="n">
        <v>25.5</v>
      </c>
      <c r="J492" s="11" t="n">
        <v>0</v>
      </c>
      <c r="K492" s="11" t="n">
        <v>0</v>
      </c>
      <c r="L492" s="11" t="n">
        <v>414.2</v>
      </c>
      <c r="M492" s="11" t="n">
        <f aca="false">SUM(G492:L492)</f>
        <v>439.7</v>
      </c>
      <c r="N492" s="11" t="n">
        <v>0</v>
      </c>
      <c r="O492" s="11" t="n">
        <v>0</v>
      </c>
      <c r="P492" s="11" t="n">
        <v>5.58</v>
      </c>
      <c r="Q492" s="11" t="n">
        <v>0</v>
      </c>
      <c r="R492" s="11" t="n">
        <v>0</v>
      </c>
      <c r="S492" s="11" t="n">
        <v>43.5</v>
      </c>
      <c r="T492" s="11" t="n">
        <f aca="false">SUM(N492:S492)</f>
        <v>49.08</v>
      </c>
      <c r="U492" s="11" t="n">
        <v>17.232</v>
      </c>
      <c r="V492" s="11" t="n">
        <v>425.7</v>
      </c>
      <c r="W492" s="11" t="n">
        <v>0</v>
      </c>
      <c r="X492" s="11" t="n">
        <v>0</v>
      </c>
      <c r="Y492" s="11" t="n">
        <v>0</v>
      </c>
      <c r="Z492" s="11" t="n">
        <v>421.2</v>
      </c>
      <c r="AA492" s="11" t="n">
        <f aca="false">SUM(U492:Z492)</f>
        <v>864.132</v>
      </c>
      <c r="AB492" s="11" t="n">
        <v>3.744</v>
      </c>
      <c r="AC492" s="11" t="n">
        <v>46.98</v>
      </c>
      <c r="AD492" s="11" t="n">
        <v>0</v>
      </c>
      <c r="AE492" s="11" t="n">
        <v>0</v>
      </c>
      <c r="AF492" s="11" t="n">
        <v>0</v>
      </c>
      <c r="AG492" s="11" t="n">
        <v>44.55</v>
      </c>
      <c r="AH492" s="11" t="n">
        <f aca="false">SUM(AB492:AG492)</f>
        <v>95.274</v>
      </c>
      <c r="AI492" s="12" t="s">
        <v>955</v>
      </c>
    </row>
    <row r="493" customFormat="false" ht="15" hidden="false" customHeight="false" outlineLevel="0" collapsed="false">
      <c r="A493" s="8" t="s">
        <v>1073</v>
      </c>
      <c r="B493" s="9" t="s">
        <v>1074</v>
      </c>
      <c r="C493" s="8" t="s">
        <v>1045</v>
      </c>
      <c r="D493" s="12" t="s">
        <v>1046</v>
      </c>
      <c r="E493" s="10" t="str">
        <f aca="true">IFERROR(IF(INDEX(INDIRECT("'"&amp;$AI493&amp;"'!$E$2:$E$327"),MATCH($A493,INDIRECT("'"&amp;$AI493&amp;"'!$A$2:$A$327"),0))="","",INDEX(INDIRECT("'"&amp;$AI493&amp;"'!$E$2:$E$327"),MATCH($A493,INDIRECT("'"&amp;$AI493&amp;"'!$A$2:$A$327"),0))),"")</f>
        <v/>
      </c>
      <c r="F493" s="9" t="str">
        <f aca="false">IF($E493="","",IFERROR(INDEX(担当者マスタ!$B$2:$B$101,MATCH($E493,担当者マスタ!$A$2:$A$101,0)),"※マスタ未登録"))</f>
        <v/>
      </c>
      <c r="G493" s="11" t="n">
        <v>10.222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10.222</v>
      </c>
      <c r="M493" s="11" t="n">
        <f aca="false">SUM(G493:L493)</f>
        <v>20.444</v>
      </c>
      <c r="N493" s="11" t="n">
        <v>1.914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1.914</v>
      </c>
      <c r="T493" s="11" t="n">
        <f aca="false">SUM(N493:S493)</f>
        <v>3.828</v>
      </c>
      <c r="U493" s="11" t="n">
        <v>0</v>
      </c>
      <c r="V493" s="11" t="n">
        <v>1.94</v>
      </c>
      <c r="W493" s="11" t="n">
        <v>0</v>
      </c>
      <c r="X493" s="11" t="n">
        <v>0</v>
      </c>
      <c r="Y493" s="11" t="n">
        <v>27.002</v>
      </c>
      <c r="Z493" s="11" t="n">
        <v>0</v>
      </c>
      <c r="AA493" s="11" t="n">
        <f aca="false">SUM(U493:Z493)</f>
        <v>28.942</v>
      </c>
      <c r="AB493" s="11" t="n">
        <v>0</v>
      </c>
      <c r="AC493" s="11" t="n">
        <v>0.392</v>
      </c>
      <c r="AD493" s="11" t="n">
        <v>0</v>
      </c>
      <c r="AE493" s="11" t="n">
        <v>0</v>
      </c>
      <c r="AF493" s="11" t="n">
        <v>5.514</v>
      </c>
      <c r="AG493" s="11" t="n">
        <v>0</v>
      </c>
      <c r="AH493" s="11" t="n">
        <f aca="false">SUM(AB493:AG493)</f>
        <v>5.906</v>
      </c>
      <c r="AI493" s="12" t="s">
        <v>955</v>
      </c>
    </row>
    <row r="494" customFormat="false" ht="15" hidden="false" customHeight="false" outlineLevel="0" collapsed="false">
      <c r="A494" s="8" t="s">
        <v>1075</v>
      </c>
      <c r="B494" s="9" t="s">
        <v>1076</v>
      </c>
      <c r="C494" s="8" t="s">
        <v>1045</v>
      </c>
      <c r="D494" s="12" t="s">
        <v>1046</v>
      </c>
      <c r="E494" s="10" t="str">
        <f aca="true">IFERROR(IF(INDEX(INDIRECT("'"&amp;$AI494&amp;"'!$E$2:$E$327"),MATCH($A494,INDIRECT("'"&amp;$AI494&amp;"'!$A$2:$A$327"),0))="","",INDEX(INDIRECT("'"&amp;$AI494&amp;"'!$E$2:$E$327"),MATCH($A494,INDIRECT("'"&amp;$AI494&amp;"'!$A$2:$A$327"),0))),"")</f>
        <v/>
      </c>
      <c r="F494" s="9" t="str">
        <f aca="false">IF($E494="","",IFERROR(INDEX(担当者マスタ!$B$2:$B$101,MATCH($E494,担当者マスタ!$A$2:$A$101,0)),"※マスタ未登録"))</f>
        <v/>
      </c>
      <c r="G494" s="11" t="n">
        <v>1272.559</v>
      </c>
      <c r="H494" s="11" t="n">
        <v>1277.005</v>
      </c>
      <c r="I494" s="11" t="n">
        <v>1861.804</v>
      </c>
      <c r="J494" s="11" t="n">
        <v>707.495</v>
      </c>
      <c r="K494" s="11" t="n">
        <v>974.356</v>
      </c>
      <c r="L494" s="11" t="n">
        <v>2012.776</v>
      </c>
      <c r="M494" s="11" t="n">
        <f aca="false">SUM(G494:L494)</f>
        <v>8105.995</v>
      </c>
      <c r="N494" s="11" t="n">
        <v>343.654</v>
      </c>
      <c r="O494" s="11" t="n">
        <v>326.977</v>
      </c>
      <c r="P494" s="11" t="n">
        <v>533.728</v>
      </c>
      <c r="Q494" s="11" t="n">
        <v>180.441</v>
      </c>
      <c r="R494" s="11" t="n">
        <v>233.144</v>
      </c>
      <c r="S494" s="11" t="n">
        <v>385.043</v>
      </c>
      <c r="T494" s="11" t="n">
        <f aca="false">SUM(N494:S494)</f>
        <v>2002.987</v>
      </c>
      <c r="U494" s="11" t="n">
        <v>1289.945</v>
      </c>
      <c r="V494" s="11" t="n">
        <v>1217.643</v>
      </c>
      <c r="W494" s="11" t="n">
        <v>1674.055</v>
      </c>
      <c r="X494" s="11" t="n">
        <v>994.277</v>
      </c>
      <c r="Y494" s="11" t="n">
        <v>800.538</v>
      </c>
      <c r="Z494" s="11" t="n">
        <v>1008.448</v>
      </c>
      <c r="AA494" s="11" t="n">
        <f aca="false">SUM(U494:Z494)</f>
        <v>6984.906</v>
      </c>
      <c r="AB494" s="11" t="n">
        <v>349.809</v>
      </c>
      <c r="AC494" s="11" t="n">
        <v>320.054</v>
      </c>
      <c r="AD494" s="11" t="n">
        <v>428.766</v>
      </c>
      <c r="AE494" s="11" t="n">
        <v>254.034</v>
      </c>
      <c r="AF494" s="11" t="n">
        <v>197.063</v>
      </c>
      <c r="AG494" s="11" t="n">
        <v>267.666</v>
      </c>
      <c r="AH494" s="11" t="n">
        <f aca="false">SUM(AB494:AG494)</f>
        <v>1817.392</v>
      </c>
      <c r="AI494" s="12" t="s">
        <v>955</v>
      </c>
    </row>
    <row r="495" customFormat="false" ht="15" hidden="false" customHeight="false" outlineLevel="0" collapsed="false">
      <c r="A495" s="8" t="s">
        <v>1077</v>
      </c>
      <c r="B495" s="9" t="s">
        <v>1078</v>
      </c>
      <c r="C495" s="8" t="s">
        <v>1045</v>
      </c>
      <c r="D495" s="12" t="s">
        <v>1046</v>
      </c>
      <c r="E495" s="10" t="str">
        <f aca="true">IFERROR(IF(INDEX(INDIRECT("'"&amp;$AI495&amp;"'!$E$2:$E$327"),MATCH($A495,INDIRECT("'"&amp;$AI495&amp;"'!$A$2:$A$327"),0))="","",INDEX(INDIRECT("'"&amp;$AI495&amp;"'!$E$2:$E$327"),MATCH($A495,INDIRECT("'"&amp;$AI495&amp;"'!$A$2:$A$327"),0))),"")</f>
        <v/>
      </c>
      <c r="F495" s="9" t="str">
        <f aca="false">IF($E495="","",IFERROR(INDEX(担当者マスタ!$B$2:$B$101,MATCH($E495,担当者マスタ!$A$2:$A$101,0)),"※マスタ未登録"))</f>
        <v/>
      </c>
      <c r="G495" s="11" t="n">
        <v>100.88</v>
      </c>
      <c r="H495" s="11" t="n">
        <v>51</v>
      </c>
      <c r="I495" s="11" t="n">
        <v>69.5</v>
      </c>
      <c r="J495" s="11" t="n">
        <v>47.5</v>
      </c>
      <c r="K495" s="11" t="n">
        <v>106.84</v>
      </c>
      <c r="L495" s="11" t="n">
        <v>0</v>
      </c>
      <c r="M495" s="11" t="n">
        <f aca="false">SUM(G495:L495)</f>
        <v>375.72</v>
      </c>
      <c r="N495" s="11" t="n">
        <v>21.1</v>
      </c>
      <c r="O495" s="11" t="n">
        <v>31.44</v>
      </c>
      <c r="P495" s="11" t="n">
        <v>45.6</v>
      </c>
      <c r="Q495" s="11" t="n">
        <v>24.4</v>
      </c>
      <c r="R495" s="11" t="n">
        <v>35.28</v>
      </c>
      <c r="S495" s="11" t="n">
        <v>0</v>
      </c>
      <c r="T495" s="11" t="n">
        <f aca="false">SUM(N495:S495)</f>
        <v>157.82</v>
      </c>
      <c r="U495" s="11" t="n">
        <v>6.68</v>
      </c>
      <c r="V495" s="11" t="n">
        <v>0</v>
      </c>
      <c r="W495" s="11" t="n">
        <v>38.848</v>
      </c>
      <c r="X495" s="11" t="n">
        <v>0</v>
      </c>
      <c r="Y495" s="11" t="n">
        <v>0</v>
      </c>
      <c r="Z495" s="11" t="n">
        <v>0</v>
      </c>
      <c r="AA495" s="11" t="n">
        <f aca="false">SUM(U495:Z495)</f>
        <v>45.528</v>
      </c>
      <c r="AB495" s="11" t="n">
        <v>1.58</v>
      </c>
      <c r="AC495" s="11" t="n">
        <v>0</v>
      </c>
      <c r="AD495" s="11" t="n">
        <v>24.888</v>
      </c>
      <c r="AE495" s="11" t="n">
        <v>0</v>
      </c>
      <c r="AF495" s="11" t="n">
        <v>0</v>
      </c>
      <c r="AG495" s="11" t="n">
        <v>0</v>
      </c>
      <c r="AH495" s="11" t="n">
        <f aca="false">SUM(AB495:AG495)</f>
        <v>26.468</v>
      </c>
      <c r="AI495" s="12" t="s">
        <v>955</v>
      </c>
    </row>
    <row r="496" customFormat="false" ht="15" hidden="false" customHeight="false" outlineLevel="0" collapsed="false">
      <c r="A496" s="8" t="s">
        <v>1079</v>
      </c>
      <c r="B496" s="9" t="s">
        <v>1080</v>
      </c>
      <c r="C496" s="8" t="s">
        <v>1045</v>
      </c>
      <c r="D496" s="12" t="s">
        <v>1046</v>
      </c>
      <c r="E496" s="10" t="str">
        <f aca="true">IFERROR(IF(INDEX(INDIRECT("'"&amp;$AI496&amp;"'!$E$2:$E$327"),MATCH($A496,INDIRECT("'"&amp;$AI496&amp;"'!$A$2:$A$327"),0))="","",INDEX(INDIRECT("'"&amp;$AI496&amp;"'!$E$2:$E$327"),MATCH($A496,INDIRECT("'"&amp;$AI496&amp;"'!$A$2:$A$327"),0))),"")</f>
        <v/>
      </c>
      <c r="F496" s="9" t="str">
        <f aca="false">IF($E496="","",IFERROR(INDEX(担当者マスタ!$B$2:$B$101,MATCH($E496,担当者マスタ!$A$2:$A$101,0)),"※マスタ未登録"))</f>
        <v/>
      </c>
      <c r="G496" s="11" t="n">
        <v>15.264</v>
      </c>
      <c r="H496" s="11" t="n">
        <v>50.472</v>
      </c>
      <c r="I496" s="11" t="n">
        <v>70.416</v>
      </c>
      <c r="J496" s="11" t="n">
        <v>15.264</v>
      </c>
      <c r="K496" s="11" t="n">
        <v>35.208</v>
      </c>
      <c r="L496" s="11" t="n">
        <v>35.208</v>
      </c>
      <c r="M496" s="11" t="n">
        <f aca="false">SUM(G496:L496)</f>
        <v>221.832</v>
      </c>
      <c r="N496" s="11" t="n">
        <v>5.184</v>
      </c>
      <c r="O496" s="11" t="n">
        <v>17.316</v>
      </c>
      <c r="P496" s="11" t="n">
        <v>24.048</v>
      </c>
      <c r="Q496" s="11" t="n">
        <v>5.292</v>
      </c>
      <c r="R496" s="11" t="n">
        <v>12.024</v>
      </c>
      <c r="S496" s="11" t="n">
        <v>12.024</v>
      </c>
      <c r="T496" s="11" t="n">
        <f aca="false">SUM(N496:S496)</f>
        <v>75.888</v>
      </c>
      <c r="U496" s="11" t="n">
        <v>35.208</v>
      </c>
      <c r="V496" s="11" t="n">
        <v>64.122</v>
      </c>
      <c r="W496" s="11" t="n">
        <v>105.624</v>
      </c>
      <c r="X496" s="11" t="n">
        <v>15.264</v>
      </c>
      <c r="Y496" s="11" t="n">
        <v>0</v>
      </c>
      <c r="Z496" s="11" t="n">
        <v>70.416</v>
      </c>
      <c r="AA496" s="11" t="n">
        <f aca="false">SUM(U496:Z496)</f>
        <v>290.634</v>
      </c>
      <c r="AB496" s="11" t="n">
        <v>12.024</v>
      </c>
      <c r="AC496" s="11" t="n">
        <v>21.117</v>
      </c>
      <c r="AD496" s="11" t="n">
        <v>36.072</v>
      </c>
      <c r="AE496" s="11" t="n">
        <v>5.292</v>
      </c>
      <c r="AF496" s="11" t="n">
        <v>0</v>
      </c>
      <c r="AG496" s="11" t="n">
        <v>24.048</v>
      </c>
      <c r="AH496" s="11" t="n">
        <f aca="false">SUM(AB496:AG496)</f>
        <v>98.553</v>
      </c>
      <c r="AI496" s="12" t="s">
        <v>955</v>
      </c>
    </row>
    <row r="497" customFormat="false" ht="15" hidden="false" customHeight="false" outlineLevel="0" collapsed="false">
      <c r="A497" s="8" t="s">
        <v>1081</v>
      </c>
      <c r="B497" s="12" t="s">
        <v>1082</v>
      </c>
      <c r="C497" s="8" t="s">
        <v>1045</v>
      </c>
      <c r="D497" s="12" t="s">
        <v>1046</v>
      </c>
      <c r="E497" s="10" t="str">
        <f aca="true">IFERROR(IF(INDEX(INDIRECT("'"&amp;$AI497&amp;"'!$E$2:$E$327"),MATCH($A497,INDIRECT("'"&amp;$AI497&amp;"'!$A$2:$A$327"),0))="","",INDEX(INDIRECT("'"&amp;$AI497&amp;"'!$E$2:$E$327"),MATCH($A497,INDIRECT("'"&amp;$AI497&amp;"'!$A$2:$A$327"),0))),"")</f>
        <v/>
      </c>
      <c r="F497" s="9" t="str">
        <f aca="false">IF($E497="","",IFERROR(INDEX(担当者マスタ!$B$2:$B$101,MATCH($E497,担当者マスタ!$A$2:$A$101,0)),"※マスタ未登録"))</f>
        <v/>
      </c>
      <c r="G497" s="11" t="n">
        <v>2345.624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f aca="false">SUM(G497:L497)</f>
        <v>2345.624</v>
      </c>
      <c r="N497" s="11" t="n">
        <v>522.001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f aca="false">SUM(N497:S497)</f>
        <v>522.001</v>
      </c>
      <c r="U497" s="11" t="n">
        <v>1487.712</v>
      </c>
      <c r="V497" s="11" t="n">
        <v>1166.477</v>
      </c>
      <c r="W497" s="11" t="n">
        <v>53.388</v>
      </c>
      <c r="X497" s="11" t="n">
        <v>0</v>
      </c>
      <c r="Y497" s="11" t="n">
        <v>0</v>
      </c>
      <c r="Z497" s="11" t="n">
        <v>0</v>
      </c>
      <c r="AA497" s="11" t="n">
        <f aca="false">SUM(U497:Z497)</f>
        <v>2707.577</v>
      </c>
      <c r="AB497" s="11" t="n">
        <v>301.822</v>
      </c>
      <c r="AC497" s="11" t="n">
        <v>389.176</v>
      </c>
      <c r="AD497" s="11" t="n">
        <v>23.328</v>
      </c>
      <c r="AE497" s="11" t="n">
        <v>0</v>
      </c>
      <c r="AF497" s="11" t="n">
        <v>0</v>
      </c>
      <c r="AG497" s="11" t="n">
        <v>0</v>
      </c>
      <c r="AH497" s="11" t="n">
        <f aca="false">SUM(AB497:AG497)</f>
        <v>714.326</v>
      </c>
      <c r="AI497" s="12" t="s">
        <v>955</v>
      </c>
    </row>
    <row r="498" customFormat="false" ht="15" hidden="false" customHeight="false" outlineLevel="0" collapsed="false">
      <c r="A498" s="8" t="s">
        <v>1083</v>
      </c>
      <c r="B498" s="9" t="s">
        <v>1084</v>
      </c>
      <c r="C498" s="8" t="s">
        <v>1045</v>
      </c>
      <c r="D498" s="12" t="s">
        <v>1046</v>
      </c>
      <c r="E498" s="10" t="str">
        <f aca="true">IFERROR(IF(INDEX(INDIRECT("'"&amp;$AI498&amp;"'!$E$2:$E$327"),MATCH($A498,INDIRECT("'"&amp;$AI498&amp;"'!$A$2:$A$327"),0))="","",INDEX(INDIRECT("'"&amp;$AI498&amp;"'!$E$2:$E$327"),MATCH($A498,INDIRECT("'"&amp;$AI498&amp;"'!$A$2:$A$327"),0))),"")</f>
        <v/>
      </c>
      <c r="F498" s="9" t="str">
        <f aca="false">IF($E498="","",IFERROR(INDEX(担当者マスタ!$B$2:$B$101,MATCH($E498,担当者マスタ!$A$2:$A$101,0)),"※マスタ未登録"))</f>
        <v/>
      </c>
      <c r="G498" s="11" t="n">
        <v>2502.026</v>
      </c>
      <c r="H498" s="11" t="n">
        <v>4220.415</v>
      </c>
      <c r="I498" s="11" t="n">
        <v>3197.126</v>
      </c>
      <c r="J498" s="11" t="n">
        <v>2005.146</v>
      </c>
      <c r="K498" s="11" t="n">
        <v>2300.54</v>
      </c>
      <c r="L498" s="11" t="n">
        <v>1465.481</v>
      </c>
      <c r="M498" s="11" t="n">
        <f aca="false">SUM(G498:L498)</f>
        <v>15690.734</v>
      </c>
      <c r="N498" s="11" t="n">
        <v>476.192</v>
      </c>
      <c r="O498" s="11" t="n">
        <v>601.111</v>
      </c>
      <c r="P498" s="11" t="n">
        <v>497.376</v>
      </c>
      <c r="Q498" s="11" t="n">
        <v>258.904</v>
      </c>
      <c r="R498" s="11" t="n">
        <v>321.417</v>
      </c>
      <c r="S498" s="11" t="n">
        <v>174.617</v>
      </c>
      <c r="T498" s="11" t="n">
        <f aca="false">SUM(N498:S498)</f>
        <v>2329.617</v>
      </c>
      <c r="U498" s="11" t="n">
        <v>2745.924</v>
      </c>
      <c r="V498" s="11" t="n">
        <v>4547.467</v>
      </c>
      <c r="W498" s="11" t="n">
        <v>3873.254</v>
      </c>
      <c r="X498" s="11" t="n">
        <v>2257.201</v>
      </c>
      <c r="Y498" s="11" t="n">
        <v>3335.488</v>
      </c>
      <c r="Z498" s="11" t="n">
        <v>2330.977</v>
      </c>
      <c r="AA498" s="11" t="n">
        <f aca="false">SUM(U498:Z498)</f>
        <v>19090.311</v>
      </c>
      <c r="AB498" s="11" t="n">
        <v>399.726</v>
      </c>
      <c r="AC498" s="11" t="n">
        <v>923.684</v>
      </c>
      <c r="AD498" s="11" t="n">
        <v>507.68</v>
      </c>
      <c r="AE498" s="11" t="n">
        <v>270.369</v>
      </c>
      <c r="AF498" s="11" t="n">
        <v>442.776</v>
      </c>
      <c r="AG498" s="11" t="n">
        <v>242.295</v>
      </c>
      <c r="AH498" s="11" t="n">
        <f aca="false">SUM(AB498:AG498)</f>
        <v>2786.53</v>
      </c>
      <c r="AI498" s="12" t="s">
        <v>955</v>
      </c>
    </row>
    <row r="499" customFormat="false" ht="15" hidden="false" customHeight="false" outlineLevel="0" collapsed="false">
      <c r="A499" s="8" t="s">
        <v>1085</v>
      </c>
      <c r="B499" s="12" t="s">
        <v>1086</v>
      </c>
      <c r="C499" s="8" t="s">
        <v>1045</v>
      </c>
      <c r="D499" s="12" t="s">
        <v>1046</v>
      </c>
      <c r="E499" s="10" t="str">
        <f aca="true">IFERROR(IF(INDEX(INDIRECT("'"&amp;$AI499&amp;"'!$E$2:$E$327"),MATCH($A499,INDIRECT("'"&amp;$AI499&amp;"'!$A$2:$A$327"),0))="","",INDEX(INDIRECT("'"&amp;$AI499&amp;"'!$E$2:$E$327"),MATCH($A499,INDIRECT("'"&amp;$AI499&amp;"'!$A$2:$A$327"),0))),"")</f>
        <v/>
      </c>
      <c r="F499" s="9" t="str">
        <f aca="false">IF($E499="","",IFERROR(INDEX(担当者マスタ!$B$2:$B$101,MATCH($E499,担当者マスタ!$A$2:$A$101,0)),"※マスタ未登録"))</f>
        <v/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f aca="false">SUM(G499:L499)</f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f aca="false">SUM(N499:S499)</f>
        <v>0</v>
      </c>
      <c r="U499" s="11" t="n">
        <v>4.62</v>
      </c>
      <c r="V499" s="11" t="n">
        <v>0</v>
      </c>
      <c r="W499" s="11" t="n">
        <v>0</v>
      </c>
      <c r="X499" s="11" t="n">
        <v>0</v>
      </c>
      <c r="Y499" s="11" t="n">
        <v>0</v>
      </c>
      <c r="Z499" s="11" t="n">
        <v>0</v>
      </c>
      <c r="AA499" s="11" t="n">
        <f aca="false">SUM(U499:Z499)</f>
        <v>4.62</v>
      </c>
      <c r="AB499" s="11" t="n">
        <v>0.94</v>
      </c>
      <c r="AC499" s="11" t="n">
        <v>0</v>
      </c>
      <c r="AD499" s="11" t="n">
        <v>0</v>
      </c>
      <c r="AE499" s="11" t="n">
        <v>0</v>
      </c>
      <c r="AF499" s="11" t="n">
        <v>0</v>
      </c>
      <c r="AG499" s="11" t="n">
        <v>0</v>
      </c>
      <c r="AH499" s="11" t="n">
        <f aca="false">SUM(AB499:AG499)</f>
        <v>0.94</v>
      </c>
      <c r="AI499" s="12" t="s">
        <v>955</v>
      </c>
    </row>
    <row r="500" customFormat="false" ht="15" hidden="false" customHeight="false" outlineLevel="0" collapsed="false">
      <c r="A500" s="8" t="s">
        <v>1087</v>
      </c>
      <c r="B500" s="9" t="s">
        <v>1088</v>
      </c>
      <c r="C500" s="8" t="s">
        <v>1045</v>
      </c>
      <c r="D500" s="12" t="s">
        <v>1046</v>
      </c>
      <c r="E500" s="10" t="str">
        <f aca="true">IFERROR(IF(INDEX(INDIRECT("'"&amp;$AI500&amp;"'!$E$2:$E$327"),MATCH($A500,INDIRECT("'"&amp;$AI500&amp;"'!$A$2:$A$327"),0))="","",INDEX(INDIRECT("'"&amp;$AI500&amp;"'!$E$2:$E$327"),MATCH($A500,INDIRECT("'"&amp;$AI500&amp;"'!$A$2:$A$327"),0))),"")</f>
        <v/>
      </c>
      <c r="F500" s="9" t="str">
        <f aca="false">IF($E500="","",IFERROR(INDEX(担当者マスタ!$B$2:$B$101,MATCH($E500,担当者マスタ!$A$2:$A$101,0)),"※マスタ未登録"))</f>
        <v/>
      </c>
      <c r="G500" s="11" t="n">
        <v>135.984</v>
      </c>
      <c r="H500" s="11" t="n">
        <v>556.234</v>
      </c>
      <c r="I500" s="11" t="n">
        <v>71.7</v>
      </c>
      <c r="J500" s="11" t="n">
        <v>83.184</v>
      </c>
      <c r="K500" s="11" t="n">
        <v>0</v>
      </c>
      <c r="L500" s="11" t="n">
        <v>307.534</v>
      </c>
      <c r="M500" s="11" t="n">
        <f aca="false">SUM(G500:L500)</f>
        <v>1154.636</v>
      </c>
      <c r="N500" s="11" t="n">
        <v>46.224</v>
      </c>
      <c r="O500" s="11" t="n">
        <v>134.56</v>
      </c>
      <c r="P500" s="11" t="n">
        <v>22</v>
      </c>
      <c r="Q500" s="11" t="n">
        <v>28.11</v>
      </c>
      <c r="R500" s="11" t="n">
        <v>0</v>
      </c>
      <c r="S500" s="11" t="n">
        <v>64.41</v>
      </c>
      <c r="T500" s="11" t="n">
        <f aca="false">SUM(N500:S500)</f>
        <v>295.304</v>
      </c>
      <c r="U500" s="11" t="n">
        <v>129.6</v>
      </c>
      <c r="V500" s="11" t="n">
        <v>120.634</v>
      </c>
      <c r="W500" s="11" t="n">
        <v>368.184</v>
      </c>
      <c r="X500" s="11" t="n">
        <v>301.95</v>
      </c>
      <c r="Y500" s="11" t="n">
        <v>44.784</v>
      </c>
      <c r="Z500" s="11" t="n">
        <v>0</v>
      </c>
      <c r="AA500" s="11" t="n">
        <f aca="false">SUM(U500:Z500)</f>
        <v>965.152</v>
      </c>
      <c r="AB500" s="11" t="n">
        <v>47.4</v>
      </c>
      <c r="AC500" s="11" t="n">
        <v>45.56</v>
      </c>
      <c r="AD500" s="11" t="n">
        <v>80.78</v>
      </c>
      <c r="AE500" s="11" t="n">
        <v>96.06</v>
      </c>
      <c r="AF500" s="11" t="n">
        <v>16.692</v>
      </c>
      <c r="AG500" s="11" t="n">
        <v>0</v>
      </c>
      <c r="AH500" s="11" t="n">
        <f aca="false">SUM(AB500:AG500)</f>
        <v>286.492</v>
      </c>
      <c r="AI500" s="12" t="s">
        <v>955</v>
      </c>
    </row>
    <row r="501" customFormat="false" ht="15" hidden="false" customHeight="false" outlineLevel="0" collapsed="false">
      <c r="A501" s="8" t="s">
        <v>1089</v>
      </c>
      <c r="B501" s="12" t="s">
        <v>1090</v>
      </c>
      <c r="C501" s="8" t="s">
        <v>1045</v>
      </c>
      <c r="D501" s="12" t="s">
        <v>1046</v>
      </c>
      <c r="E501" s="10" t="str">
        <f aca="true">IFERROR(IF(INDEX(INDIRECT("'"&amp;$AI501&amp;"'!$E$2:$E$327"),MATCH($A501,INDIRECT("'"&amp;$AI501&amp;"'!$A$2:$A$327"),0))="","",INDEX(INDIRECT("'"&amp;$AI501&amp;"'!$E$2:$E$327"),MATCH($A501,INDIRECT("'"&amp;$AI501&amp;"'!$A$2:$A$327"),0))),"")</f>
        <v/>
      </c>
      <c r="F501" s="9" t="str">
        <f aca="false">IF($E501="","",IFERROR(INDEX(担当者マスタ!$B$2:$B$101,MATCH($E501,担当者マスタ!$A$2:$A$101,0)),"※マスタ未登録"))</f>
        <v/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f aca="false">SUM(G501:L501)</f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f aca="false">SUM(N501:S501)</f>
        <v>0</v>
      </c>
      <c r="U501" s="11" t="n">
        <v>50.4</v>
      </c>
      <c r="V501" s="11" t="n">
        <v>1265</v>
      </c>
      <c r="W501" s="11" t="n">
        <v>133.54</v>
      </c>
      <c r="X501" s="11" t="n">
        <v>0</v>
      </c>
      <c r="Y501" s="11" t="n">
        <v>125.835</v>
      </c>
      <c r="Z501" s="11" t="n">
        <v>0</v>
      </c>
      <c r="AA501" s="11" t="n">
        <f aca="false">SUM(U501:Z501)</f>
        <v>1574.775</v>
      </c>
      <c r="AB501" s="11" t="n">
        <v>9.288</v>
      </c>
      <c r="AC501" s="11" t="n">
        <v>78.2</v>
      </c>
      <c r="AD501" s="11" t="n">
        <v>26.024</v>
      </c>
      <c r="AE501" s="11" t="n">
        <v>0</v>
      </c>
      <c r="AF501" s="11" t="n">
        <v>24.798</v>
      </c>
      <c r="AG501" s="11" t="n">
        <v>0</v>
      </c>
      <c r="AH501" s="11" t="n">
        <f aca="false">SUM(AB501:AG501)</f>
        <v>138.31</v>
      </c>
      <c r="AI501" s="12" t="s">
        <v>955</v>
      </c>
    </row>
    <row r="502" customFormat="false" ht="15" hidden="false" customHeight="false" outlineLevel="0" collapsed="false">
      <c r="A502" s="8" t="s">
        <v>1091</v>
      </c>
      <c r="B502" s="9" t="s">
        <v>1092</v>
      </c>
      <c r="C502" s="8" t="s">
        <v>1045</v>
      </c>
      <c r="D502" s="12" t="s">
        <v>1046</v>
      </c>
      <c r="E502" s="10" t="str">
        <f aca="true">IFERROR(IF(INDEX(INDIRECT("'"&amp;$AI502&amp;"'!$E$2:$E$327"),MATCH($A502,INDIRECT("'"&amp;$AI502&amp;"'!$A$2:$A$327"),0))="","",INDEX(INDIRECT("'"&amp;$AI502&amp;"'!$E$2:$E$327"),MATCH($A502,INDIRECT("'"&amp;$AI502&amp;"'!$A$2:$A$327"),0))),"")</f>
        <v/>
      </c>
      <c r="F502" s="9" t="str">
        <f aca="false">IF($E502="","",IFERROR(INDEX(担当者マスタ!$B$2:$B$101,MATCH($E502,担当者マスタ!$A$2:$A$101,0)),"※マスタ未登録"))</f>
        <v/>
      </c>
      <c r="G502" s="11" t="n">
        <v>0</v>
      </c>
      <c r="H502" s="11" t="n">
        <v>0</v>
      </c>
      <c r="I502" s="11" t="n">
        <v>0</v>
      </c>
      <c r="J502" s="11" t="n">
        <v>103.36</v>
      </c>
      <c r="K502" s="11" t="n">
        <v>11.05</v>
      </c>
      <c r="L502" s="11" t="n">
        <v>0</v>
      </c>
      <c r="M502" s="11" t="n">
        <f aca="false">SUM(G502:L502)</f>
        <v>114.41</v>
      </c>
      <c r="N502" s="11" t="n">
        <v>0</v>
      </c>
      <c r="O502" s="11" t="n">
        <v>0</v>
      </c>
      <c r="P502" s="11" t="n">
        <v>0</v>
      </c>
      <c r="Q502" s="11" t="n">
        <v>30.36</v>
      </c>
      <c r="R502" s="11" t="n">
        <v>3.224</v>
      </c>
      <c r="S502" s="11" t="n">
        <v>0</v>
      </c>
      <c r="T502" s="11" t="n">
        <f aca="false">SUM(N502:S502)</f>
        <v>33.584</v>
      </c>
      <c r="U502" s="11" t="n">
        <v>0</v>
      </c>
      <c r="V502" s="11" t="n">
        <v>0</v>
      </c>
      <c r="W502" s="11" t="n">
        <v>0</v>
      </c>
      <c r="X502" s="11" t="n">
        <v>0</v>
      </c>
      <c r="Y502" s="11" t="n">
        <v>0</v>
      </c>
      <c r="Z502" s="11" t="n">
        <v>0</v>
      </c>
      <c r="AA502" s="11" t="n">
        <f aca="false">SUM(U502:Z502)</f>
        <v>0</v>
      </c>
      <c r="AB502" s="11" t="n">
        <v>0</v>
      </c>
      <c r="AC502" s="11" t="n">
        <v>0</v>
      </c>
      <c r="AD502" s="11" t="n">
        <v>0</v>
      </c>
      <c r="AE502" s="11" t="n">
        <v>0</v>
      </c>
      <c r="AF502" s="11" t="n">
        <v>0</v>
      </c>
      <c r="AG502" s="11" t="n">
        <v>0</v>
      </c>
      <c r="AH502" s="11" t="n">
        <f aca="false">SUM(AB502:AG502)</f>
        <v>0</v>
      </c>
      <c r="AI502" s="12" t="s">
        <v>955</v>
      </c>
    </row>
    <row r="503" customFormat="false" ht="15" hidden="false" customHeight="false" outlineLevel="0" collapsed="false">
      <c r="A503" s="8" t="s">
        <v>1093</v>
      </c>
      <c r="B503" s="9" t="s">
        <v>1094</v>
      </c>
      <c r="C503" s="8" t="s">
        <v>1045</v>
      </c>
      <c r="D503" s="12" t="s">
        <v>1046</v>
      </c>
      <c r="E503" s="10" t="str">
        <f aca="true">IFERROR(IF(INDEX(INDIRECT("'"&amp;$AI503&amp;"'!$E$2:$E$327"),MATCH($A503,INDIRECT("'"&amp;$AI503&amp;"'!$A$2:$A$327"),0))="","",INDEX(INDIRECT("'"&amp;$AI503&amp;"'!$E$2:$E$327"),MATCH($A503,INDIRECT("'"&amp;$AI503&amp;"'!$A$2:$A$327"),0))),"")</f>
        <v/>
      </c>
      <c r="F503" s="9" t="str">
        <f aca="false">IF($E503="","",IFERROR(INDEX(担当者マスタ!$B$2:$B$101,MATCH($E503,担当者マスタ!$A$2:$A$101,0)),"※マスタ未登録"))</f>
        <v/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f aca="false">SUM(G503:L503)</f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f aca="false">SUM(N503:S503)</f>
        <v>0</v>
      </c>
      <c r="U503" s="11" t="n">
        <v>0</v>
      </c>
      <c r="V503" s="11" t="n">
        <v>29.4</v>
      </c>
      <c r="W503" s="11" t="n">
        <v>0</v>
      </c>
      <c r="X503" s="11" t="n">
        <v>0</v>
      </c>
      <c r="Y503" s="11" t="n">
        <v>0</v>
      </c>
      <c r="Z503" s="11" t="n">
        <v>0</v>
      </c>
      <c r="AA503" s="11" t="n">
        <f aca="false">SUM(U503:Z503)</f>
        <v>29.4</v>
      </c>
      <c r="AB503" s="11" t="n">
        <v>0</v>
      </c>
      <c r="AC503" s="11" t="n">
        <v>9.4</v>
      </c>
      <c r="AD503" s="11" t="n">
        <v>0</v>
      </c>
      <c r="AE503" s="11" t="n">
        <v>0</v>
      </c>
      <c r="AF503" s="11" t="n">
        <v>0</v>
      </c>
      <c r="AG503" s="11" t="n">
        <v>0</v>
      </c>
      <c r="AH503" s="11" t="n">
        <f aca="false">SUM(AB503:AG503)</f>
        <v>9.4</v>
      </c>
      <c r="AI503" s="12" t="s">
        <v>955</v>
      </c>
    </row>
    <row r="504" customFormat="false" ht="15" hidden="false" customHeight="false" outlineLevel="0" collapsed="false">
      <c r="A504" s="8" t="s">
        <v>1095</v>
      </c>
      <c r="B504" s="9" t="s">
        <v>1096</v>
      </c>
      <c r="C504" s="8" t="s">
        <v>1045</v>
      </c>
      <c r="D504" s="12" t="s">
        <v>1046</v>
      </c>
      <c r="E504" s="10" t="str">
        <f aca="true">IFERROR(IF(INDEX(INDIRECT("'"&amp;$AI504&amp;"'!$E$2:$E$327"),MATCH($A504,INDIRECT("'"&amp;$AI504&amp;"'!$A$2:$A$327"),0))="","",INDEX(INDIRECT("'"&amp;$AI504&amp;"'!$E$2:$E$327"),MATCH($A504,INDIRECT("'"&amp;$AI504&amp;"'!$A$2:$A$327"),0))),"")</f>
        <v/>
      </c>
      <c r="F504" s="9" t="str">
        <f aca="false">IF($E504="","",IFERROR(INDEX(担当者マスタ!$B$2:$B$101,MATCH($E504,担当者マスタ!$A$2:$A$101,0)),"※マスタ未登録"))</f>
        <v/>
      </c>
      <c r="G504" s="11" t="n">
        <v>45</v>
      </c>
      <c r="H504" s="11" t="n">
        <v>33.12</v>
      </c>
      <c r="I504" s="11" t="n">
        <v>8</v>
      </c>
      <c r="J504" s="11" t="n">
        <v>83.33</v>
      </c>
      <c r="K504" s="11" t="n">
        <v>34.68</v>
      </c>
      <c r="L504" s="11" t="n">
        <v>0</v>
      </c>
      <c r="M504" s="11" t="n">
        <f aca="false">SUM(G504:L504)</f>
        <v>204.13</v>
      </c>
      <c r="N504" s="11" t="n">
        <v>10.8</v>
      </c>
      <c r="O504" s="11" t="n">
        <v>9.855</v>
      </c>
      <c r="P504" s="11" t="n">
        <v>2.775</v>
      </c>
      <c r="Q504" s="11" t="n">
        <v>14.675</v>
      </c>
      <c r="R504" s="11" t="n">
        <v>8.88</v>
      </c>
      <c r="S504" s="11" t="n">
        <v>0</v>
      </c>
      <c r="T504" s="11" t="n">
        <f aca="false">SUM(N504:S504)</f>
        <v>46.985</v>
      </c>
      <c r="U504" s="11" t="n">
        <v>66.92</v>
      </c>
      <c r="V504" s="11" t="n">
        <v>53.88</v>
      </c>
      <c r="W504" s="11" t="n">
        <v>0</v>
      </c>
      <c r="X504" s="11" t="n">
        <v>45</v>
      </c>
      <c r="Y504" s="11" t="n">
        <v>0</v>
      </c>
      <c r="Z504" s="11" t="n">
        <v>351.979</v>
      </c>
      <c r="AA504" s="11" t="n">
        <f aca="false">SUM(U504:Z504)</f>
        <v>517.779</v>
      </c>
      <c r="AB504" s="11" t="n">
        <v>18.905</v>
      </c>
      <c r="AC504" s="11" t="n">
        <v>16.8</v>
      </c>
      <c r="AD504" s="11" t="n">
        <v>0</v>
      </c>
      <c r="AE504" s="11" t="n">
        <v>15.75</v>
      </c>
      <c r="AF504" s="11" t="n">
        <v>0</v>
      </c>
      <c r="AG504" s="11" t="n">
        <v>37.813</v>
      </c>
      <c r="AH504" s="11" t="n">
        <f aca="false">SUM(AB504:AG504)</f>
        <v>89.268</v>
      </c>
      <c r="AI504" s="12" t="s">
        <v>955</v>
      </c>
    </row>
    <row r="505" customFormat="false" ht="15" hidden="false" customHeight="false" outlineLevel="0" collapsed="false">
      <c r="A505" s="8" t="s">
        <v>1097</v>
      </c>
      <c r="B505" s="12" t="s">
        <v>1098</v>
      </c>
      <c r="C505" s="8" t="s">
        <v>1045</v>
      </c>
      <c r="D505" s="12" t="s">
        <v>1046</v>
      </c>
      <c r="E505" s="10" t="str">
        <f aca="true">IFERROR(IF(INDEX(INDIRECT("'"&amp;$AI505&amp;"'!$E$2:$E$327"),MATCH($A505,INDIRECT("'"&amp;$AI505&amp;"'!$A$2:$A$327"),0))="","",INDEX(INDIRECT("'"&amp;$AI505&amp;"'!$E$2:$E$327"),MATCH($A505,INDIRECT("'"&amp;$AI505&amp;"'!$A$2:$A$327"),0))),"")</f>
        <v/>
      </c>
      <c r="F505" s="9" t="str">
        <f aca="false">IF($E505="","",IFERROR(INDEX(担当者マスタ!$B$2:$B$101,MATCH($E505,担当者マスタ!$A$2:$A$101,0)),"※マスタ未登録"))</f>
        <v/>
      </c>
      <c r="G505" s="11" t="n">
        <v>66.265</v>
      </c>
      <c r="H505" s="11" t="n">
        <v>82.3</v>
      </c>
      <c r="I505" s="11" t="n">
        <v>86.974</v>
      </c>
      <c r="J505" s="11" t="n">
        <v>52.377</v>
      </c>
      <c r="K505" s="11" t="n">
        <v>51.907</v>
      </c>
      <c r="L505" s="11" t="n">
        <v>55.651</v>
      </c>
      <c r="M505" s="11" t="n">
        <f aca="false">SUM(G505:L505)</f>
        <v>395.474</v>
      </c>
      <c r="N505" s="11" t="n">
        <v>24.566</v>
      </c>
      <c r="O505" s="11" t="n">
        <v>28.557</v>
      </c>
      <c r="P505" s="11" t="n">
        <v>32.079</v>
      </c>
      <c r="Q505" s="11" t="n">
        <v>14.737</v>
      </c>
      <c r="R505" s="11" t="n">
        <v>19.366</v>
      </c>
      <c r="S505" s="11" t="n">
        <v>22.802</v>
      </c>
      <c r="T505" s="11" t="n">
        <f aca="false">SUM(N505:S505)</f>
        <v>142.107</v>
      </c>
      <c r="U505" s="11" t="n">
        <v>99.736</v>
      </c>
      <c r="V505" s="11" t="n">
        <v>82.126</v>
      </c>
      <c r="W505" s="11" t="n">
        <v>90.391</v>
      </c>
      <c r="X505" s="11" t="n">
        <v>106.312</v>
      </c>
      <c r="Y505" s="11" t="n">
        <v>153.849</v>
      </c>
      <c r="Z505" s="11" t="n">
        <v>92.471</v>
      </c>
      <c r="AA505" s="11" t="n">
        <f aca="false">SUM(U505:Z505)</f>
        <v>624.885</v>
      </c>
      <c r="AB505" s="11" t="n">
        <v>41.1</v>
      </c>
      <c r="AC505" s="11" t="n">
        <v>30.128</v>
      </c>
      <c r="AD505" s="11" t="n">
        <v>36.228</v>
      </c>
      <c r="AE505" s="11" t="n">
        <v>36.981</v>
      </c>
      <c r="AF505" s="11" t="n">
        <v>50.404</v>
      </c>
      <c r="AG505" s="11" t="n">
        <v>33.437</v>
      </c>
      <c r="AH505" s="11" t="n">
        <f aca="false">SUM(AB505:AG505)</f>
        <v>228.278</v>
      </c>
      <c r="AI505" s="12" t="s">
        <v>955</v>
      </c>
    </row>
    <row r="506" customFormat="false" ht="15" hidden="false" customHeight="false" outlineLevel="0" collapsed="false">
      <c r="A506" s="8" t="s">
        <v>1099</v>
      </c>
      <c r="B506" s="12" t="s">
        <v>1100</v>
      </c>
      <c r="C506" s="8" t="s">
        <v>1045</v>
      </c>
      <c r="D506" s="12" t="s">
        <v>1046</v>
      </c>
      <c r="E506" s="10" t="str">
        <f aca="true">IFERROR(IF(INDEX(INDIRECT("'"&amp;$AI506&amp;"'!$E$2:$E$327"),MATCH($A506,INDIRECT("'"&amp;$AI506&amp;"'!$A$2:$A$327"),0))="","",INDEX(INDIRECT("'"&amp;$AI506&amp;"'!$E$2:$E$327"),MATCH($A506,INDIRECT("'"&amp;$AI506&amp;"'!$A$2:$A$327"),0))),"")</f>
        <v/>
      </c>
      <c r="F506" s="9" t="str">
        <f aca="false">IF($E506="","",IFERROR(INDEX(担当者マスタ!$B$2:$B$101,MATCH($E506,担当者マスタ!$A$2:$A$101,0)),"※マスタ未登録"))</f>
        <v/>
      </c>
      <c r="G506" s="11" t="n">
        <v>84.549</v>
      </c>
      <c r="H506" s="11" t="n">
        <v>223.817</v>
      </c>
      <c r="I506" s="11" t="n">
        <v>55.833</v>
      </c>
      <c r="J506" s="11" t="n">
        <v>77.15</v>
      </c>
      <c r="K506" s="11" t="n">
        <v>68.363</v>
      </c>
      <c r="L506" s="11" t="n">
        <v>14.476</v>
      </c>
      <c r="M506" s="11" t="n">
        <f aca="false">SUM(G506:L506)</f>
        <v>524.188</v>
      </c>
      <c r="N506" s="11" t="n">
        <v>30.303</v>
      </c>
      <c r="O506" s="11" t="n">
        <v>55.778</v>
      </c>
      <c r="P506" s="11" t="n">
        <v>14.257</v>
      </c>
      <c r="Q506" s="11" t="n">
        <v>17.675</v>
      </c>
      <c r="R506" s="11" t="n">
        <v>21.213</v>
      </c>
      <c r="S506" s="11" t="n">
        <v>2.951</v>
      </c>
      <c r="T506" s="11" t="n">
        <f aca="false">SUM(N506:S506)</f>
        <v>142.177</v>
      </c>
      <c r="U506" s="11" t="n">
        <v>175.607</v>
      </c>
      <c r="V506" s="11" t="n">
        <v>141.631</v>
      </c>
      <c r="W506" s="11" t="n">
        <v>243.183</v>
      </c>
      <c r="X506" s="11" t="n">
        <v>54.935</v>
      </c>
      <c r="Y506" s="11" t="n">
        <v>124.707</v>
      </c>
      <c r="Z506" s="11" t="n">
        <v>231.449</v>
      </c>
      <c r="AA506" s="11" t="n">
        <f aca="false">SUM(U506:Z506)</f>
        <v>971.512</v>
      </c>
      <c r="AB506" s="11" t="n">
        <v>51.218</v>
      </c>
      <c r="AC506" s="11" t="n">
        <v>36.896</v>
      </c>
      <c r="AD506" s="11" t="n">
        <v>62.896</v>
      </c>
      <c r="AE506" s="11" t="n">
        <v>12.435</v>
      </c>
      <c r="AF506" s="11" t="n">
        <v>28.118</v>
      </c>
      <c r="AG506" s="11" t="n">
        <v>54.426</v>
      </c>
      <c r="AH506" s="11" t="n">
        <f aca="false">SUM(AB506:AG506)</f>
        <v>245.989</v>
      </c>
      <c r="AI506" s="12" t="s">
        <v>955</v>
      </c>
    </row>
    <row r="507" customFormat="false" ht="15" hidden="false" customHeight="false" outlineLevel="0" collapsed="false">
      <c r="A507" s="8" t="s">
        <v>1101</v>
      </c>
      <c r="B507" s="12" t="s">
        <v>1102</v>
      </c>
      <c r="C507" s="8" t="s">
        <v>1045</v>
      </c>
      <c r="D507" s="12" t="s">
        <v>1046</v>
      </c>
      <c r="E507" s="10" t="str">
        <f aca="true">IFERROR(IF(INDEX(INDIRECT("'"&amp;$AI507&amp;"'!$E$2:$E$327"),MATCH($A507,INDIRECT("'"&amp;$AI507&amp;"'!$A$2:$A$327"),0))="","",INDEX(INDIRECT("'"&amp;$AI507&amp;"'!$E$2:$E$327"),MATCH($A507,INDIRECT("'"&amp;$AI507&amp;"'!$A$2:$A$327"),0))),"")</f>
        <v/>
      </c>
      <c r="F507" s="9" t="str">
        <f aca="false">IF($E507="","",IFERROR(INDEX(担当者マスタ!$B$2:$B$101,MATCH($E507,担当者マスタ!$A$2:$A$101,0)),"※マスタ未登録"))</f>
        <v/>
      </c>
      <c r="G507" s="11" t="n">
        <v>76.4</v>
      </c>
      <c r="H507" s="11" t="n">
        <v>0</v>
      </c>
      <c r="I507" s="11" t="n">
        <v>311.04</v>
      </c>
      <c r="J507" s="11" t="n">
        <v>0</v>
      </c>
      <c r="K507" s="11" t="n">
        <v>0</v>
      </c>
      <c r="L507" s="11" t="n">
        <v>311.04</v>
      </c>
      <c r="M507" s="11" t="n">
        <f aca="false">SUM(G507:L507)</f>
        <v>698.48</v>
      </c>
      <c r="N507" s="11" t="n">
        <v>10.4</v>
      </c>
      <c r="O507" s="11" t="n">
        <v>0</v>
      </c>
      <c r="P507" s="11" t="n">
        <v>55.08</v>
      </c>
      <c r="Q507" s="11" t="n">
        <v>0</v>
      </c>
      <c r="R507" s="11" t="n">
        <v>0</v>
      </c>
      <c r="S507" s="11" t="n">
        <v>55.08</v>
      </c>
      <c r="T507" s="11" t="n">
        <f aca="false">SUM(N507:S507)</f>
        <v>120.56</v>
      </c>
      <c r="U507" s="11" t="n">
        <v>24.88</v>
      </c>
      <c r="V507" s="11" t="n">
        <v>34.7</v>
      </c>
      <c r="W507" s="11" t="n">
        <v>32.5</v>
      </c>
      <c r="X507" s="11" t="n">
        <v>34.7</v>
      </c>
      <c r="Y507" s="11" t="n">
        <v>686.84</v>
      </c>
      <c r="Z507" s="11" t="n">
        <v>0</v>
      </c>
      <c r="AA507" s="11" t="n">
        <f aca="false">SUM(U507:Z507)</f>
        <v>813.62</v>
      </c>
      <c r="AB507" s="11" t="n">
        <v>3.483</v>
      </c>
      <c r="AC507" s="11" t="n">
        <v>5.7</v>
      </c>
      <c r="AD507" s="11" t="n">
        <v>5.3</v>
      </c>
      <c r="AE507" s="11" t="n">
        <v>5.7</v>
      </c>
      <c r="AF507" s="11" t="n">
        <v>115.377</v>
      </c>
      <c r="AG507" s="11" t="n">
        <v>0</v>
      </c>
      <c r="AH507" s="11" t="n">
        <f aca="false">SUM(AB507:AG507)</f>
        <v>135.56</v>
      </c>
      <c r="AI507" s="12" t="s">
        <v>955</v>
      </c>
    </row>
    <row r="508" customFormat="false" ht="15" hidden="false" customHeight="false" outlineLevel="0" collapsed="false">
      <c r="A508" s="8" t="s">
        <v>1103</v>
      </c>
      <c r="B508" s="9" t="s">
        <v>1104</v>
      </c>
      <c r="C508" s="8" t="s">
        <v>1045</v>
      </c>
      <c r="D508" s="12" t="s">
        <v>1046</v>
      </c>
      <c r="E508" s="10" t="str">
        <f aca="true">IFERROR(IF(INDEX(INDIRECT("'"&amp;$AI508&amp;"'!$E$2:$E$327"),MATCH($A508,INDIRECT("'"&amp;$AI508&amp;"'!$A$2:$A$327"),0))="","",INDEX(INDIRECT("'"&amp;$AI508&amp;"'!$E$2:$E$327"),MATCH($A508,INDIRECT("'"&amp;$AI508&amp;"'!$A$2:$A$327"),0))),"")</f>
        <v/>
      </c>
      <c r="F508" s="9" t="str">
        <f aca="false">IF($E508="","",IFERROR(INDEX(担当者マスタ!$B$2:$B$101,MATCH($E508,担当者マスタ!$A$2:$A$101,0)),"※マスタ未登録"))</f>
        <v/>
      </c>
      <c r="G508" s="11" t="n">
        <v>0</v>
      </c>
      <c r="H508" s="11" t="n">
        <v>388.2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f aca="false">SUM(G508:L508)</f>
        <v>388.2</v>
      </c>
      <c r="N508" s="11" t="n">
        <v>0</v>
      </c>
      <c r="O508" s="11" t="n">
        <v>144.6</v>
      </c>
      <c r="P508" s="11" t="n">
        <v>0</v>
      </c>
      <c r="Q508" s="11" t="n">
        <v>0</v>
      </c>
      <c r="R508" s="11" t="n">
        <v>0</v>
      </c>
      <c r="S508" s="11" t="n">
        <v>0</v>
      </c>
      <c r="T508" s="11" t="n">
        <f aca="false">SUM(N508:S508)</f>
        <v>144.6</v>
      </c>
      <c r="U508" s="11" t="n">
        <v>0</v>
      </c>
      <c r="V508" s="11" t="n">
        <v>0</v>
      </c>
      <c r="W508" s="11" t="n">
        <v>0</v>
      </c>
      <c r="X508" s="11" t="n">
        <v>0</v>
      </c>
      <c r="Y508" s="11" t="n">
        <v>0</v>
      </c>
      <c r="Z508" s="11" t="n">
        <v>0</v>
      </c>
      <c r="AA508" s="11" t="n">
        <f aca="false">SUM(U508:Z508)</f>
        <v>0</v>
      </c>
      <c r="AB508" s="11" t="n">
        <v>0</v>
      </c>
      <c r="AC508" s="11" t="n">
        <v>0</v>
      </c>
      <c r="AD508" s="11" t="n">
        <v>0</v>
      </c>
      <c r="AE508" s="11" t="n">
        <v>0</v>
      </c>
      <c r="AF508" s="11" t="n">
        <v>0</v>
      </c>
      <c r="AG508" s="11" t="n">
        <v>0</v>
      </c>
      <c r="AH508" s="11" t="n">
        <f aca="false">SUM(AB508:AG508)</f>
        <v>0</v>
      </c>
      <c r="AI508" s="12" t="s">
        <v>955</v>
      </c>
    </row>
    <row r="509" customFormat="false" ht="15" hidden="false" customHeight="false" outlineLevel="0" collapsed="false">
      <c r="A509" s="8" t="s">
        <v>1105</v>
      </c>
      <c r="B509" s="12" t="s">
        <v>1106</v>
      </c>
      <c r="C509" s="8" t="s">
        <v>1045</v>
      </c>
      <c r="D509" s="12" t="s">
        <v>1046</v>
      </c>
      <c r="E509" s="10" t="str">
        <f aca="true">IFERROR(IF(INDEX(INDIRECT("'"&amp;$AI509&amp;"'!$E$2:$E$327"),MATCH($A509,INDIRECT("'"&amp;$AI509&amp;"'!$A$2:$A$327"),0))="","",INDEX(INDIRECT("'"&amp;$AI509&amp;"'!$E$2:$E$327"),MATCH($A509,INDIRECT("'"&amp;$AI509&amp;"'!$A$2:$A$327"),0))),"")</f>
        <v/>
      </c>
      <c r="F509" s="9" t="str">
        <f aca="false">IF($E509="","",IFERROR(INDEX(担当者マスタ!$B$2:$B$101,MATCH($E509,担当者マスタ!$A$2:$A$101,0)),"※マスタ未登録"))</f>
        <v/>
      </c>
      <c r="G509" s="11" t="n">
        <v>0</v>
      </c>
      <c r="H509" s="11" t="n">
        <v>17</v>
      </c>
      <c r="I509" s="11" t="n">
        <v>108.5</v>
      </c>
      <c r="J509" s="11" t="n">
        <v>0</v>
      </c>
      <c r="K509" s="11" t="n">
        <v>0</v>
      </c>
      <c r="L509" s="11" t="n">
        <v>0</v>
      </c>
      <c r="M509" s="11" t="n">
        <f aca="false">SUM(G509:L509)</f>
        <v>125.5</v>
      </c>
      <c r="N509" s="11" t="n">
        <v>0</v>
      </c>
      <c r="O509" s="11" t="n">
        <v>17</v>
      </c>
      <c r="P509" s="11" t="n">
        <v>18.5</v>
      </c>
      <c r="Q509" s="11" t="n">
        <v>0</v>
      </c>
      <c r="R509" s="11" t="n">
        <v>0</v>
      </c>
      <c r="S509" s="11" t="n">
        <v>0</v>
      </c>
      <c r="T509" s="11" t="n">
        <f aca="false">SUM(N509:S509)</f>
        <v>35.5</v>
      </c>
      <c r="U509" s="11" t="n">
        <v>0</v>
      </c>
      <c r="V509" s="11" t="n">
        <v>29</v>
      </c>
      <c r="W509" s="11" t="n">
        <v>103.6</v>
      </c>
      <c r="X509" s="11" t="n">
        <v>0</v>
      </c>
      <c r="Y509" s="11" t="n">
        <v>0</v>
      </c>
      <c r="Z509" s="11" t="n">
        <v>0</v>
      </c>
      <c r="AA509" s="11" t="n">
        <f aca="false">SUM(U509:Z509)</f>
        <v>132.6</v>
      </c>
      <c r="AB509" s="11" t="n">
        <v>0</v>
      </c>
      <c r="AC509" s="11" t="n">
        <v>29</v>
      </c>
      <c r="AD509" s="11" t="n">
        <v>34.725</v>
      </c>
      <c r="AE509" s="11" t="n">
        <v>0</v>
      </c>
      <c r="AF509" s="11" t="n">
        <v>0</v>
      </c>
      <c r="AG509" s="11" t="n">
        <v>0</v>
      </c>
      <c r="AH509" s="11" t="n">
        <f aca="false">SUM(AB509:AG509)</f>
        <v>63.725</v>
      </c>
      <c r="AI509" s="12" t="s">
        <v>955</v>
      </c>
    </row>
    <row r="510" customFormat="false" ht="15" hidden="false" customHeight="false" outlineLevel="0" collapsed="false">
      <c r="A510" s="8" t="s">
        <v>1107</v>
      </c>
      <c r="B510" s="12" t="s">
        <v>1108</v>
      </c>
      <c r="C510" s="8" t="s">
        <v>1045</v>
      </c>
      <c r="D510" s="12" t="s">
        <v>1046</v>
      </c>
      <c r="E510" s="10" t="str">
        <f aca="true">IFERROR(IF(INDEX(INDIRECT("'"&amp;$AI510&amp;"'!$E$2:$E$327"),MATCH($A510,INDIRECT("'"&amp;$AI510&amp;"'!$A$2:$A$327"),0))="","",INDEX(INDIRECT("'"&amp;$AI510&amp;"'!$E$2:$E$327"),MATCH($A510,INDIRECT("'"&amp;$AI510&amp;"'!$A$2:$A$327"),0))),"")</f>
        <v/>
      </c>
      <c r="F510" s="9" t="str">
        <f aca="false">IF($E510="","",IFERROR(INDEX(担当者マスタ!$B$2:$B$101,MATCH($E510,担当者マスタ!$A$2:$A$101,0)),"※マスタ未登録"))</f>
        <v/>
      </c>
      <c r="G510" s="11" t="n">
        <v>12.376</v>
      </c>
      <c r="H510" s="11" t="n">
        <v>1.2</v>
      </c>
      <c r="I510" s="11" t="n">
        <v>4.876</v>
      </c>
      <c r="J510" s="11" t="n">
        <v>5.276</v>
      </c>
      <c r="K510" s="11" t="n">
        <v>0</v>
      </c>
      <c r="L510" s="11" t="n">
        <v>13.176</v>
      </c>
      <c r="M510" s="11" t="n">
        <f aca="false">SUM(G510:L510)</f>
        <v>36.904</v>
      </c>
      <c r="N510" s="11" t="n">
        <v>3.673</v>
      </c>
      <c r="O510" s="11" t="n">
        <v>0.36</v>
      </c>
      <c r="P510" s="11" t="n">
        <v>1.173</v>
      </c>
      <c r="Q510" s="11" t="n">
        <v>1.293</v>
      </c>
      <c r="R510" s="11" t="n">
        <v>0</v>
      </c>
      <c r="S510" s="11" t="n">
        <v>3.913</v>
      </c>
      <c r="T510" s="11" t="n">
        <f aca="false">SUM(N510:S510)</f>
        <v>10.412</v>
      </c>
      <c r="U510" s="11" t="n">
        <v>3.696</v>
      </c>
      <c r="V510" s="11" t="n">
        <v>10.02</v>
      </c>
      <c r="W510" s="11" t="n">
        <v>5.376</v>
      </c>
      <c r="X510" s="11" t="n">
        <v>1.26</v>
      </c>
      <c r="Y510" s="11" t="n">
        <v>13.296</v>
      </c>
      <c r="Z510" s="11" t="n">
        <v>2.1</v>
      </c>
      <c r="AA510" s="11" t="n">
        <f aca="false">SUM(U510:Z510)</f>
        <v>35.748</v>
      </c>
      <c r="AB510" s="11" t="n">
        <v>0.924</v>
      </c>
      <c r="AC510" s="11" t="n">
        <v>3.25</v>
      </c>
      <c r="AD510" s="11" t="n">
        <v>1.424</v>
      </c>
      <c r="AE510" s="11" t="n">
        <v>0.375</v>
      </c>
      <c r="AF510" s="11" t="n">
        <v>4.049</v>
      </c>
      <c r="AG510" s="11" t="n">
        <v>0.625</v>
      </c>
      <c r="AH510" s="11" t="n">
        <f aca="false">SUM(AB510:AG510)</f>
        <v>10.647</v>
      </c>
      <c r="AI510" s="12" t="s">
        <v>955</v>
      </c>
    </row>
    <row r="511" customFormat="false" ht="15" hidden="false" customHeight="false" outlineLevel="0" collapsed="false">
      <c r="A511" s="8" t="s">
        <v>1109</v>
      </c>
      <c r="B511" s="12" t="s">
        <v>1110</v>
      </c>
      <c r="C511" s="8" t="s">
        <v>1045</v>
      </c>
      <c r="D511" s="12" t="s">
        <v>1046</v>
      </c>
      <c r="E511" s="10" t="str">
        <f aca="true">IFERROR(IF(INDEX(INDIRECT("'"&amp;$AI511&amp;"'!$E$2:$E$327"),MATCH($A511,INDIRECT("'"&amp;$AI511&amp;"'!$A$2:$A$327"),0))="","",INDEX(INDIRECT("'"&amp;$AI511&amp;"'!$E$2:$E$327"),MATCH($A511,INDIRECT("'"&amp;$AI511&amp;"'!$A$2:$A$327"),0))),"")</f>
        <v/>
      </c>
      <c r="F511" s="9" t="str">
        <f aca="false">IF($E511="","",IFERROR(INDEX(担当者マスタ!$B$2:$B$101,MATCH($E511,担当者マスタ!$A$2:$A$101,0)),"※マスタ未登録"))</f>
        <v/>
      </c>
      <c r="G511" s="11" t="n">
        <v>0</v>
      </c>
      <c r="H511" s="11" t="n">
        <v>0</v>
      </c>
      <c r="I511" s="11" t="n">
        <v>0</v>
      </c>
      <c r="J511" s="11" t="n">
        <v>11.04</v>
      </c>
      <c r="K511" s="11" t="n">
        <v>2.525</v>
      </c>
      <c r="L511" s="11" t="n">
        <v>0</v>
      </c>
      <c r="M511" s="11" t="n">
        <f aca="false">SUM(G511:L511)</f>
        <v>13.565</v>
      </c>
      <c r="N511" s="11" t="n">
        <v>0</v>
      </c>
      <c r="O511" s="11" t="n">
        <v>0</v>
      </c>
      <c r="P511" s="11" t="n">
        <v>0</v>
      </c>
      <c r="Q511" s="11" t="n">
        <v>2.24</v>
      </c>
      <c r="R511" s="11" t="n">
        <v>0.8</v>
      </c>
      <c r="S511" s="11" t="n">
        <v>0</v>
      </c>
      <c r="T511" s="11" t="n">
        <f aca="false">SUM(N511:S511)</f>
        <v>3.04</v>
      </c>
      <c r="U511" s="11" t="n">
        <v>0</v>
      </c>
      <c r="V511" s="11" t="n">
        <v>0</v>
      </c>
      <c r="W511" s="11" t="n">
        <v>0</v>
      </c>
      <c r="X511" s="11" t="n">
        <v>0</v>
      </c>
      <c r="Y511" s="11" t="n">
        <v>0</v>
      </c>
      <c r="Z511" s="11" t="n">
        <v>0</v>
      </c>
      <c r="AA511" s="11" t="n">
        <f aca="false">SUM(U511:Z511)</f>
        <v>0</v>
      </c>
      <c r="AB511" s="11" t="n">
        <v>0</v>
      </c>
      <c r="AC511" s="11" t="n">
        <v>0</v>
      </c>
      <c r="AD511" s="11" t="n">
        <v>0</v>
      </c>
      <c r="AE511" s="11" t="n">
        <v>0</v>
      </c>
      <c r="AF511" s="11" t="n">
        <v>0</v>
      </c>
      <c r="AG511" s="11" t="n">
        <v>0</v>
      </c>
      <c r="AH511" s="11" t="n">
        <f aca="false">SUM(AB511:AG511)</f>
        <v>0</v>
      </c>
      <c r="AI511" s="12" t="s">
        <v>955</v>
      </c>
    </row>
    <row r="512" customFormat="false" ht="15" hidden="false" customHeight="false" outlineLevel="0" collapsed="false">
      <c r="A512" s="8" t="s">
        <v>1111</v>
      </c>
      <c r="B512" s="12" t="s">
        <v>1112</v>
      </c>
      <c r="C512" s="8" t="s">
        <v>1045</v>
      </c>
      <c r="D512" s="12" t="s">
        <v>1046</v>
      </c>
      <c r="E512" s="10" t="str">
        <f aca="true">IFERROR(IF(INDEX(INDIRECT("'"&amp;$AI512&amp;"'!$E$2:$E$327"),MATCH($A512,INDIRECT("'"&amp;$AI512&amp;"'!$A$2:$A$327"),0))="","",INDEX(INDIRECT("'"&amp;$AI512&amp;"'!$E$2:$E$327"),MATCH($A512,INDIRECT("'"&amp;$AI512&amp;"'!$A$2:$A$327"),0))),"")</f>
        <v/>
      </c>
      <c r="F512" s="9" t="str">
        <f aca="false">IF($E512="","",IFERROR(INDEX(担当者マスタ!$B$2:$B$101,MATCH($E512,担当者マスタ!$A$2:$A$101,0)),"※マスタ未登録"))</f>
        <v/>
      </c>
      <c r="G512" s="11" t="n">
        <v>76.186</v>
      </c>
      <c r="H512" s="11" t="n">
        <v>8.45</v>
      </c>
      <c r="I512" s="11" t="n">
        <v>86.844</v>
      </c>
      <c r="J512" s="11" t="n">
        <v>20.4</v>
      </c>
      <c r="K512" s="11" t="n">
        <v>32.594</v>
      </c>
      <c r="L512" s="11" t="n">
        <v>22.7</v>
      </c>
      <c r="M512" s="11" t="n">
        <f aca="false">SUM(G512:L512)</f>
        <v>247.174</v>
      </c>
      <c r="N512" s="11" t="n">
        <v>21.532</v>
      </c>
      <c r="O512" s="11" t="n">
        <v>2.928</v>
      </c>
      <c r="P512" s="11" t="n">
        <v>30.245</v>
      </c>
      <c r="Q512" s="11" t="n">
        <v>3.64</v>
      </c>
      <c r="R512" s="11" t="n">
        <v>7.62</v>
      </c>
      <c r="S512" s="11" t="n">
        <v>13.484</v>
      </c>
      <c r="T512" s="11" t="n">
        <f aca="false">SUM(N512:S512)</f>
        <v>79.449</v>
      </c>
      <c r="U512" s="11" t="n">
        <v>0</v>
      </c>
      <c r="V512" s="11" t="n">
        <v>16.564</v>
      </c>
      <c r="W512" s="11" t="n">
        <v>10.615</v>
      </c>
      <c r="X512" s="11" t="n">
        <v>7</v>
      </c>
      <c r="Y512" s="11" t="n">
        <v>0</v>
      </c>
      <c r="Z512" s="11" t="n">
        <v>38.5</v>
      </c>
      <c r="AA512" s="11" t="n">
        <f aca="false">SUM(U512:Z512)</f>
        <v>72.679</v>
      </c>
      <c r="AB512" s="11" t="n">
        <v>0</v>
      </c>
      <c r="AC512" s="11" t="n">
        <v>3.755</v>
      </c>
      <c r="AD512" s="11" t="n">
        <v>4.471</v>
      </c>
      <c r="AE512" s="11" t="n">
        <v>1.44</v>
      </c>
      <c r="AF512" s="11" t="n">
        <v>0</v>
      </c>
      <c r="AG512" s="11" t="n">
        <v>8.4</v>
      </c>
      <c r="AH512" s="11" t="n">
        <f aca="false">SUM(AB512:AG512)</f>
        <v>18.066</v>
      </c>
      <c r="AI512" s="12" t="s">
        <v>955</v>
      </c>
    </row>
    <row r="513" customFormat="false" ht="15" hidden="false" customHeight="false" outlineLevel="0" collapsed="false">
      <c r="A513" s="8" t="s">
        <v>1113</v>
      </c>
      <c r="B513" s="12" t="s">
        <v>1114</v>
      </c>
      <c r="C513" s="8" t="s">
        <v>1045</v>
      </c>
      <c r="D513" s="12" t="s">
        <v>1046</v>
      </c>
      <c r="E513" s="10" t="str">
        <f aca="true">IFERROR(IF(INDEX(INDIRECT("'"&amp;$AI513&amp;"'!$E$2:$E$327"),MATCH($A513,INDIRECT("'"&amp;$AI513&amp;"'!$A$2:$A$327"),0))="","",INDEX(INDIRECT("'"&amp;$AI513&amp;"'!$E$2:$E$327"),MATCH($A513,INDIRECT("'"&amp;$AI513&amp;"'!$A$2:$A$327"),0))),"")</f>
        <v/>
      </c>
      <c r="F513" s="9" t="str">
        <f aca="false">IF($E513="","",IFERROR(INDEX(担当者マスタ!$B$2:$B$101,MATCH($E513,担当者マスタ!$A$2:$A$101,0)),"※マスタ未登録"))</f>
        <v/>
      </c>
      <c r="G513" s="11" t="n">
        <v>0</v>
      </c>
      <c r="H513" s="11" t="n">
        <v>0</v>
      </c>
      <c r="I513" s="11" t="n">
        <v>0</v>
      </c>
      <c r="J513" s="11" t="n">
        <v>35.07</v>
      </c>
      <c r="K513" s="11" t="n">
        <v>211.2</v>
      </c>
      <c r="L513" s="11" t="n">
        <v>0</v>
      </c>
      <c r="M513" s="11" t="n">
        <f aca="false">SUM(G513:L513)</f>
        <v>246.27</v>
      </c>
      <c r="N513" s="11" t="n">
        <v>0</v>
      </c>
      <c r="O513" s="11" t="n">
        <v>0</v>
      </c>
      <c r="P513" s="11" t="n">
        <v>0</v>
      </c>
      <c r="Q513" s="11" t="n">
        <v>3.78</v>
      </c>
      <c r="R513" s="11" t="n">
        <v>30</v>
      </c>
      <c r="S513" s="11" t="n">
        <v>0</v>
      </c>
      <c r="T513" s="11" t="n">
        <f aca="false">SUM(N513:S513)</f>
        <v>33.78</v>
      </c>
      <c r="U513" s="11" t="n">
        <v>66.927</v>
      </c>
      <c r="V513" s="11" t="n">
        <v>0</v>
      </c>
      <c r="W513" s="11" t="n">
        <v>59.328</v>
      </c>
      <c r="X513" s="11" t="n">
        <v>0</v>
      </c>
      <c r="Y513" s="11" t="n">
        <v>0</v>
      </c>
      <c r="Z513" s="11" t="n">
        <v>61.456</v>
      </c>
      <c r="AA513" s="11" t="n">
        <f aca="false">SUM(U513:Z513)</f>
        <v>187.711</v>
      </c>
      <c r="AB513" s="11" t="n">
        <v>0.896</v>
      </c>
      <c r="AC513" s="11" t="n">
        <v>0</v>
      </c>
      <c r="AD513" s="11" t="n">
        <v>6.456</v>
      </c>
      <c r="AE513" s="11" t="n">
        <v>0</v>
      </c>
      <c r="AF513" s="11" t="n">
        <v>0</v>
      </c>
      <c r="AG513" s="11" t="n">
        <v>12.842</v>
      </c>
      <c r="AH513" s="11" t="n">
        <f aca="false">SUM(AB513:AG513)</f>
        <v>20.194</v>
      </c>
      <c r="AI513" s="12" t="s">
        <v>955</v>
      </c>
    </row>
    <row r="514" customFormat="false" ht="15" hidden="false" customHeight="false" outlineLevel="0" collapsed="false">
      <c r="A514" s="8" t="s">
        <v>1115</v>
      </c>
      <c r="B514" s="12" t="s">
        <v>1116</v>
      </c>
      <c r="C514" s="8" t="s">
        <v>1045</v>
      </c>
      <c r="D514" s="12" t="s">
        <v>1046</v>
      </c>
      <c r="E514" s="10" t="str">
        <f aca="true">IFERROR(IF(INDEX(INDIRECT("'"&amp;$AI514&amp;"'!$E$2:$E$327"),MATCH($A514,INDIRECT("'"&amp;$AI514&amp;"'!$A$2:$A$327"),0))="","",INDEX(INDIRECT("'"&amp;$AI514&amp;"'!$E$2:$E$327"),MATCH($A514,INDIRECT("'"&amp;$AI514&amp;"'!$A$2:$A$327"),0))),"")</f>
        <v/>
      </c>
      <c r="F514" s="9" t="str">
        <f aca="false">IF($E514="","",IFERROR(INDEX(担当者マスタ!$B$2:$B$101,MATCH($E514,担当者マスタ!$A$2:$A$101,0)),"※マスタ未登録"))</f>
        <v/>
      </c>
      <c r="G514" s="11" t="n">
        <v>408.5</v>
      </c>
      <c r="H514" s="11" t="n">
        <v>539.04</v>
      </c>
      <c r="I514" s="11" t="n">
        <v>173.46</v>
      </c>
      <c r="J514" s="11" t="n">
        <v>0</v>
      </c>
      <c r="K514" s="11" t="n">
        <v>44.4</v>
      </c>
      <c r="L514" s="11" t="n">
        <v>0</v>
      </c>
      <c r="M514" s="11" t="n">
        <f aca="false">SUM(G514:L514)</f>
        <v>1165.4</v>
      </c>
      <c r="N514" s="11" t="n">
        <v>83</v>
      </c>
      <c r="O514" s="11" t="n">
        <v>137.072</v>
      </c>
      <c r="P514" s="11" t="n">
        <v>31.836</v>
      </c>
      <c r="Q514" s="11" t="n">
        <v>0</v>
      </c>
      <c r="R514" s="11" t="n">
        <v>11.94</v>
      </c>
      <c r="S514" s="11" t="n">
        <v>0</v>
      </c>
      <c r="T514" s="11" t="n">
        <f aca="false">SUM(N514:S514)</f>
        <v>263.848</v>
      </c>
      <c r="U514" s="11" t="n">
        <v>131.4</v>
      </c>
      <c r="V514" s="11" t="n">
        <v>0</v>
      </c>
      <c r="W514" s="11" t="n">
        <v>121.32</v>
      </c>
      <c r="X514" s="11" t="n">
        <v>0</v>
      </c>
      <c r="Y514" s="11" t="n">
        <v>0</v>
      </c>
      <c r="Z514" s="11" t="n">
        <v>0</v>
      </c>
      <c r="AA514" s="11" t="n">
        <f aca="false">SUM(U514:Z514)</f>
        <v>252.72</v>
      </c>
      <c r="AB514" s="11" t="n">
        <v>31.734</v>
      </c>
      <c r="AC514" s="11" t="n">
        <v>0</v>
      </c>
      <c r="AD514" s="11" t="n">
        <v>31.662</v>
      </c>
      <c r="AE514" s="11" t="n">
        <v>0</v>
      </c>
      <c r="AF514" s="11" t="n">
        <v>0</v>
      </c>
      <c r="AG514" s="11" t="n">
        <v>0</v>
      </c>
      <c r="AH514" s="11" t="n">
        <f aca="false">SUM(AB514:AG514)</f>
        <v>63.396</v>
      </c>
      <c r="AI514" s="12" t="s">
        <v>955</v>
      </c>
    </row>
    <row r="515" customFormat="false" ht="15" hidden="false" customHeight="false" outlineLevel="0" collapsed="false">
      <c r="A515" s="8" t="s">
        <v>1117</v>
      </c>
      <c r="B515" s="12" t="s">
        <v>1118</v>
      </c>
      <c r="C515" s="8" t="s">
        <v>1045</v>
      </c>
      <c r="D515" s="12" t="s">
        <v>1046</v>
      </c>
      <c r="E515" s="10" t="str">
        <f aca="true">IFERROR(IF(INDEX(INDIRECT("'"&amp;$AI515&amp;"'!$E$2:$E$327"),MATCH($A515,INDIRECT("'"&amp;$AI515&amp;"'!$A$2:$A$327"),0))="","",INDEX(INDIRECT("'"&amp;$AI515&amp;"'!$E$2:$E$327"),MATCH($A515,INDIRECT("'"&amp;$AI515&amp;"'!$A$2:$A$327"),0))),"")</f>
        <v/>
      </c>
      <c r="F515" s="9" t="str">
        <f aca="false">IF($E515="","",IFERROR(INDEX(担当者マスタ!$B$2:$B$101,MATCH($E515,担当者マスタ!$A$2:$A$101,0)),"※マスタ未登録"))</f>
        <v/>
      </c>
      <c r="G515" s="11" t="n">
        <v>0</v>
      </c>
      <c r="H515" s="11" t="n">
        <v>70.385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f aca="false">SUM(G515:L515)</f>
        <v>70.385</v>
      </c>
      <c r="N515" s="11" t="n">
        <v>0</v>
      </c>
      <c r="O515" s="11" t="n">
        <v>16.798</v>
      </c>
      <c r="P515" s="11" t="n">
        <v>0</v>
      </c>
      <c r="Q515" s="11" t="n">
        <v>0</v>
      </c>
      <c r="R515" s="11" t="n">
        <v>0</v>
      </c>
      <c r="S515" s="11" t="n">
        <v>0</v>
      </c>
      <c r="T515" s="11" t="n">
        <f aca="false">SUM(N515:S515)</f>
        <v>16.798</v>
      </c>
      <c r="U515" s="11" t="n">
        <v>32.5</v>
      </c>
      <c r="V515" s="11" t="n">
        <v>0</v>
      </c>
      <c r="W515" s="11" t="n">
        <v>0</v>
      </c>
      <c r="X515" s="11" t="n">
        <v>0</v>
      </c>
      <c r="Y515" s="11" t="n">
        <v>0</v>
      </c>
      <c r="Z515" s="11" t="n">
        <v>0</v>
      </c>
      <c r="AA515" s="11" t="n">
        <f aca="false">SUM(U515:Z515)</f>
        <v>32.5</v>
      </c>
      <c r="AB515" s="11" t="n">
        <v>8</v>
      </c>
      <c r="AC515" s="11" t="n">
        <v>0</v>
      </c>
      <c r="AD515" s="11" t="n">
        <v>0</v>
      </c>
      <c r="AE515" s="11" t="n">
        <v>0</v>
      </c>
      <c r="AF515" s="11" t="n">
        <v>0</v>
      </c>
      <c r="AG515" s="11" t="n">
        <v>0</v>
      </c>
      <c r="AH515" s="11" t="n">
        <f aca="false">SUM(AB515:AG515)</f>
        <v>8</v>
      </c>
      <c r="AI515" s="12" t="s">
        <v>955</v>
      </c>
    </row>
    <row r="516" customFormat="false" ht="15" hidden="false" customHeight="false" outlineLevel="0" collapsed="false">
      <c r="A516" s="8" t="s">
        <v>1119</v>
      </c>
      <c r="B516" s="12" t="s">
        <v>1120</v>
      </c>
      <c r="C516" s="8" t="s">
        <v>1045</v>
      </c>
      <c r="D516" s="12" t="s">
        <v>1046</v>
      </c>
      <c r="E516" s="10" t="str">
        <f aca="true">IFERROR(IF(INDEX(INDIRECT("'"&amp;$AI516&amp;"'!$E$2:$E$327"),MATCH($A516,INDIRECT("'"&amp;$AI516&amp;"'!$A$2:$A$327"),0))="","",INDEX(INDIRECT("'"&amp;$AI516&amp;"'!$E$2:$E$327"),MATCH($A516,INDIRECT("'"&amp;$AI516&amp;"'!$A$2:$A$327"),0))),"")</f>
        <v/>
      </c>
      <c r="F516" s="9" t="str">
        <f aca="false">IF($E516="","",IFERROR(INDEX(担当者マスタ!$B$2:$B$101,MATCH($E516,担当者マスタ!$A$2:$A$101,0)),"※マスタ未登録"))</f>
        <v/>
      </c>
      <c r="G516" s="11" t="n">
        <v>0</v>
      </c>
      <c r="H516" s="11" t="n">
        <v>0</v>
      </c>
      <c r="I516" s="11" t="n">
        <v>10.5</v>
      </c>
      <c r="J516" s="11" t="n">
        <v>50.93</v>
      </c>
      <c r="K516" s="11" t="n">
        <v>8.225</v>
      </c>
      <c r="L516" s="11" t="n">
        <v>38.645</v>
      </c>
      <c r="M516" s="11" t="n">
        <f aca="false">SUM(G516:L516)</f>
        <v>108.3</v>
      </c>
      <c r="N516" s="11" t="n">
        <v>0</v>
      </c>
      <c r="O516" s="11" t="n">
        <v>0</v>
      </c>
      <c r="P516" s="11" t="n">
        <v>2.175</v>
      </c>
      <c r="Q516" s="11" t="n">
        <v>11.435</v>
      </c>
      <c r="R516" s="11" t="n">
        <v>1.225</v>
      </c>
      <c r="S516" s="11" t="n">
        <v>7.255</v>
      </c>
      <c r="T516" s="11" t="n">
        <f aca="false">SUM(N516:S516)</f>
        <v>22.09</v>
      </c>
      <c r="U516" s="11" t="n">
        <v>0</v>
      </c>
      <c r="V516" s="11" t="n">
        <v>10.8</v>
      </c>
      <c r="W516" s="11" t="n">
        <v>10.8</v>
      </c>
      <c r="X516" s="11" t="n">
        <v>87.697</v>
      </c>
      <c r="Y516" s="11" t="n">
        <v>38.945</v>
      </c>
      <c r="Z516" s="11" t="n">
        <v>12.1</v>
      </c>
      <c r="AA516" s="11" t="n">
        <f aca="false">SUM(U516:Z516)</f>
        <v>160.342</v>
      </c>
      <c r="AB516" s="11" t="n">
        <v>0</v>
      </c>
      <c r="AC516" s="11" t="n">
        <v>3.198</v>
      </c>
      <c r="AD516" s="11" t="n">
        <v>3.2</v>
      </c>
      <c r="AE516" s="11" t="n">
        <v>17.237</v>
      </c>
      <c r="AF516" s="11" t="n">
        <v>7.225</v>
      </c>
      <c r="AG516" s="11" t="n">
        <v>4.5</v>
      </c>
      <c r="AH516" s="11" t="n">
        <f aca="false">SUM(AB516:AG516)</f>
        <v>35.36</v>
      </c>
      <c r="AI516" s="12" t="s">
        <v>955</v>
      </c>
    </row>
    <row r="517" customFormat="false" ht="15" hidden="false" customHeight="false" outlineLevel="0" collapsed="false">
      <c r="A517" s="8" t="s">
        <v>1121</v>
      </c>
      <c r="B517" s="12" t="s">
        <v>1122</v>
      </c>
      <c r="C517" s="8" t="s">
        <v>1045</v>
      </c>
      <c r="D517" s="12" t="s">
        <v>1046</v>
      </c>
      <c r="E517" s="10" t="str">
        <f aca="true">IFERROR(IF(INDEX(INDIRECT("'"&amp;$AI517&amp;"'!$E$2:$E$327"),MATCH($A517,INDIRECT("'"&amp;$AI517&amp;"'!$A$2:$A$327"),0))="","",INDEX(INDIRECT("'"&amp;$AI517&amp;"'!$E$2:$E$327"),MATCH($A517,INDIRECT("'"&amp;$AI517&amp;"'!$A$2:$A$327"),0))),"")</f>
        <v/>
      </c>
      <c r="F517" s="9" t="str">
        <f aca="false">IF($E517="","",IFERROR(INDEX(担当者マスタ!$B$2:$B$101,MATCH($E517,担当者マスタ!$A$2:$A$101,0)),"※マスタ未登録"))</f>
        <v/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f aca="false">SUM(G517:L517)</f>
        <v>0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1" t="n">
        <f aca="false">SUM(N517:S517)</f>
        <v>0</v>
      </c>
      <c r="U517" s="11" t="n">
        <v>38.03</v>
      </c>
      <c r="V517" s="11" t="n">
        <v>149.2</v>
      </c>
      <c r="W517" s="11" t="n">
        <v>80.992</v>
      </c>
      <c r="X517" s="11" t="n">
        <v>0</v>
      </c>
      <c r="Y517" s="11" t="n">
        <v>15.4</v>
      </c>
      <c r="Z517" s="11" t="n">
        <v>143.26</v>
      </c>
      <c r="AA517" s="11" t="n">
        <f aca="false">SUM(U517:Z517)</f>
        <v>426.882</v>
      </c>
      <c r="AB517" s="11" t="n">
        <v>9.445</v>
      </c>
      <c r="AC517" s="11" t="n">
        <v>32.8</v>
      </c>
      <c r="AD517" s="11" t="n">
        <v>19.737</v>
      </c>
      <c r="AE517" s="11" t="n">
        <v>0</v>
      </c>
      <c r="AF517" s="11" t="n">
        <v>3.55</v>
      </c>
      <c r="AG517" s="11" t="n">
        <v>31.78</v>
      </c>
      <c r="AH517" s="11" t="n">
        <f aca="false">SUM(AB517:AG517)</f>
        <v>97.312</v>
      </c>
      <c r="AI517" s="12" t="s">
        <v>955</v>
      </c>
    </row>
    <row r="518" customFormat="false" ht="15" hidden="false" customHeight="false" outlineLevel="0" collapsed="false">
      <c r="A518" s="8" t="s">
        <v>1123</v>
      </c>
      <c r="B518" s="9" t="s">
        <v>1124</v>
      </c>
      <c r="C518" s="8" t="s">
        <v>1045</v>
      </c>
      <c r="D518" s="12" t="s">
        <v>1046</v>
      </c>
      <c r="E518" s="10" t="str">
        <f aca="true">IFERROR(IF(INDEX(INDIRECT("'"&amp;$AI518&amp;"'!$E$2:$E$327"),MATCH($A518,INDIRECT("'"&amp;$AI518&amp;"'!$A$2:$A$327"),0))="","",INDEX(INDIRECT("'"&amp;$AI518&amp;"'!$E$2:$E$327"),MATCH($A518,INDIRECT("'"&amp;$AI518&amp;"'!$A$2:$A$327"),0))),"")</f>
        <v/>
      </c>
      <c r="F518" s="9" t="str">
        <f aca="false">IF($E518="","",IFERROR(INDEX(担当者マスタ!$B$2:$B$101,MATCH($E518,担当者マスタ!$A$2:$A$101,0)),"※マスタ未登録"))</f>
        <v/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f aca="false">SUM(G518:L518)</f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f aca="false">SUM(N518:S518)</f>
        <v>0</v>
      </c>
      <c r="U518" s="11" t="n">
        <v>0</v>
      </c>
      <c r="V518" s="11" t="n">
        <v>24.85</v>
      </c>
      <c r="W518" s="11" t="n">
        <v>12.405</v>
      </c>
      <c r="X518" s="11" t="n">
        <v>0</v>
      </c>
      <c r="Y518" s="11" t="n">
        <v>0</v>
      </c>
      <c r="Z518" s="11" t="n">
        <v>4.825</v>
      </c>
      <c r="AA518" s="11" t="n">
        <f aca="false">SUM(U518:Z518)</f>
        <v>42.08</v>
      </c>
      <c r="AB518" s="11" t="n">
        <v>0</v>
      </c>
      <c r="AC518" s="11" t="n">
        <v>5.816</v>
      </c>
      <c r="AD518" s="11" t="n">
        <v>3.005</v>
      </c>
      <c r="AE518" s="11" t="n">
        <v>0</v>
      </c>
      <c r="AF518" s="11" t="n">
        <v>0</v>
      </c>
      <c r="AG518" s="11" t="n">
        <v>0.795</v>
      </c>
      <c r="AH518" s="11" t="n">
        <f aca="false">SUM(AB518:AG518)</f>
        <v>9.616</v>
      </c>
      <c r="AI518" s="12" t="s">
        <v>955</v>
      </c>
    </row>
    <row r="519" customFormat="false" ht="15" hidden="false" customHeight="false" outlineLevel="0" collapsed="false">
      <c r="A519" s="8" t="s">
        <v>1125</v>
      </c>
      <c r="B519" s="12" t="s">
        <v>1126</v>
      </c>
      <c r="C519" s="8" t="s">
        <v>1045</v>
      </c>
      <c r="D519" s="12" t="s">
        <v>1046</v>
      </c>
      <c r="E519" s="10" t="str">
        <f aca="true">IFERROR(IF(INDEX(INDIRECT("'"&amp;$AI519&amp;"'!$E$2:$E$327"),MATCH($A519,INDIRECT("'"&amp;$AI519&amp;"'!$A$2:$A$327"),0))="","",INDEX(INDIRECT("'"&amp;$AI519&amp;"'!$E$2:$E$327"),MATCH($A519,INDIRECT("'"&amp;$AI519&amp;"'!$A$2:$A$327"),0))),"")</f>
        <v/>
      </c>
      <c r="F519" s="9" t="str">
        <f aca="false">IF($E519="","",IFERROR(INDEX(担当者マスタ!$B$2:$B$101,MATCH($E519,担当者マスタ!$A$2:$A$101,0)),"※マスタ未登録"))</f>
        <v/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f aca="false">SUM(G519:L519)</f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1" t="n">
        <f aca="false">SUM(N519:S519)</f>
        <v>0</v>
      </c>
      <c r="U519" s="11" t="n">
        <v>0</v>
      </c>
      <c r="V519" s="11" t="n">
        <v>0</v>
      </c>
      <c r="W519" s="11" t="n">
        <v>0</v>
      </c>
      <c r="X519" s="11" t="n">
        <v>21.94</v>
      </c>
      <c r="Y519" s="11" t="n">
        <v>0</v>
      </c>
      <c r="Z519" s="11" t="n">
        <v>0</v>
      </c>
      <c r="AA519" s="11" t="n">
        <f aca="false">SUM(U519:Z519)</f>
        <v>21.94</v>
      </c>
      <c r="AB519" s="11" t="n">
        <v>0</v>
      </c>
      <c r="AC519" s="11" t="n">
        <v>0</v>
      </c>
      <c r="AD519" s="11" t="n">
        <v>0</v>
      </c>
      <c r="AE519" s="11" t="n">
        <v>4.44</v>
      </c>
      <c r="AF519" s="11" t="n">
        <v>0</v>
      </c>
      <c r="AG519" s="11" t="n">
        <v>0</v>
      </c>
      <c r="AH519" s="11" t="n">
        <f aca="false">SUM(AB519:AG519)</f>
        <v>4.44</v>
      </c>
      <c r="AI519" s="12" t="s">
        <v>955</v>
      </c>
    </row>
    <row r="520" customFormat="false" ht="15" hidden="false" customHeight="false" outlineLevel="0" collapsed="false">
      <c r="A520" s="8" t="s">
        <v>1127</v>
      </c>
      <c r="B520" s="12" t="s">
        <v>1128</v>
      </c>
      <c r="C520" s="8" t="s">
        <v>1045</v>
      </c>
      <c r="D520" s="12" t="s">
        <v>1046</v>
      </c>
      <c r="E520" s="10" t="str">
        <f aca="true">IFERROR(IF(INDEX(INDIRECT("'"&amp;$AI520&amp;"'!$E$2:$E$327"),MATCH($A520,INDIRECT("'"&amp;$AI520&amp;"'!$A$2:$A$327"),0))="","",INDEX(INDIRECT("'"&amp;$AI520&amp;"'!$E$2:$E$327"),MATCH($A520,INDIRECT("'"&amp;$AI520&amp;"'!$A$2:$A$327"),0))),"")</f>
        <v/>
      </c>
      <c r="F520" s="9" t="str">
        <f aca="false">IF($E520="","",IFERROR(INDEX(担当者マスタ!$B$2:$B$101,MATCH($E520,担当者マスタ!$A$2:$A$101,0)),"※マスタ未登録"))</f>
        <v/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f aca="false">SUM(G520:L520)</f>
        <v>0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1" t="n">
        <f aca="false">SUM(N520:S520)</f>
        <v>0</v>
      </c>
      <c r="U520" s="11" t="n">
        <v>0</v>
      </c>
      <c r="V520" s="11" t="n">
        <v>0</v>
      </c>
      <c r="W520" s="11" t="n">
        <v>0</v>
      </c>
      <c r="X520" s="11" t="n">
        <v>0</v>
      </c>
      <c r="Y520" s="11" t="n">
        <v>92.414</v>
      </c>
      <c r="Z520" s="11" t="n">
        <v>0</v>
      </c>
      <c r="AA520" s="11" t="n">
        <f aca="false">SUM(U520:Z520)</f>
        <v>92.414</v>
      </c>
      <c r="AB520" s="11" t="n">
        <v>0</v>
      </c>
      <c r="AC520" s="11" t="n">
        <v>0</v>
      </c>
      <c r="AD520" s="11" t="n">
        <v>0</v>
      </c>
      <c r="AE520" s="11" t="n">
        <v>0</v>
      </c>
      <c r="AF520" s="11" t="n">
        <v>16.072</v>
      </c>
      <c r="AG520" s="11" t="n">
        <v>0</v>
      </c>
      <c r="AH520" s="11" t="n">
        <f aca="false">SUM(AB520:AG520)</f>
        <v>16.072</v>
      </c>
      <c r="AI520" s="12" t="s">
        <v>955</v>
      </c>
    </row>
    <row r="521" customFormat="false" ht="15" hidden="false" customHeight="false" outlineLevel="0" collapsed="false">
      <c r="A521" s="8" t="s">
        <v>1129</v>
      </c>
      <c r="B521" s="9" t="s">
        <v>1130</v>
      </c>
      <c r="C521" s="8" t="s">
        <v>1045</v>
      </c>
      <c r="D521" s="12" t="s">
        <v>1046</v>
      </c>
      <c r="E521" s="10" t="str">
        <f aca="true">IFERROR(IF(INDEX(INDIRECT("'"&amp;$AI521&amp;"'!$E$2:$E$327"),MATCH($A521,INDIRECT("'"&amp;$AI521&amp;"'!$A$2:$A$327"),0))="","",INDEX(INDIRECT("'"&amp;$AI521&amp;"'!$E$2:$E$327"),MATCH($A521,INDIRECT("'"&amp;$AI521&amp;"'!$A$2:$A$327"),0))),"")</f>
        <v/>
      </c>
      <c r="F521" s="9" t="str">
        <f aca="false">IF($E521="","",IFERROR(INDEX(担当者マスタ!$B$2:$B$101,MATCH($E521,担当者マスタ!$A$2:$A$101,0)),"※マスタ未登録"))</f>
        <v/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f aca="false">SUM(G521:L521)</f>
        <v>0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1" t="n">
        <f aca="false">SUM(N521:S521)</f>
        <v>0</v>
      </c>
      <c r="U521" s="11" t="n">
        <v>0</v>
      </c>
      <c r="V521" s="11" t="n">
        <v>0</v>
      </c>
      <c r="W521" s="11" t="n">
        <v>0</v>
      </c>
      <c r="X521" s="11" t="n">
        <v>0</v>
      </c>
      <c r="Y521" s="11" t="n">
        <v>0</v>
      </c>
      <c r="Z521" s="11" t="n">
        <v>40.31</v>
      </c>
      <c r="AA521" s="11" t="n">
        <f aca="false">SUM(U521:Z521)</f>
        <v>40.31</v>
      </c>
      <c r="AB521" s="11" t="n">
        <v>0</v>
      </c>
      <c r="AC521" s="11" t="n">
        <v>0</v>
      </c>
      <c r="AD521" s="11" t="n">
        <v>0</v>
      </c>
      <c r="AE521" s="11" t="n">
        <v>0</v>
      </c>
      <c r="AF521" s="11" t="n">
        <v>0</v>
      </c>
      <c r="AG521" s="11" t="n">
        <v>9.6</v>
      </c>
      <c r="AH521" s="11" t="n">
        <f aca="false">SUM(AB521:AG521)</f>
        <v>9.6</v>
      </c>
      <c r="AI521" s="12" t="s">
        <v>955</v>
      </c>
    </row>
    <row r="522" customFormat="false" ht="15" hidden="false" customHeight="false" outlineLevel="0" collapsed="false">
      <c r="A522" s="8" t="s">
        <v>1131</v>
      </c>
      <c r="B522" s="12" t="s">
        <v>1132</v>
      </c>
      <c r="C522" s="8" t="s">
        <v>1133</v>
      </c>
      <c r="D522" s="12" t="s">
        <v>1134</v>
      </c>
      <c r="E522" s="10" t="str">
        <f aca="true">IFERROR(IF(INDEX(INDIRECT("'"&amp;$AI522&amp;"'!$E$2:$E$327"),MATCH($A522,INDIRECT("'"&amp;$AI522&amp;"'!$A$2:$A$327"),0))="","",INDEX(INDIRECT("'"&amp;$AI522&amp;"'!$E$2:$E$327"),MATCH($A522,INDIRECT("'"&amp;$AI522&amp;"'!$A$2:$A$327"),0))),"")</f>
        <v/>
      </c>
      <c r="F522" s="9" t="str">
        <f aca="false">IF($E522="","",IFERROR(INDEX(担当者マスタ!$B$2:$B$101,MATCH($E522,担当者マスタ!$A$2:$A$101,0)),"※マスタ未登録"))</f>
        <v/>
      </c>
      <c r="G522" s="11" t="n">
        <v>3124.129</v>
      </c>
      <c r="H522" s="11" t="n">
        <v>3606.358</v>
      </c>
      <c r="I522" s="11" t="n">
        <v>5825.969</v>
      </c>
      <c r="J522" s="11" t="n">
        <v>1823.068</v>
      </c>
      <c r="K522" s="11" t="n">
        <v>2436.318</v>
      </c>
      <c r="L522" s="11" t="n">
        <v>3350.792</v>
      </c>
      <c r="M522" s="11" t="n">
        <f aca="false">SUM(G522:L522)</f>
        <v>20166.634</v>
      </c>
      <c r="N522" s="11" t="n">
        <v>947.565</v>
      </c>
      <c r="O522" s="11" t="n">
        <v>1001.352</v>
      </c>
      <c r="P522" s="11" t="n">
        <v>1638.88</v>
      </c>
      <c r="Q522" s="11" t="n">
        <v>497.355</v>
      </c>
      <c r="R522" s="11" t="n">
        <v>660.783</v>
      </c>
      <c r="S522" s="11" t="n">
        <v>913.678</v>
      </c>
      <c r="T522" s="11" t="n">
        <f aca="false">SUM(N522:S522)</f>
        <v>5659.613</v>
      </c>
      <c r="U522" s="11" t="n">
        <v>5677.932</v>
      </c>
      <c r="V522" s="11" t="n">
        <v>4759.609</v>
      </c>
      <c r="W522" s="11" t="n">
        <v>6019.039</v>
      </c>
      <c r="X522" s="11" t="n">
        <v>2402.929</v>
      </c>
      <c r="Y522" s="11" t="n">
        <v>2878.958</v>
      </c>
      <c r="Z522" s="11" t="n">
        <v>4556.155</v>
      </c>
      <c r="AA522" s="11" t="n">
        <f aca="false">SUM(U522:Z522)</f>
        <v>26294.622</v>
      </c>
      <c r="AB522" s="11" t="n">
        <v>1436.882</v>
      </c>
      <c r="AC522" s="11" t="n">
        <v>1208.327</v>
      </c>
      <c r="AD522" s="11" t="n">
        <v>1744.081</v>
      </c>
      <c r="AE522" s="11" t="n">
        <v>701.612</v>
      </c>
      <c r="AF522" s="11" t="n">
        <v>802.988</v>
      </c>
      <c r="AG522" s="11" t="n">
        <v>1384.264</v>
      </c>
      <c r="AH522" s="11" t="n">
        <f aca="false">SUM(AB522:AG522)</f>
        <v>7278.154</v>
      </c>
      <c r="AI522" s="12" t="s">
        <v>955</v>
      </c>
    </row>
    <row r="523" customFormat="false" ht="15" hidden="false" customHeight="false" outlineLevel="0" collapsed="false">
      <c r="A523" s="8" t="s">
        <v>1135</v>
      </c>
      <c r="B523" s="9" t="s">
        <v>1136</v>
      </c>
      <c r="C523" s="8" t="s">
        <v>1133</v>
      </c>
      <c r="D523" s="12" t="s">
        <v>1134</v>
      </c>
      <c r="E523" s="10" t="str">
        <f aca="true">IFERROR(IF(INDEX(INDIRECT("'"&amp;$AI523&amp;"'!$E$2:$E$327"),MATCH($A523,INDIRECT("'"&amp;$AI523&amp;"'!$A$2:$A$327"),0))="","",INDEX(INDIRECT("'"&amp;$AI523&amp;"'!$E$2:$E$327"),MATCH($A523,INDIRECT("'"&amp;$AI523&amp;"'!$A$2:$A$327"),0))),"")</f>
        <v/>
      </c>
      <c r="F523" s="9" t="str">
        <f aca="false">IF($E523="","",IFERROR(INDEX(担当者マスタ!$B$2:$B$101,MATCH($E523,担当者マスタ!$A$2:$A$101,0)),"※マスタ未登録"))</f>
        <v/>
      </c>
      <c r="G523" s="11" t="n">
        <v>89.64</v>
      </c>
      <c r="H523" s="11" t="n">
        <v>0</v>
      </c>
      <c r="I523" s="11" t="n">
        <v>0</v>
      </c>
      <c r="J523" s="11" t="n">
        <v>89.64</v>
      </c>
      <c r="K523" s="11" t="n">
        <v>0</v>
      </c>
      <c r="L523" s="11" t="n">
        <v>89.64</v>
      </c>
      <c r="M523" s="11" t="n">
        <f aca="false">SUM(G523:L523)</f>
        <v>268.92</v>
      </c>
      <c r="N523" s="11" t="n">
        <v>25.68</v>
      </c>
      <c r="O523" s="11" t="n">
        <v>0</v>
      </c>
      <c r="P523" s="11" t="n">
        <v>0</v>
      </c>
      <c r="Q523" s="11" t="n">
        <v>25.68</v>
      </c>
      <c r="R523" s="11" t="n">
        <v>0</v>
      </c>
      <c r="S523" s="11" t="n">
        <v>25.68</v>
      </c>
      <c r="T523" s="11" t="n">
        <f aca="false">SUM(N523:S523)</f>
        <v>77.04</v>
      </c>
      <c r="U523" s="11" t="n">
        <v>89.64</v>
      </c>
      <c r="V523" s="11" t="n">
        <v>0</v>
      </c>
      <c r="W523" s="11" t="n">
        <v>89.64</v>
      </c>
      <c r="X523" s="11" t="n">
        <v>0</v>
      </c>
      <c r="Y523" s="11" t="n">
        <v>0</v>
      </c>
      <c r="Z523" s="11" t="n">
        <v>89.64</v>
      </c>
      <c r="AA523" s="11" t="n">
        <f aca="false">SUM(U523:Z523)</f>
        <v>268.92</v>
      </c>
      <c r="AB523" s="11" t="n">
        <v>25.68</v>
      </c>
      <c r="AC523" s="11" t="n">
        <v>0</v>
      </c>
      <c r="AD523" s="11" t="n">
        <v>25.68</v>
      </c>
      <c r="AE523" s="11" t="n">
        <v>0</v>
      </c>
      <c r="AF523" s="11" t="n">
        <v>0</v>
      </c>
      <c r="AG523" s="11" t="n">
        <v>25.68</v>
      </c>
      <c r="AH523" s="11" t="n">
        <f aca="false">SUM(AB523:AG523)</f>
        <v>77.04</v>
      </c>
      <c r="AI523" s="12" t="s">
        <v>955</v>
      </c>
    </row>
    <row r="524" customFormat="false" ht="15" hidden="false" customHeight="false" outlineLevel="0" collapsed="false">
      <c r="A524" s="8" t="s">
        <v>1137</v>
      </c>
      <c r="B524" s="12" t="s">
        <v>1138</v>
      </c>
      <c r="C524" s="8" t="s">
        <v>1133</v>
      </c>
      <c r="D524" s="12" t="s">
        <v>1134</v>
      </c>
      <c r="E524" s="10" t="str">
        <f aca="true">IFERROR(IF(INDEX(INDIRECT("'"&amp;$AI524&amp;"'!$E$2:$E$327"),MATCH($A524,INDIRECT("'"&amp;$AI524&amp;"'!$A$2:$A$327"),0))="","",INDEX(INDIRECT("'"&amp;$AI524&amp;"'!$E$2:$E$327"),MATCH($A524,INDIRECT("'"&amp;$AI524&amp;"'!$A$2:$A$327"),0))),"")</f>
        <v/>
      </c>
      <c r="F524" s="9" t="str">
        <f aca="false">IF($E524="","",IFERROR(INDEX(担当者マスタ!$B$2:$B$101,MATCH($E524,担当者マスタ!$A$2:$A$101,0)),"※マスタ未登録"))</f>
        <v/>
      </c>
      <c r="G524" s="11" t="n">
        <v>0</v>
      </c>
      <c r="H524" s="11" t="n">
        <v>75.912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f aca="false">SUM(G524:L524)</f>
        <v>75.912</v>
      </c>
      <c r="N524" s="11" t="n">
        <v>0</v>
      </c>
      <c r="O524" s="11" t="n">
        <v>38.556</v>
      </c>
      <c r="P524" s="11" t="n">
        <v>0</v>
      </c>
      <c r="Q524" s="11" t="n">
        <v>0</v>
      </c>
      <c r="R524" s="11" t="n">
        <v>0</v>
      </c>
      <c r="S524" s="11" t="n">
        <v>0</v>
      </c>
      <c r="T524" s="11" t="n">
        <f aca="false">SUM(N524:S524)</f>
        <v>38.556</v>
      </c>
      <c r="U524" s="11" t="n">
        <v>0</v>
      </c>
      <c r="V524" s="11" t="n">
        <v>55.324</v>
      </c>
      <c r="W524" s="11" t="n">
        <v>25.608</v>
      </c>
      <c r="X524" s="11" t="n">
        <v>0</v>
      </c>
      <c r="Y524" s="11" t="n">
        <v>0</v>
      </c>
      <c r="Z524" s="11" t="n">
        <v>25.2</v>
      </c>
      <c r="AA524" s="11" t="n">
        <f aca="false">SUM(U524:Z524)</f>
        <v>106.132</v>
      </c>
      <c r="AB524" s="11" t="n">
        <v>0</v>
      </c>
      <c r="AC524" s="11" t="n">
        <v>28.364</v>
      </c>
      <c r="AD524" s="11" t="n">
        <v>10.428</v>
      </c>
      <c r="AE524" s="11" t="n">
        <v>0</v>
      </c>
      <c r="AF524" s="11" t="n">
        <v>0</v>
      </c>
      <c r="AG524" s="11" t="n">
        <v>3.048</v>
      </c>
      <c r="AH524" s="11" t="n">
        <f aca="false">SUM(AB524:AG524)</f>
        <v>41.84</v>
      </c>
      <c r="AI524" s="12" t="s">
        <v>955</v>
      </c>
    </row>
    <row r="525" customFormat="false" ht="15" hidden="false" customHeight="false" outlineLevel="0" collapsed="false">
      <c r="A525" s="8" t="s">
        <v>1139</v>
      </c>
      <c r="B525" s="12" t="s">
        <v>1140</v>
      </c>
      <c r="C525" s="8" t="s">
        <v>1133</v>
      </c>
      <c r="D525" s="12" t="s">
        <v>1134</v>
      </c>
      <c r="E525" s="10" t="str">
        <f aca="true">IFERROR(IF(INDEX(INDIRECT("'"&amp;$AI525&amp;"'!$E$2:$E$327"),MATCH($A525,INDIRECT("'"&amp;$AI525&amp;"'!$A$2:$A$327"),0))="","",INDEX(INDIRECT("'"&amp;$AI525&amp;"'!$E$2:$E$327"),MATCH($A525,INDIRECT("'"&amp;$AI525&amp;"'!$A$2:$A$327"),0))),"")</f>
        <v/>
      </c>
      <c r="F525" s="9" t="str">
        <f aca="false">IF($E525="","",IFERROR(INDEX(担当者マスタ!$B$2:$B$101,MATCH($E525,担当者マスタ!$A$2:$A$101,0)),"※マスタ未登録"))</f>
        <v/>
      </c>
      <c r="G525" s="11" t="n">
        <v>1093.133</v>
      </c>
      <c r="H525" s="11" t="n">
        <v>1172.899</v>
      </c>
      <c r="I525" s="11" t="n">
        <v>1670.547</v>
      </c>
      <c r="J525" s="11" t="n">
        <v>428.508</v>
      </c>
      <c r="K525" s="11" t="n">
        <v>761.312</v>
      </c>
      <c r="L525" s="11" t="n">
        <v>1112.727</v>
      </c>
      <c r="M525" s="11" t="n">
        <f aca="false">SUM(G525:L525)</f>
        <v>6239.126</v>
      </c>
      <c r="N525" s="11" t="n">
        <v>440.329</v>
      </c>
      <c r="O525" s="11" t="n">
        <v>464.547</v>
      </c>
      <c r="P525" s="11" t="n">
        <v>621.088</v>
      </c>
      <c r="Q525" s="11" t="n">
        <v>167.579</v>
      </c>
      <c r="R525" s="11" t="n">
        <v>285.888</v>
      </c>
      <c r="S525" s="11" t="n">
        <v>421.962</v>
      </c>
      <c r="T525" s="11" t="n">
        <f aca="false">SUM(N525:S525)</f>
        <v>2401.393</v>
      </c>
      <c r="U525" s="11" t="n">
        <v>1223.682</v>
      </c>
      <c r="V525" s="11" t="n">
        <v>1078.767</v>
      </c>
      <c r="W525" s="11" t="n">
        <v>1660.631</v>
      </c>
      <c r="X525" s="11" t="n">
        <v>631.196</v>
      </c>
      <c r="Y525" s="11" t="n">
        <v>915.027</v>
      </c>
      <c r="Z525" s="11" t="n">
        <v>1129.685</v>
      </c>
      <c r="AA525" s="11" t="n">
        <f aca="false">SUM(U525:Z525)</f>
        <v>6638.988</v>
      </c>
      <c r="AB525" s="11" t="n">
        <v>487.443</v>
      </c>
      <c r="AC525" s="11" t="n">
        <v>427.401</v>
      </c>
      <c r="AD525" s="11" t="n">
        <v>673.501</v>
      </c>
      <c r="AE525" s="11" t="n">
        <v>252.432</v>
      </c>
      <c r="AF525" s="11" t="n">
        <v>363.247</v>
      </c>
      <c r="AG525" s="11" t="n">
        <v>459.921</v>
      </c>
      <c r="AH525" s="11" t="n">
        <f aca="false">SUM(AB525:AG525)</f>
        <v>2663.945</v>
      </c>
      <c r="AI525" s="12" t="s">
        <v>955</v>
      </c>
    </row>
    <row r="526" customFormat="false" ht="15" hidden="false" customHeight="false" outlineLevel="0" collapsed="false">
      <c r="A526" s="8" t="s">
        <v>1141</v>
      </c>
      <c r="B526" s="12" t="s">
        <v>1142</v>
      </c>
      <c r="C526" s="8" t="s">
        <v>1133</v>
      </c>
      <c r="D526" s="12" t="s">
        <v>1134</v>
      </c>
      <c r="E526" s="10" t="str">
        <f aca="true">IFERROR(IF(INDEX(INDIRECT("'"&amp;$AI526&amp;"'!$E$2:$E$327"),MATCH($A526,INDIRECT("'"&amp;$AI526&amp;"'!$A$2:$A$327"),0))="","",INDEX(INDIRECT("'"&amp;$AI526&amp;"'!$E$2:$E$327"),MATCH($A526,INDIRECT("'"&amp;$AI526&amp;"'!$A$2:$A$327"),0))),"")</f>
        <v/>
      </c>
      <c r="F526" s="9" t="str">
        <f aca="false">IF($E526="","",IFERROR(INDEX(担当者マスタ!$B$2:$B$101,MATCH($E526,担当者マスタ!$A$2:$A$101,0)),"※マスタ未登録"))</f>
        <v/>
      </c>
      <c r="G526" s="11" t="n">
        <v>8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f aca="false">SUM(G526:L526)</f>
        <v>8</v>
      </c>
      <c r="N526" s="11" t="n">
        <v>2.7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1" t="n">
        <f aca="false">SUM(N526:S526)</f>
        <v>2.7</v>
      </c>
      <c r="U526" s="11" t="n">
        <v>0</v>
      </c>
      <c r="V526" s="11" t="n">
        <v>0</v>
      </c>
      <c r="W526" s="11" t="n">
        <v>0</v>
      </c>
      <c r="X526" s="11" t="n">
        <v>0</v>
      </c>
      <c r="Y526" s="11" t="n">
        <v>0</v>
      </c>
      <c r="Z526" s="11" t="n">
        <v>4.8</v>
      </c>
      <c r="AA526" s="11" t="n">
        <f aca="false">SUM(U526:Z526)</f>
        <v>4.8</v>
      </c>
      <c r="AB526" s="11" t="n">
        <v>0</v>
      </c>
      <c r="AC526" s="11" t="n">
        <v>0</v>
      </c>
      <c r="AD526" s="11" t="n">
        <v>0</v>
      </c>
      <c r="AE526" s="11" t="n">
        <v>0</v>
      </c>
      <c r="AF526" s="11" t="n">
        <v>0</v>
      </c>
      <c r="AG526" s="11" t="n">
        <v>1.284</v>
      </c>
      <c r="AH526" s="11" t="n">
        <f aca="false">SUM(AB526:AG526)</f>
        <v>1.284</v>
      </c>
      <c r="AI526" s="12" t="s">
        <v>955</v>
      </c>
    </row>
    <row r="527" customFormat="false" ht="15" hidden="false" customHeight="false" outlineLevel="0" collapsed="false">
      <c r="A527" s="8" t="s">
        <v>1143</v>
      </c>
      <c r="B527" s="9" t="s">
        <v>1144</v>
      </c>
      <c r="C527" s="8" t="s">
        <v>1133</v>
      </c>
      <c r="D527" s="12" t="s">
        <v>1134</v>
      </c>
      <c r="E527" s="10" t="str">
        <f aca="true">IFERROR(IF(INDEX(INDIRECT("'"&amp;$AI527&amp;"'!$E$2:$E$327"),MATCH($A527,INDIRECT("'"&amp;$AI527&amp;"'!$A$2:$A$327"),0))="","",INDEX(INDIRECT("'"&amp;$AI527&amp;"'!$E$2:$E$327"),MATCH($A527,INDIRECT("'"&amp;$AI527&amp;"'!$A$2:$A$327"),0))),"")</f>
        <v/>
      </c>
      <c r="F527" s="9" t="str">
        <f aca="false">IF($E527="","",IFERROR(INDEX(担当者マスタ!$B$2:$B$101,MATCH($E527,担当者マスタ!$A$2:$A$101,0)),"※マスタ未登録"))</f>
        <v/>
      </c>
      <c r="G527" s="11" t="n">
        <v>965.939</v>
      </c>
      <c r="H527" s="11" t="n">
        <v>1319.638</v>
      </c>
      <c r="I527" s="11" t="n">
        <v>1506.23</v>
      </c>
      <c r="J527" s="11" t="n">
        <v>0</v>
      </c>
      <c r="K527" s="11" t="n">
        <v>12.6</v>
      </c>
      <c r="L527" s="11" t="n">
        <v>693.42</v>
      </c>
      <c r="M527" s="11" t="n">
        <f aca="false">SUM(G527:L527)</f>
        <v>4497.827</v>
      </c>
      <c r="N527" s="11" t="n">
        <v>161.176</v>
      </c>
      <c r="O527" s="11" t="n">
        <v>191.838</v>
      </c>
      <c r="P527" s="11" t="n">
        <v>209.021</v>
      </c>
      <c r="Q527" s="11" t="n">
        <v>0</v>
      </c>
      <c r="R527" s="11" t="n">
        <v>3.4</v>
      </c>
      <c r="S527" s="11" t="n">
        <v>45.117</v>
      </c>
      <c r="T527" s="11" t="n">
        <f aca="false">SUM(N527:S527)</f>
        <v>610.552</v>
      </c>
      <c r="U527" s="11" t="n">
        <v>459.72</v>
      </c>
      <c r="V527" s="11" t="n">
        <v>1130.4</v>
      </c>
      <c r="W527" s="11" t="n">
        <v>1090.204</v>
      </c>
      <c r="X527" s="11" t="n">
        <v>342.639</v>
      </c>
      <c r="Y527" s="11" t="n">
        <v>448.642</v>
      </c>
      <c r="Z527" s="11" t="n">
        <v>173.016</v>
      </c>
      <c r="AA527" s="11" t="n">
        <f aca="false">SUM(U527:Z527)</f>
        <v>3644.621</v>
      </c>
      <c r="AB527" s="11" t="n">
        <v>80.296</v>
      </c>
      <c r="AC527" s="11" t="n">
        <v>195.64</v>
      </c>
      <c r="AD527" s="11" t="n">
        <v>178.164</v>
      </c>
      <c r="AE527" s="11" t="n">
        <v>39.679</v>
      </c>
      <c r="AF527" s="11" t="n">
        <v>37.482</v>
      </c>
      <c r="AG527" s="11" t="n">
        <v>36.788</v>
      </c>
      <c r="AH527" s="11" t="n">
        <f aca="false">SUM(AB527:AG527)</f>
        <v>568.049</v>
      </c>
      <c r="AI527" s="12" t="s">
        <v>955</v>
      </c>
    </row>
    <row r="528" customFormat="false" ht="15" hidden="false" customHeight="false" outlineLevel="0" collapsed="false">
      <c r="A528" s="8" t="s">
        <v>1145</v>
      </c>
      <c r="B528" s="12" t="s">
        <v>1146</v>
      </c>
      <c r="C528" s="8" t="s">
        <v>1133</v>
      </c>
      <c r="D528" s="12" t="s">
        <v>1134</v>
      </c>
      <c r="E528" s="10" t="str">
        <f aca="true">IFERROR(IF(INDEX(INDIRECT("'"&amp;$AI528&amp;"'!$E$2:$E$327"),MATCH($A528,INDIRECT("'"&amp;$AI528&amp;"'!$A$2:$A$327"),0))="","",INDEX(INDIRECT("'"&amp;$AI528&amp;"'!$E$2:$E$327"),MATCH($A528,INDIRECT("'"&amp;$AI528&amp;"'!$A$2:$A$327"),0))),"")</f>
        <v/>
      </c>
      <c r="F528" s="9" t="str">
        <f aca="false">IF($E528="","",IFERROR(INDEX(担当者マスタ!$B$2:$B$101,MATCH($E528,担当者マスタ!$A$2:$A$101,0)),"※マスタ未登録"))</f>
        <v/>
      </c>
      <c r="G528" s="11" t="n">
        <v>36.411</v>
      </c>
      <c r="H528" s="11" t="n">
        <v>32.474</v>
      </c>
      <c r="I528" s="11" t="n">
        <v>37.562</v>
      </c>
      <c r="J528" s="11" t="n">
        <v>7.103</v>
      </c>
      <c r="K528" s="11" t="n">
        <v>32.364</v>
      </c>
      <c r="L528" s="11" t="n">
        <v>12.273</v>
      </c>
      <c r="M528" s="11" t="n">
        <f aca="false">SUM(G528:L528)</f>
        <v>158.187</v>
      </c>
      <c r="N528" s="11" t="n">
        <v>11.109</v>
      </c>
      <c r="O528" s="11" t="n">
        <v>9.366</v>
      </c>
      <c r="P528" s="11" t="n">
        <v>9.844</v>
      </c>
      <c r="Q528" s="11" t="n">
        <v>2.193</v>
      </c>
      <c r="R528" s="11" t="n">
        <v>8.698</v>
      </c>
      <c r="S528" s="11" t="n">
        <v>3.293</v>
      </c>
      <c r="T528" s="11" t="n">
        <f aca="false">SUM(N528:S528)</f>
        <v>44.503</v>
      </c>
      <c r="U528" s="11" t="n">
        <v>57.852</v>
      </c>
      <c r="V528" s="11" t="n">
        <v>13.077</v>
      </c>
      <c r="W528" s="11" t="n">
        <v>16.158</v>
      </c>
      <c r="X528" s="11" t="n">
        <v>26.064</v>
      </c>
      <c r="Y528" s="11" t="n">
        <v>4.9</v>
      </c>
      <c r="Z528" s="11" t="n">
        <v>38.739</v>
      </c>
      <c r="AA528" s="11" t="n">
        <f aca="false">SUM(U528:Z528)</f>
        <v>156.79</v>
      </c>
      <c r="AB528" s="11" t="n">
        <v>15.328</v>
      </c>
      <c r="AC528" s="11" t="n">
        <v>3.688</v>
      </c>
      <c r="AD528" s="11" t="n">
        <v>4.91</v>
      </c>
      <c r="AE528" s="11" t="n">
        <v>6.702</v>
      </c>
      <c r="AF528" s="11" t="n">
        <v>1.8</v>
      </c>
      <c r="AG528" s="11" t="n">
        <v>10.699</v>
      </c>
      <c r="AH528" s="11" t="n">
        <f aca="false">SUM(AB528:AG528)</f>
        <v>43.127</v>
      </c>
      <c r="AI528" s="12" t="s">
        <v>955</v>
      </c>
    </row>
    <row r="529" customFormat="false" ht="15" hidden="false" customHeight="false" outlineLevel="0" collapsed="false">
      <c r="A529" s="8" t="s">
        <v>1147</v>
      </c>
      <c r="B529" s="12" t="s">
        <v>1148</v>
      </c>
      <c r="C529" s="8" t="s">
        <v>1133</v>
      </c>
      <c r="D529" s="12" t="s">
        <v>1134</v>
      </c>
      <c r="E529" s="10" t="str">
        <f aca="true">IFERROR(IF(INDEX(INDIRECT("'"&amp;$AI529&amp;"'!$E$2:$E$327"),MATCH($A529,INDIRECT("'"&amp;$AI529&amp;"'!$A$2:$A$327"),0))="","",INDEX(INDIRECT("'"&amp;$AI529&amp;"'!$E$2:$E$327"),MATCH($A529,INDIRECT("'"&amp;$AI529&amp;"'!$A$2:$A$327"),0))),"")</f>
        <v/>
      </c>
      <c r="F529" s="9" t="str">
        <f aca="false">IF($E529="","",IFERROR(INDEX(担当者マスタ!$B$2:$B$101,MATCH($E529,担当者マスタ!$A$2:$A$101,0)),"※マスタ未登録"))</f>
        <v/>
      </c>
      <c r="G529" s="11" t="n">
        <v>2440.765</v>
      </c>
      <c r="H529" s="11" t="n">
        <v>3038.557</v>
      </c>
      <c r="I529" s="11" t="n">
        <v>4240.751</v>
      </c>
      <c r="J529" s="11" t="n">
        <v>2203.213</v>
      </c>
      <c r="K529" s="11" t="n">
        <v>2216.873</v>
      </c>
      <c r="L529" s="11" t="n">
        <v>2623.192</v>
      </c>
      <c r="M529" s="11" t="n">
        <f aca="false">SUM(G529:L529)</f>
        <v>16763.351</v>
      </c>
      <c r="N529" s="11" t="n">
        <v>309.262</v>
      </c>
      <c r="O529" s="11" t="n">
        <v>390.742</v>
      </c>
      <c r="P529" s="11" t="n">
        <v>612.166</v>
      </c>
      <c r="Q529" s="11" t="n">
        <v>329.115</v>
      </c>
      <c r="R529" s="11" t="n">
        <v>332.769</v>
      </c>
      <c r="S529" s="11" t="n">
        <v>366.845</v>
      </c>
      <c r="T529" s="11" t="n">
        <f aca="false">SUM(N529:S529)</f>
        <v>2340.899</v>
      </c>
      <c r="U529" s="11" t="n">
        <v>2716.464</v>
      </c>
      <c r="V529" s="11" t="n">
        <v>2207.712</v>
      </c>
      <c r="W529" s="11" t="n">
        <v>3680.012</v>
      </c>
      <c r="X529" s="11" t="n">
        <v>1784.758</v>
      </c>
      <c r="Y529" s="11" t="n">
        <v>2058.612</v>
      </c>
      <c r="Z529" s="11" t="n">
        <v>2452.381</v>
      </c>
      <c r="AA529" s="11" t="n">
        <f aca="false">SUM(U529:Z529)</f>
        <v>14899.939</v>
      </c>
      <c r="AB529" s="11" t="n">
        <v>359.979</v>
      </c>
      <c r="AC529" s="11" t="n">
        <v>295.845</v>
      </c>
      <c r="AD529" s="11" t="n">
        <v>509.358</v>
      </c>
      <c r="AE529" s="11" t="n">
        <v>250.092</v>
      </c>
      <c r="AF529" s="11" t="n">
        <v>289.848</v>
      </c>
      <c r="AG529" s="11" t="n">
        <v>342.296</v>
      </c>
      <c r="AH529" s="11" t="n">
        <f aca="false">SUM(AB529:AG529)</f>
        <v>2047.418</v>
      </c>
      <c r="AI529" s="12" t="s">
        <v>955</v>
      </c>
    </row>
    <row r="530" customFormat="false" ht="15" hidden="false" customHeight="false" outlineLevel="0" collapsed="false">
      <c r="A530" s="8" t="s">
        <v>1149</v>
      </c>
      <c r="B530" s="12" t="s">
        <v>1150</v>
      </c>
      <c r="C530" s="8" t="s">
        <v>1133</v>
      </c>
      <c r="D530" s="12" t="s">
        <v>1134</v>
      </c>
      <c r="E530" s="10" t="str">
        <f aca="true">IFERROR(IF(INDEX(INDIRECT("'"&amp;$AI530&amp;"'!$E$2:$E$327"),MATCH($A530,INDIRECT("'"&amp;$AI530&amp;"'!$A$2:$A$327"),0))="","",INDEX(INDIRECT("'"&amp;$AI530&amp;"'!$E$2:$E$327"),MATCH($A530,INDIRECT("'"&amp;$AI530&amp;"'!$A$2:$A$327"),0))),"")</f>
        <v/>
      </c>
      <c r="F530" s="9" t="str">
        <f aca="false">IF($E530="","",IFERROR(INDEX(担当者マスタ!$B$2:$B$101,MATCH($E530,担当者マスタ!$A$2:$A$101,0)),"※マスタ未登録"))</f>
        <v/>
      </c>
      <c r="G530" s="11" t="n">
        <v>359.914</v>
      </c>
      <c r="H530" s="11" t="n">
        <v>393.051</v>
      </c>
      <c r="I530" s="11" t="n">
        <v>576.475</v>
      </c>
      <c r="J530" s="11" t="n">
        <v>223.326</v>
      </c>
      <c r="K530" s="11" t="n">
        <v>285.465</v>
      </c>
      <c r="L530" s="11" t="n">
        <v>353.479</v>
      </c>
      <c r="M530" s="11" t="n">
        <f aca="false">SUM(G530:L530)</f>
        <v>2191.71</v>
      </c>
      <c r="N530" s="11" t="n">
        <v>45.513</v>
      </c>
      <c r="O530" s="11" t="n">
        <v>51.197</v>
      </c>
      <c r="P530" s="11" t="n">
        <v>82.609</v>
      </c>
      <c r="Q530" s="11" t="n">
        <v>35.121</v>
      </c>
      <c r="R530" s="11" t="n">
        <v>43.095</v>
      </c>
      <c r="S530" s="11" t="n">
        <v>49.098</v>
      </c>
      <c r="T530" s="11" t="n">
        <f aca="false">SUM(N530:S530)</f>
        <v>306.633</v>
      </c>
      <c r="U530" s="11" t="n">
        <v>431.471</v>
      </c>
      <c r="V530" s="11" t="n">
        <v>260.567</v>
      </c>
      <c r="W530" s="11" t="n">
        <v>456.866</v>
      </c>
      <c r="X530" s="11" t="n">
        <v>224.404</v>
      </c>
      <c r="Y530" s="11" t="n">
        <v>279.13</v>
      </c>
      <c r="Z530" s="11" t="n">
        <v>339.281</v>
      </c>
      <c r="AA530" s="11" t="n">
        <f aca="false">SUM(U530:Z530)</f>
        <v>1991.719</v>
      </c>
      <c r="AB530" s="11" t="n">
        <v>56.782</v>
      </c>
      <c r="AC530" s="11" t="n">
        <v>35.573</v>
      </c>
      <c r="AD530" s="11" t="n">
        <v>62.54</v>
      </c>
      <c r="AE530" s="11" t="n">
        <v>30.551</v>
      </c>
      <c r="AF530" s="11" t="n">
        <v>37.636</v>
      </c>
      <c r="AG530" s="11" t="n">
        <v>46.052</v>
      </c>
      <c r="AH530" s="11" t="n">
        <f aca="false">SUM(AB530:AG530)</f>
        <v>269.134</v>
      </c>
      <c r="AI530" s="12" t="s">
        <v>955</v>
      </c>
    </row>
    <row r="531" customFormat="false" ht="15" hidden="false" customHeight="false" outlineLevel="0" collapsed="false">
      <c r="A531" s="8" t="s">
        <v>1151</v>
      </c>
      <c r="B531" s="12" t="s">
        <v>1152</v>
      </c>
      <c r="C531" s="8" t="s">
        <v>1133</v>
      </c>
      <c r="D531" s="12" t="s">
        <v>1134</v>
      </c>
      <c r="E531" s="10" t="str">
        <f aca="true">IFERROR(IF(INDEX(INDIRECT("'"&amp;$AI531&amp;"'!$E$2:$E$327"),MATCH($A531,INDIRECT("'"&amp;$AI531&amp;"'!$A$2:$A$327"),0))="","",INDEX(INDIRECT("'"&amp;$AI531&amp;"'!$E$2:$E$327"),MATCH($A531,INDIRECT("'"&amp;$AI531&amp;"'!$A$2:$A$327"),0))),"")</f>
        <v/>
      </c>
      <c r="F531" s="9" t="str">
        <f aca="false">IF($E531="","",IFERROR(INDEX(担当者マスタ!$B$2:$B$101,MATCH($E531,担当者マスタ!$A$2:$A$101,0)),"※マスタ未登録"))</f>
        <v/>
      </c>
      <c r="G531" s="11" t="n">
        <v>93.395</v>
      </c>
      <c r="H531" s="11" t="n">
        <v>0</v>
      </c>
      <c r="I531" s="11" t="n">
        <v>9.906</v>
      </c>
      <c r="J531" s="11" t="n">
        <v>0</v>
      </c>
      <c r="K531" s="11" t="n">
        <v>0</v>
      </c>
      <c r="L531" s="11" t="n">
        <v>0</v>
      </c>
      <c r="M531" s="11" t="n">
        <f aca="false">SUM(G531:L531)</f>
        <v>103.301</v>
      </c>
      <c r="N531" s="11" t="n">
        <v>23.052</v>
      </c>
      <c r="O531" s="11" t="n">
        <v>0</v>
      </c>
      <c r="P531" s="11" t="n">
        <v>7.806</v>
      </c>
      <c r="Q531" s="11" t="n">
        <v>0</v>
      </c>
      <c r="R531" s="11" t="n">
        <v>0</v>
      </c>
      <c r="S531" s="11" t="n">
        <v>0</v>
      </c>
      <c r="T531" s="11" t="n">
        <f aca="false">SUM(N531:S531)</f>
        <v>30.858</v>
      </c>
      <c r="U531" s="11" t="n">
        <v>0</v>
      </c>
      <c r="V531" s="11" t="n">
        <v>0</v>
      </c>
      <c r="W531" s="11" t="n">
        <v>0</v>
      </c>
      <c r="X531" s="11" t="n">
        <v>0</v>
      </c>
      <c r="Y531" s="11" t="n">
        <v>0</v>
      </c>
      <c r="Z531" s="11" t="n">
        <v>0</v>
      </c>
      <c r="AA531" s="11" t="n">
        <f aca="false">SUM(U531:Z531)</f>
        <v>0</v>
      </c>
      <c r="AB531" s="11" t="n">
        <v>0</v>
      </c>
      <c r="AC531" s="11" t="n">
        <v>0</v>
      </c>
      <c r="AD531" s="11" t="n">
        <v>0</v>
      </c>
      <c r="AE531" s="11" t="n">
        <v>0</v>
      </c>
      <c r="AF531" s="11" t="n">
        <v>0</v>
      </c>
      <c r="AG531" s="11" t="n">
        <v>0</v>
      </c>
      <c r="AH531" s="11" t="n">
        <f aca="false">SUM(AB531:AG531)</f>
        <v>0</v>
      </c>
      <c r="AI531" s="12" t="s">
        <v>955</v>
      </c>
    </row>
    <row r="532" customFormat="false" ht="15" hidden="false" customHeight="false" outlineLevel="0" collapsed="false">
      <c r="A532" s="8" t="s">
        <v>1153</v>
      </c>
      <c r="B532" s="12" t="s">
        <v>1154</v>
      </c>
      <c r="C532" s="8" t="s">
        <v>1133</v>
      </c>
      <c r="D532" s="12" t="s">
        <v>1134</v>
      </c>
      <c r="E532" s="10" t="str">
        <f aca="true">IFERROR(IF(INDEX(INDIRECT("'"&amp;$AI532&amp;"'!$E$2:$E$327"),MATCH($A532,INDIRECT("'"&amp;$AI532&amp;"'!$A$2:$A$327"),0))="","",INDEX(INDIRECT("'"&amp;$AI532&amp;"'!$E$2:$E$327"),MATCH($A532,INDIRECT("'"&amp;$AI532&amp;"'!$A$2:$A$327"),0))),"")</f>
        <v/>
      </c>
      <c r="F532" s="9" t="str">
        <f aca="false">IF($E532="","",IFERROR(INDEX(担当者マスタ!$B$2:$B$101,MATCH($E532,担当者マスタ!$A$2:$A$101,0)),"※マスタ未登録"))</f>
        <v/>
      </c>
      <c r="G532" s="11" t="n">
        <v>162.363</v>
      </c>
      <c r="H532" s="11" t="n">
        <v>319.486</v>
      </c>
      <c r="I532" s="11" t="n">
        <v>210.21</v>
      </c>
      <c r="J532" s="11" t="n">
        <v>139.029</v>
      </c>
      <c r="K532" s="11" t="n">
        <v>138.315</v>
      </c>
      <c r="L532" s="11" t="n">
        <v>135.443</v>
      </c>
      <c r="M532" s="11" t="n">
        <f aca="false">SUM(G532:L532)</f>
        <v>1104.846</v>
      </c>
      <c r="N532" s="11" t="n">
        <v>66.919</v>
      </c>
      <c r="O532" s="11" t="n">
        <v>124.986</v>
      </c>
      <c r="P532" s="11" t="n">
        <v>87.615</v>
      </c>
      <c r="Q532" s="11" t="n">
        <v>55.432</v>
      </c>
      <c r="R532" s="11" t="n">
        <v>57.121</v>
      </c>
      <c r="S532" s="11" t="n">
        <v>52.411</v>
      </c>
      <c r="T532" s="11" t="n">
        <f aca="false">SUM(N532:S532)</f>
        <v>444.484</v>
      </c>
      <c r="U532" s="11" t="n">
        <v>164.169</v>
      </c>
      <c r="V532" s="11" t="n">
        <v>137.269</v>
      </c>
      <c r="W532" s="11" t="n">
        <v>381.713</v>
      </c>
      <c r="X532" s="11" t="n">
        <v>108.881</v>
      </c>
      <c r="Y532" s="11" t="n">
        <v>86.845</v>
      </c>
      <c r="Z532" s="11" t="n">
        <v>103.149</v>
      </c>
      <c r="AA532" s="11" t="n">
        <f aca="false">SUM(U532:Z532)</f>
        <v>982.026</v>
      </c>
      <c r="AB532" s="11" t="n">
        <v>66.48</v>
      </c>
      <c r="AC532" s="11" t="n">
        <v>56.438</v>
      </c>
      <c r="AD532" s="11" t="n">
        <v>156.815</v>
      </c>
      <c r="AE532" s="11" t="n">
        <v>42.982</v>
      </c>
      <c r="AF532" s="11" t="n">
        <v>35.415</v>
      </c>
      <c r="AG532" s="11" t="n">
        <v>43.273</v>
      </c>
      <c r="AH532" s="11" t="n">
        <f aca="false">SUM(AB532:AG532)</f>
        <v>401.403</v>
      </c>
      <c r="AI532" s="12" t="s">
        <v>955</v>
      </c>
    </row>
    <row r="533" customFormat="false" ht="15" hidden="false" customHeight="false" outlineLevel="0" collapsed="false">
      <c r="A533" s="8" t="s">
        <v>1155</v>
      </c>
      <c r="B533" s="12" t="s">
        <v>1156</v>
      </c>
      <c r="C533" s="8" t="s">
        <v>1133</v>
      </c>
      <c r="D533" s="12" t="s">
        <v>1134</v>
      </c>
      <c r="E533" s="10" t="str">
        <f aca="true">IFERROR(IF(INDEX(INDIRECT("'"&amp;$AI533&amp;"'!$E$2:$E$327"),MATCH($A533,INDIRECT("'"&amp;$AI533&amp;"'!$A$2:$A$327"),0))="","",INDEX(INDIRECT("'"&amp;$AI533&amp;"'!$E$2:$E$327"),MATCH($A533,INDIRECT("'"&amp;$AI533&amp;"'!$A$2:$A$327"),0))),"")</f>
        <v/>
      </c>
      <c r="F533" s="9" t="str">
        <f aca="false">IF($E533="","",IFERROR(INDEX(担当者マスタ!$B$2:$B$101,MATCH($E533,担当者マスタ!$A$2:$A$101,0)),"※マスタ未登録"))</f>
        <v/>
      </c>
      <c r="G533" s="11" t="n">
        <v>275.628</v>
      </c>
      <c r="H533" s="11" t="n">
        <v>215.236</v>
      </c>
      <c r="I533" s="11" t="n">
        <v>281.266</v>
      </c>
      <c r="J533" s="11" t="n">
        <v>221.828</v>
      </c>
      <c r="K533" s="11" t="n">
        <v>174.68</v>
      </c>
      <c r="L533" s="11" t="n">
        <v>277.86</v>
      </c>
      <c r="M533" s="11" t="n">
        <f aca="false">SUM(G533:L533)</f>
        <v>1446.498</v>
      </c>
      <c r="N533" s="11" t="n">
        <v>47.586</v>
      </c>
      <c r="O533" s="11" t="n">
        <v>32.488</v>
      </c>
      <c r="P533" s="11" t="n">
        <v>41.884</v>
      </c>
      <c r="Q533" s="11" t="n">
        <v>32.8</v>
      </c>
      <c r="R533" s="11" t="n">
        <v>25.778</v>
      </c>
      <c r="S533" s="11" t="n">
        <v>41.768</v>
      </c>
      <c r="T533" s="11" t="n">
        <f aca="false">SUM(N533:S533)</f>
        <v>222.304</v>
      </c>
      <c r="U533" s="11" t="n">
        <v>318.98</v>
      </c>
      <c r="V533" s="11" t="n">
        <v>177.74</v>
      </c>
      <c r="W533" s="11" t="n">
        <v>327.408</v>
      </c>
      <c r="X533" s="11" t="n">
        <v>136.52</v>
      </c>
      <c r="Y533" s="11" t="n">
        <v>256.56</v>
      </c>
      <c r="Z533" s="11" t="n">
        <v>281.088</v>
      </c>
      <c r="AA533" s="11" t="n">
        <f aca="false">SUM(U533:Z533)</f>
        <v>1498.296</v>
      </c>
      <c r="AB533" s="11" t="n">
        <v>44.76</v>
      </c>
      <c r="AC533" s="11" t="n">
        <v>26.962</v>
      </c>
      <c r="AD533" s="11" t="n">
        <v>48.126</v>
      </c>
      <c r="AE533" s="11" t="n">
        <v>19.582</v>
      </c>
      <c r="AF533" s="11" t="n">
        <v>34.714</v>
      </c>
      <c r="AG533" s="11" t="n">
        <v>40.956</v>
      </c>
      <c r="AH533" s="11" t="n">
        <f aca="false">SUM(AB533:AG533)</f>
        <v>215.1</v>
      </c>
      <c r="AI533" s="12" t="s">
        <v>955</v>
      </c>
    </row>
    <row r="534" customFormat="false" ht="15" hidden="false" customHeight="false" outlineLevel="0" collapsed="false">
      <c r="A534" s="8" t="s">
        <v>1157</v>
      </c>
      <c r="B534" s="9" t="s">
        <v>1158</v>
      </c>
      <c r="C534" s="8" t="s">
        <v>1133</v>
      </c>
      <c r="D534" s="12" t="s">
        <v>1134</v>
      </c>
      <c r="E534" s="10" t="str">
        <f aca="true">IFERROR(IF(INDEX(INDIRECT("'"&amp;$AI534&amp;"'!$E$2:$E$327"),MATCH($A534,INDIRECT("'"&amp;$AI534&amp;"'!$A$2:$A$327"),0))="","",INDEX(INDIRECT("'"&amp;$AI534&amp;"'!$E$2:$E$327"),MATCH($A534,INDIRECT("'"&amp;$AI534&amp;"'!$A$2:$A$327"),0))),"")</f>
        <v/>
      </c>
      <c r="F534" s="9" t="str">
        <f aca="false">IF($E534="","",IFERROR(INDEX(担当者マスタ!$B$2:$B$101,MATCH($E534,担当者マスタ!$A$2:$A$101,0)),"※マスタ未登録"))</f>
        <v/>
      </c>
      <c r="G534" s="11" t="n">
        <v>0</v>
      </c>
      <c r="H534" s="11" t="n">
        <v>10.874</v>
      </c>
      <c r="I534" s="11" t="n">
        <v>12.196</v>
      </c>
      <c r="J534" s="11" t="n">
        <v>7.114</v>
      </c>
      <c r="K534" s="11" t="n">
        <v>9.774</v>
      </c>
      <c r="L534" s="11" t="n">
        <v>0</v>
      </c>
      <c r="M534" s="11" t="n">
        <f aca="false">SUM(G534:L534)</f>
        <v>39.958</v>
      </c>
      <c r="N534" s="11" t="n">
        <v>0</v>
      </c>
      <c r="O534" s="11" t="n">
        <v>4.25</v>
      </c>
      <c r="P534" s="11" t="n">
        <v>4.57</v>
      </c>
      <c r="Q534" s="11" t="n">
        <v>2.802</v>
      </c>
      <c r="R534" s="11" t="n">
        <v>3.832</v>
      </c>
      <c r="S534" s="11" t="n">
        <v>0</v>
      </c>
      <c r="T534" s="11" t="n">
        <f aca="false">SUM(N534:S534)</f>
        <v>15.454</v>
      </c>
      <c r="U534" s="11" t="n">
        <v>8.891</v>
      </c>
      <c r="V534" s="11" t="n">
        <v>0</v>
      </c>
      <c r="W534" s="11" t="n">
        <v>11.026</v>
      </c>
      <c r="X534" s="11" t="n">
        <v>7.271</v>
      </c>
      <c r="Y534" s="11" t="n">
        <v>7.114</v>
      </c>
      <c r="Z534" s="11" t="n">
        <v>0</v>
      </c>
      <c r="AA534" s="11" t="n">
        <f aca="false">SUM(U534:Z534)</f>
        <v>34.302</v>
      </c>
      <c r="AB534" s="11" t="n">
        <v>3.457</v>
      </c>
      <c r="AC534" s="11" t="n">
        <v>0</v>
      </c>
      <c r="AD534" s="11" t="n">
        <v>4.121</v>
      </c>
      <c r="AE534" s="11" t="n">
        <v>2.839</v>
      </c>
      <c r="AF534" s="11" t="n">
        <v>2.802</v>
      </c>
      <c r="AG534" s="11" t="n">
        <v>0</v>
      </c>
      <c r="AH534" s="11" t="n">
        <f aca="false">SUM(AB534:AG534)</f>
        <v>13.219</v>
      </c>
      <c r="AI534" s="12" t="s">
        <v>955</v>
      </c>
    </row>
    <row r="535" customFormat="false" ht="15" hidden="false" customHeight="false" outlineLevel="0" collapsed="false">
      <c r="A535" s="8" t="s">
        <v>1159</v>
      </c>
      <c r="B535" s="9" t="s">
        <v>1160</v>
      </c>
      <c r="C535" s="8" t="s">
        <v>1133</v>
      </c>
      <c r="D535" s="12" t="s">
        <v>1134</v>
      </c>
      <c r="E535" s="10" t="str">
        <f aca="true">IFERROR(IF(INDEX(INDIRECT("'"&amp;$AI535&amp;"'!$E$2:$E$327"),MATCH($A535,INDIRECT("'"&amp;$AI535&amp;"'!$A$2:$A$327"),0))="","",INDEX(INDIRECT("'"&amp;$AI535&amp;"'!$E$2:$E$327"),MATCH($A535,INDIRECT("'"&amp;$AI535&amp;"'!$A$2:$A$327"),0))),"")</f>
        <v/>
      </c>
      <c r="F535" s="9" t="str">
        <f aca="false">IF($E535="","",IFERROR(INDEX(担当者マスタ!$B$2:$B$101,MATCH($E535,担当者マスタ!$A$2:$A$101,0)),"※マスタ未登録"))</f>
        <v/>
      </c>
      <c r="G535" s="11" t="n">
        <v>38.174</v>
      </c>
      <c r="H535" s="11" t="n">
        <v>0</v>
      </c>
      <c r="I535" s="11" t="n">
        <v>68.88</v>
      </c>
      <c r="J535" s="11" t="n">
        <v>0</v>
      </c>
      <c r="K535" s="11" t="n">
        <v>0</v>
      </c>
      <c r="L535" s="11" t="n">
        <v>0</v>
      </c>
      <c r="M535" s="11" t="n">
        <f aca="false">SUM(G535:L535)</f>
        <v>107.054</v>
      </c>
      <c r="N535" s="11" t="n">
        <v>11.48</v>
      </c>
      <c r="O535" s="11" t="n">
        <v>0</v>
      </c>
      <c r="P535" s="11" t="n">
        <v>14.192</v>
      </c>
      <c r="Q535" s="11" t="n">
        <v>0</v>
      </c>
      <c r="R535" s="11" t="n">
        <v>0</v>
      </c>
      <c r="S535" s="11" t="n">
        <v>0</v>
      </c>
      <c r="T535" s="11" t="n">
        <f aca="false">SUM(N535:S535)</f>
        <v>25.672</v>
      </c>
      <c r="U535" s="11" t="n">
        <v>0</v>
      </c>
      <c r="V535" s="11" t="n">
        <v>0</v>
      </c>
      <c r="W535" s="11" t="n">
        <v>0</v>
      </c>
      <c r="X535" s="11" t="n">
        <v>0</v>
      </c>
      <c r="Y535" s="11" t="n">
        <v>0</v>
      </c>
      <c r="Z535" s="11" t="n">
        <v>0</v>
      </c>
      <c r="AA535" s="11" t="n">
        <f aca="false">SUM(U535:Z535)</f>
        <v>0</v>
      </c>
      <c r="AB535" s="11" t="n">
        <v>0</v>
      </c>
      <c r="AC535" s="11" t="n">
        <v>0</v>
      </c>
      <c r="AD535" s="11" t="n">
        <v>0</v>
      </c>
      <c r="AE535" s="11" t="n">
        <v>0</v>
      </c>
      <c r="AF535" s="11" t="n">
        <v>0</v>
      </c>
      <c r="AG535" s="11" t="n">
        <v>0</v>
      </c>
      <c r="AH535" s="11" t="n">
        <f aca="false">SUM(AB535:AG535)</f>
        <v>0</v>
      </c>
      <c r="AI535" s="12" t="s">
        <v>955</v>
      </c>
    </row>
    <row r="536" customFormat="false" ht="15" hidden="false" customHeight="false" outlineLevel="0" collapsed="false">
      <c r="A536" s="8" t="s">
        <v>1161</v>
      </c>
      <c r="B536" s="9" t="s">
        <v>1162</v>
      </c>
      <c r="C536" s="8" t="s">
        <v>1133</v>
      </c>
      <c r="D536" s="12" t="s">
        <v>1134</v>
      </c>
      <c r="E536" s="10" t="str">
        <f aca="true">IFERROR(IF(INDEX(INDIRECT("'"&amp;$AI536&amp;"'!$E$2:$E$327"),MATCH($A536,INDIRECT("'"&amp;$AI536&amp;"'!$A$2:$A$327"),0))="","",INDEX(INDIRECT("'"&amp;$AI536&amp;"'!$E$2:$E$327"),MATCH($A536,INDIRECT("'"&amp;$AI536&amp;"'!$A$2:$A$327"),0))),"")</f>
        <v/>
      </c>
      <c r="F536" s="9" t="str">
        <f aca="false">IF($E536="","",IFERROR(INDEX(担当者マスタ!$B$2:$B$101,MATCH($E536,担当者マスタ!$A$2:$A$101,0)),"※マスタ未登録"))</f>
        <v/>
      </c>
      <c r="G536" s="11" t="n">
        <v>5.4</v>
      </c>
      <c r="H536" s="11" t="n">
        <v>9.07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f aca="false">SUM(G536:L536)</f>
        <v>14.47</v>
      </c>
      <c r="N536" s="11" t="n">
        <v>0.8</v>
      </c>
      <c r="O536" s="11" t="n">
        <v>1.56</v>
      </c>
      <c r="P536" s="11" t="n">
        <v>0</v>
      </c>
      <c r="Q536" s="11" t="n">
        <v>0</v>
      </c>
      <c r="R536" s="11" t="n">
        <v>0</v>
      </c>
      <c r="S536" s="11" t="n">
        <v>0</v>
      </c>
      <c r="T536" s="11" t="n">
        <f aca="false">SUM(N536:S536)</f>
        <v>2.36</v>
      </c>
      <c r="U536" s="11" t="n">
        <v>0</v>
      </c>
      <c r="V536" s="11" t="n">
        <v>0</v>
      </c>
      <c r="W536" s="11" t="n">
        <v>0</v>
      </c>
      <c r="X536" s="11" t="n">
        <v>0</v>
      </c>
      <c r="Y536" s="11" t="n">
        <v>0</v>
      </c>
      <c r="Z536" s="11" t="n">
        <v>0</v>
      </c>
      <c r="AA536" s="11" t="n">
        <f aca="false">SUM(U536:Z536)</f>
        <v>0</v>
      </c>
      <c r="AB536" s="11" t="n">
        <v>0</v>
      </c>
      <c r="AC536" s="11" t="n">
        <v>0</v>
      </c>
      <c r="AD536" s="11" t="n">
        <v>0</v>
      </c>
      <c r="AE536" s="11" t="n">
        <v>0</v>
      </c>
      <c r="AF536" s="11" t="n">
        <v>0</v>
      </c>
      <c r="AG536" s="11" t="n">
        <v>0</v>
      </c>
      <c r="AH536" s="11" t="n">
        <f aca="false">SUM(AB536:AG536)</f>
        <v>0</v>
      </c>
      <c r="AI536" s="12" t="s">
        <v>955</v>
      </c>
    </row>
    <row r="537" customFormat="false" ht="15" hidden="false" customHeight="false" outlineLevel="0" collapsed="false">
      <c r="A537" s="8" t="s">
        <v>1163</v>
      </c>
      <c r="B537" s="12" t="s">
        <v>1164</v>
      </c>
      <c r="C537" s="8" t="s">
        <v>1133</v>
      </c>
      <c r="D537" s="12" t="s">
        <v>1134</v>
      </c>
      <c r="E537" s="10" t="str">
        <f aca="true">IFERROR(IF(INDEX(INDIRECT("'"&amp;$AI537&amp;"'!$E$2:$E$327"),MATCH($A537,INDIRECT("'"&amp;$AI537&amp;"'!$A$2:$A$327"),0))="","",INDEX(INDIRECT("'"&amp;$AI537&amp;"'!$E$2:$E$327"),MATCH($A537,INDIRECT("'"&amp;$AI537&amp;"'!$A$2:$A$327"),0))),"")</f>
        <v/>
      </c>
      <c r="F537" s="9" t="str">
        <f aca="false">IF($E537="","",IFERROR(INDEX(担当者マスタ!$B$2:$B$101,MATCH($E537,担当者マスタ!$A$2:$A$101,0)),"※マスタ未登録"))</f>
        <v/>
      </c>
      <c r="G537" s="11" t="n">
        <v>0</v>
      </c>
      <c r="H537" s="11" t="n">
        <v>0</v>
      </c>
      <c r="I537" s="11" t="n">
        <v>15.644</v>
      </c>
      <c r="J537" s="11" t="n">
        <v>0</v>
      </c>
      <c r="K537" s="11" t="n">
        <v>0</v>
      </c>
      <c r="L537" s="11" t="n">
        <v>0</v>
      </c>
      <c r="M537" s="11" t="n">
        <f aca="false">SUM(G537:L537)</f>
        <v>15.644</v>
      </c>
      <c r="N537" s="11" t="n">
        <v>0</v>
      </c>
      <c r="O537" s="11" t="n">
        <v>0</v>
      </c>
      <c r="P537" s="11" t="n">
        <v>2.088</v>
      </c>
      <c r="Q537" s="11" t="n">
        <v>0</v>
      </c>
      <c r="R537" s="11" t="n">
        <v>0</v>
      </c>
      <c r="S537" s="11" t="n">
        <v>0</v>
      </c>
      <c r="T537" s="11" t="n">
        <f aca="false">SUM(N537:S537)</f>
        <v>2.088</v>
      </c>
      <c r="U537" s="11" t="n">
        <v>0</v>
      </c>
      <c r="V537" s="11" t="n">
        <v>7.344</v>
      </c>
      <c r="W537" s="11" t="n">
        <v>0</v>
      </c>
      <c r="X537" s="11" t="n">
        <v>0</v>
      </c>
      <c r="Y537" s="11" t="n">
        <v>0</v>
      </c>
      <c r="Z537" s="11" t="n">
        <v>0</v>
      </c>
      <c r="AA537" s="11" t="n">
        <f aca="false">SUM(U537:Z537)</f>
        <v>7.344</v>
      </c>
      <c r="AB537" s="11" t="n">
        <v>0</v>
      </c>
      <c r="AC537" s="11" t="n">
        <v>0.288</v>
      </c>
      <c r="AD537" s="11" t="n">
        <v>0</v>
      </c>
      <c r="AE537" s="11" t="n">
        <v>0</v>
      </c>
      <c r="AF537" s="11" t="n">
        <v>0</v>
      </c>
      <c r="AG537" s="11" t="n">
        <v>0</v>
      </c>
      <c r="AH537" s="11" t="n">
        <f aca="false">SUM(AB537:AG537)</f>
        <v>0.288</v>
      </c>
      <c r="AI537" s="12" t="s">
        <v>955</v>
      </c>
    </row>
    <row r="538" customFormat="false" ht="15" hidden="false" customHeight="false" outlineLevel="0" collapsed="false">
      <c r="A538" s="8" t="s">
        <v>1165</v>
      </c>
      <c r="B538" s="12" t="s">
        <v>1166</v>
      </c>
      <c r="C538" s="8" t="s">
        <v>1133</v>
      </c>
      <c r="D538" s="12" t="s">
        <v>1134</v>
      </c>
      <c r="E538" s="10" t="str">
        <f aca="true">IFERROR(IF(INDEX(INDIRECT("'"&amp;$AI538&amp;"'!$E$2:$E$327"),MATCH($A538,INDIRECT("'"&amp;$AI538&amp;"'!$A$2:$A$327"),0))="","",INDEX(INDIRECT("'"&amp;$AI538&amp;"'!$E$2:$E$327"),MATCH($A538,INDIRECT("'"&amp;$AI538&amp;"'!$A$2:$A$327"),0))),"")</f>
        <v/>
      </c>
      <c r="F538" s="9" t="str">
        <f aca="false">IF($E538="","",IFERROR(INDEX(担当者マスタ!$B$2:$B$101,MATCH($E538,担当者マスタ!$A$2:$A$101,0)),"※マスタ未登録"))</f>
        <v/>
      </c>
      <c r="G538" s="11" t="n">
        <v>24.9</v>
      </c>
      <c r="H538" s="11" t="n">
        <v>65.89</v>
      </c>
      <c r="I538" s="11" t="n">
        <v>76.2</v>
      </c>
      <c r="J538" s="11" t="n">
        <v>22.7</v>
      </c>
      <c r="K538" s="11" t="n">
        <v>0</v>
      </c>
      <c r="L538" s="11" t="n">
        <v>76.1</v>
      </c>
      <c r="M538" s="11" t="n">
        <f aca="false">SUM(G538:L538)</f>
        <v>265.79</v>
      </c>
      <c r="N538" s="11" t="n">
        <v>4.6</v>
      </c>
      <c r="O538" s="11" t="n">
        <v>12.45</v>
      </c>
      <c r="P538" s="11" t="n">
        <v>10.8</v>
      </c>
      <c r="Q538" s="11" t="n">
        <v>6.59</v>
      </c>
      <c r="R538" s="11" t="n">
        <v>0</v>
      </c>
      <c r="S538" s="11" t="n">
        <v>10.577</v>
      </c>
      <c r="T538" s="11" t="n">
        <f aca="false">SUM(N538:S538)</f>
        <v>45.017</v>
      </c>
      <c r="U538" s="11" t="n">
        <v>0</v>
      </c>
      <c r="V538" s="11" t="n">
        <v>20.175</v>
      </c>
      <c r="W538" s="11" t="n">
        <v>17.075</v>
      </c>
      <c r="X538" s="11" t="n">
        <v>69</v>
      </c>
      <c r="Y538" s="11" t="n">
        <v>51.545</v>
      </c>
      <c r="Z538" s="11" t="n">
        <v>69</v>
      </c>
      <c r="AA538" s="11" t="n">
        <f aca="false">SUM(U538:Z538)</f>
        <v>226.795</v>
      </c>
      <c r="AB538" s="11" t="n">
        <v>0</v>
      </c>
      <c r="AC538" s="11" t="n">
        <v>5.647</v>
      </c>
      <c r="AD538" s="11" t="n">
        <v>4.989</v>
      </c>
      <c r="AE538" s="11" t="n">
        <v>9</v>
      </c>
      <c r="AF538" s="11" t="n">
        <v>9.659</v>
      </c>
      <c r="AG538" s="11" t="n">
        <v>9</v>
      </c>
      <c r="AH538" s="11" t="n">
        <f aca="false">SUM(AB538:AG538)</f>
        <v>38.295</v>
      </c>
      <c r="AI538" s="12" t="s">
        <v>955</v>
      </c>
    </row>
    <row r="539" customFormat="false" ht="15" hidden="false" customHeight="false" outlineLevel="0" collapsed="false">
      <c r="A539" s="8" t="s">
        <v>1167</v>
      </c>
      <c r="B539" s="12" t="s">
        <v>691</v>
      </c>
      <c r="C539" s="8" t="s">
        <v>1168</v>
      </c>
      <c r="D539" s="12" t="s">
        <v>701</v>
      </c>
      <c r="E539" s="10" t="str">
        <f aca="true">IFERROR(IF(INDEX(INDIRECT("'"&amp;$AI539&amp;"'!$E$2:$E$327"),MATCH($A539,INDIRECT("'"&amp;$AI539&amp;"'!$A$2:$A$327"),0))="","",INDEX(INDIRECT("'"&amp;$AI539&amp;"'!$E$2:$E$327"),MATCH($A539,INDIRECT("'"&amp;$AI539&amp;"'!$A$2:$A$327"),0))),"")</f>
        <v/>
      </c>
      <c r="F539" s="9" t="str">
        <f aca="false">IF($E539="","",IFERROR(INDEX(担当者マスタ!$B$2:$B$101,MATCH($E539,担当者マスタ!$A$2:$A$101,0)),"※マスタ未登録"))</f>
        <v/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f aca="false">SUM(G539:L539)</f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  <c r="T539" s="11" t="n">
        <f aca="false">SUM(N539:S539)</f>
        <v>0</v>
      </c>
      <c r="U539" s="11" t="n">
        <v>8085.32</v>
      </c>
      <c r="V539" s="11" t="n">
        <v>0</v>
      </c>
      <c r="W539" s="11" t="n">
        <v>0</v>
      </c>
      <c r="X539" s="11" t="n">
        <v>0</v>
      </c>
      <c r="Y539" s="11" t="n">
        <v>0</v>
      </c>
      <c r="Z539" s="11" t="n">
        <v>0</v>
      </c>
      <c r="AA539" s="11" t="n">
        <f aca="false">SUM(U539:Z539)</f>
        <v>8085.32</v>
      </c>
      <c r="AB539" s="11" t="n">
        <v>299.72</v>
      </c>
      <c r="AC539" s="11" t="n">
        <v>0</v>
      </c>
      <c r="AD539" s="11" t="n">
        <v>0</v>
      </c>
      <c r="AE539" s="11" t="n">
        <v>0</v>
      </c>
      <c r="AF539" s="11" t="n">
        <v>0</v>
      </c>
      <c r="AG539" s="11" t="n">
        <v>0</v>
      </c>
      <c r="AH539" s="11" t="n">
        <f aca="false">SUM(AB539:AG539)</f>
        <v>299.72</v>
      </c>
      <c r="AI539" s="12" t="s">
        <v>955</v>
      </c>
    </row>
    <row r="540" customFormat="false" ht="15" hidden="false" customHeight="false" outlineLevel="0" collapsed="false">
      <c r="A540" s="8" t="s">
        <v>1169</v>
      </c>
      <c r="B540" s="12" t="s">
        <v>1170</v>
      </c>
      <c r="C540" s="8" t="s">
        <v>1168</v>
      </c>
      <c r="D540" s="12" t="s">
        <v>701</v>
      </c>
      <c r="E540" s="10" t="str">
        <f aca="true">IFERROR(IF(INDEX(INDIRECT("'"&amp;$AI540&amp;"'!$E$2:$E$327"),MATCH($A540,INDIRECT("'"&amp;$AI540&amp;"'!$A$2:$A$327"),0))="","",INDEX(INDIRECT("'"&amp;$AI540&amp;"'!$E$2:$E$327"),MATCH($A540,INDIRECT("'"&amp;$AI540&amp;"'!$A$2:$A$327"),0))),"")</f>
        <v/>
      </c>
      <c r="F540" s="9" t="str">
        <f aca="false">IF($E540="","",IFERROR(INDEX(担当者マスタ!$B$2:$B$101,MATCH($E540,担当者マスタ!$A$2:$A$101,0)),"※マスタ未登録"))</f>
        <v/>
      </c>
      <c r="G540" s="11" t="n">
        <v>5928.28</v>
      </c>
      <c r="H540" s="11" t="n">
        <v>6152.72</v>
      </c>
      <c r="I540" s="11" t="n">
        <v>7138.22</v>
      </c>
      <c r="J540" s="11" t="n">
        <v>5920.77</v>
      </c>
      <c r="K540" s="11" t="n">
        <v>0</v>
      </c>
      <c r="L540" s="11" t="n">
        <v>509.5</v>
      </c>
      <c r="M540" s="11" t="n">
        <f aca="false">SUM(G540:L540)</f>
        <v>25649.49</v>
      </c>
      <c r="N540" s="11" t="n">
        <v>113.36</v>
      </c>
      <c r="O540" s="11" t="n">
        <v>101.72</v>
      </c>
      <c r="P540" s="11" t="n">
        <v>112.52</v>
      </c>
      <c r="Q540" s="11" t="n">
        <v>104.42</v>
      </c>
      <c r="R540" s="11" t="n">
        <v>0</v>
      </c>
      <c r="S540" s="11" t="n">
        <v>25.5</v>
      </c>
      <c r="T540" s="11" t="n">
        <f aca="false">SUM(N540:S540)</f>
        <v>457.52</v>
      </c>
      <c r="U540" s="11" t="n">
        <v>5676.032</v>
      </c>
      <c r="V540" s="11" t="n">
        <v>6905.36</v>
      </c>
      <c r="W540" s="11" t="n">
        <v>9060.364</v>
      </c>
      <c r="X540" s="11" t="n">
        <v>5021.712</v>
      </c>
      <c r="Y540" s="11" t="n">
        <v>3741.12</v>
      </c>
      <c r="Z540" s="11" t="n">
        <v>0</v>
      </c>
      <c r="AA540" s="11" t="n">
        <f aca="false">SUM(U540:Z540)</f>
        <v>30404.588</v>
      </c>
      <c r="AB540" s="11" t="n">
        <v>104.512</v>
      </c>
      <c r="AC540" s="11" t="n">
        <v>118.9</v>
      </c>
      <c r="AD540" s="11" t="n">
        <v>156.524</v>
      </c>
      <c r="AE540" s="11" t="n">
        <v>78.912</v>
      </c>
      <c r="AF540" s="11" t="n">
        <v>55.08</v>
      </c>
      <c r="AG540" s="11" t="n">
        <v>0</v>
      </c>
      <c r="AH540" s="11" t="n">
        <f aca="false">SUM(AB540:AG540)</f>
        <v>513.928</v>
      </c>
      <c r="AI540" s="12" t="s">
        <v>955</v>
      </c>
    </row>
    <row r="541" customFormat="false" ht="15" hidden="false" customHeight="false" outlineLevel="0" collapsed="false">
      <c r="A541" s="8" t="s">
        <v>1171</v>
      </c>
      <c r="B541" s="12" t="s">
        <v>1172</v>
      </c>
      <c r="C541" s="8" t="s">
        <v>1168</v>
      </c>
      <c r="D541" s="12" t="s">
        <v>701</v>
      </c>
      <c r="E541" s="10" t="str">
        <f aca="true">IFERROR(IF(INDEX(INDIRECT("'"&amp;$AI541&amp;"'!$E$2:$E$327"),MATCH($A541,INDIRECT("'"&amp;$AI541&amp;"'!$A$2:$A$327"),0))="","",INDEX(INDIRECT("'"&amp;$AI541&amp;"'!$E$2:$E$327"),MATCH($A541,INDIRECT("'"&amp;$AI541&amp;"'!$A$2:$A$327"),0))),"")</f>
        <v/>
      </c>
      <c r="F541" s="9" t="str">
        <f aca="false">IF($E541="","",IFERROR(INDEX(担当者マスタ!$B$2:$B$101,MATCH($E541,担当者マスタ!$A$2:$A$101,0)),"※マスタ未登録"))</f>
        <v/>
      </c>
      <c r="G541" s="11" t="n">
        <v>9.4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f aca="false">SUM(G541:L541)</f>
        <v>9.4</v>
      </c>
      <c r="N541" s="11" t="n">
        <v>2.5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1" t="n">
        <f aca="false">SUM(N541:S541)</f>
        <v>2.5</v>
      </c>
      <c r="U541" s="11" t="n">
        <v>0</v>
      </c>
      <c r="V541" s="11" t="n">
        <v>0</v>
      </c>
      <c r="W541" s="11" t="n">
        <v>0</v>
      </c>
      <c r="X541" s="11" t="n">
        <v>0</v>
      </c>
      <c r="Y541" s="11" t="n">
        <v>0</v>
      </c>
      <c r="Z541" s="11" t="n">
        <v>0</v>
      </c>
      <c r="AA541" s="11" t="n">
        <f aca="false">SUM(U541:Z541)</f>
        <v>0</v>
      </c>
      <c r="AB541" s="11" t="n">
        <v>0</v>
      </c>
      <c r="AC541" s="11" t="n">
        <v>0</v>
      </c>
      <c r="AD541" s="11" t="n">
        <v>0</v>
      </c>
      <c r="AE541" s="11" t="n">
        <v>0</v>
      </c>
      <c r="AF541" s="11" t="n">
        <v>0</v>
      </c>
      <c r="AG541" s="11" t="n">
        <v>0</v>
      </c>
      <c r="AH541" s="11" t="n">
        <f aca="false">SUM(AB541:AG541)</f>
        <v>0</v>
      </c>
      <c r="AI541" s="12" t="s">
        <v>955</v>
      </c>
    </row>
    <row r="542" customFormat="false" ht="15" hidden="false" customHeight="false" outlineLevel="0" collapsed="false">
      <c r="A542" s="8" t="s">
        <v>1173</v>
      </c>
      <c r="B542" s="12" t="s">
        <v>1174</v>
      </c>
      <c r="C542" s="8" t="s">
        <v>1175</v>
      </c>
      <c r="D542" s="12" t="s">
        <v>1176</v>
      </c>
      <c r="E542" s="10" t="str">
        <f aca="true">IFERROR(IF(INDEX(INDIRECT("'"&amp;$AI542&amp;"'!$E$2:$E$327"),MATCH($A542,INDIRECT("'"&amp;$AI542&amp;"'!$A$2:$A$327"),0))="","",INDEX(INDIRECT("'"&amp;$AI542&amp;"'!$E$2:$E$327"),MATCH($A542,INDIRECT("'"&amp;$AI542&amp;"'!$A$2:$A$327"),0))),"")</f>
        <v/>
      </c>
      <c r="F542" s="9" t="str">
        <f aca="false">IF($E542="","",IFERROR(INDEX(担当者マスタ!$B$2:$B$101,MATCH($E542,担当者マスタ!$A$2:$A$101,0)),"※マスタ未登録"))</f>
        <v/>
      </c>
      <c r="G542" s="11" t="n">
        <v>0</v>
      </c>
      <c r="H542" s="11" t="n">
        <v>0</v>
      </c>
      <c r="I542" s="11" t="n">
        <v>26.72</v>
      </c>
      <c r="J542" s="11" t="n">
        <v>0</v>
      </c>
      <c r="K542" s="11" t="n">
        <v>4.79</v>
      </c>
      <c r="L542" s="11" t="n">
        <v>2.95</v>
      </c>
      <c r="M542" s="11" t="n">
        <f aca="false">SUM(G542:L542)</f>
        <v>34.46</v>
      </c>
      <c r="N542" s="11" t="n">
        <v>0</v>
      </c>
      <c r="O542" s="11" t="n">
        <v>0</v>
      </c>
      <c r="P542" s="11" t="n">
        <v>4.135</v>
      </c>
      <c r="Q542" s="11" t="n">
        <v>0</v>
      </c>
      <c r="R542" s="11" t="n">
        <v>1.296</v>
      </c>
      <c r="S542" s="11" t="n">
        <v>0.909</v>
      </c>
      <c r="T542" s="11" t="n">
        <f aca="false">SUM(N542:S542)</f>
        <v>6.34</v>
      </c>
      <c r="U542" s="11" t="n">
        <v>12.115</v>
      </c>
      <c r="V542" s="11" t="n">
        <v>3.8</v>
      </c>
      <c r="W542" s="11" t="n">
        <v>16.821</v>
      </c>
      <c r="X542" s="11" t="n">
        <v>12.96</v>
      </c>
      <c r="Y542" s="11" t="n">
        <v>27.92</v>
      </c>
      <c r="Z542" s="11" t="n">
        <v>4.2</v>
      </c>
      <c r="AA542" s="11" t="n">
        <f aca="false">SUM(U542:Z542)</f>
        <v>77.816</v>
      </c>
      <c r="AB542" s="11" t="n">
        <v>1.801</v>
      </c>
      <c r="AC542" s="11" t="n">
        <v>1.5</v>
      </c>
      <c r="AD542" s="11" t="n">
        <v>3.403</v>
      </c>
      <c r="AE542" s="11" t="n">
        <v>2.064</v>
      </c>
      <c r="AF542" s="11" t="n">
        <v>3.303</v>
      </c>
      <c r="AG542" s="11" t="n">
        <v>0.432</v>
      </c>
      <c r="AH542" s="11" t="n">
        <f aca="false">SUM(AB542:AG542)</f>
        <v>12.503</v>
      </c>
      <c r="AI542" s="12" t="s">
        <v>955</v>
      </c>
    </row>
    <row r="543" customFormat="false" ht="15" hidden="false" customHeight="false" outlineLevel="0" collapsed="false">
      <c r="A543" s="8" t="s">
        <v>1177</v>
      </c>
      <c r="B543" s="12" t="s">
        <v>1178</v>
      </c>
      <c r="C543" s="8" t="s">
        <v>1179</v>
      </c>
      <c r="D543" s="12" t="s">
        <v>655</v>
      </c>
      <c r="E543" s="10" t="str">
        <f aca="true">IFERROR(IF(INDEX(INDIRECT("'"&amp;$AI543&amp;"'!$E$2:$E$327"),MATCH($A543,INDIRECT("'"&amp;$AI543&amp;"'!$A$2:$A$327"),0))="","",INDEX(INDIRECT("'"&amp;$AI543&amp;"'!$E$2:$E$327"),MATCH($A543,INDIRECT("'"&amp;$AI543&amp;"'!$A$2:$A$327"),0))),"")</f>
        <v/>
      </c>
      <c r="F543" s="9" t="str">
        <f aca="false">IF($E543="","",IFERROR(INDEX(担当者マスタ!$B$2:$B$101,MATCH($E543,担当者マスタ!$A$2:$A$101,0)),"※マスタ未登録"))</f>
        <v/>
      </c>
      <c r="G543" s="11" t="n">
        <v>1.1</v>
      </c>
      <c r="H543" s="11" t="n">
        <v>7.194</v>
      </c>
      <c r="I543" s="11" t="n">
        <v>7.6</v>
      </c>
      <c r="J543" s="11" t="n">
        <v>7.001</v>
      </c>
      <c r="K543" s="11" t="n">
        <v>10.144</v>
      </c>
      <c r="L543" s="11" t="n">
        <v>1.9</v>
      </c>
      <c r="M543" s="11" t="n">
        <f aca="false">SUM(G543:L543)</f>
        <v>34.939</v>
      </c>
      <c r="N543" s="11" t="n">
        <v>0.325</v>
      </c>
      <c r="O543" s="11" t="n">
        <v>2.647</v>
      </c>
      <c r="P543" s="11" t="n">
        <v>2.115</v>
      </c>
      <c r="Q543" s="11" t="n">
        <v>1.454</v>
      </c>
      <c r="R543" s="11" t="n">
        <v>2.19</v>
      </c>
      <c r="S543" s="11" t="n">
        <v>0.45</v>
      </c>
      <c r="T543" s="11" t="n">
        <f aca="false">SUM(N543:S543)</f>
        <v>9.181</v>
      </c>
      <c r="U543" s="11" t="n">
        <v>0</v>
      </c>
      <c r="V543" s="11" t="n">
        <v>0</v>
      </c>
      <c r="W543" s="11" t="n">
        <v>1.1</v>
      </c>
      <c r="X543" s="11" t="n">
        <v>0</v>
      </c>
      <c r="Y543" s="11" t="n">
        <v>7.26</v>
      </c>
      <c r="Z543" s="11" t="n">
        <v>1.1</v>
      </c>
      <c r="AA543" s="11" t="n">
        <f aca="false">SUM(U543:Z543)</f>
        <v>9.46</v>
      </c>
      <c r="AB543" s="11" t="n">
        <v>0</v>
      </c>
      <c r="AC543" s="11" t="n">
        <v>0</v>
      </c>
      <c r="AD543" s="11" t="n">
        <v>0.375</v>
      </c>
      <c r="AE543" s="11" t="n">
        <v>0</v>
      </c>
      <c r="AF543" s="11" t="n">
        <v>2.44</v>
      </c>
      <c r="AG543" s="11" t="n">
        <v>0.375</v>
      </c>
      <c r="AH543" s="11" t="n">
        <f aca="false">SUM(AB543:AG543)</f>
        <v>3.19</v>
      </c>
      <c r="AI543" s="12" t="s">
        <v>955</v>
      </c>
    </row>
    <row r="544" customFormat="false" ht="15" hidden="false" customHeight="false" outlineLevel="0" collapsed="false">
      <c r="A544" s="8" t="s">
        <v>1180</v>
      </c>
      <c r="B544" s="12" t="s">
        <v>1178</v>
      </c>
      <c r="C544" s="8" t="s">
        <v>1179</v>
      </c>
      <c r="D544" s="12" t="s">
        <v>655</v>
      </c>
      <c r="E544" s="10" t="str">
        <f aca="true">IFERROR(IF(INDEX(INDIRECT("'"&amp;$AI544&amp;"'!$E$2:$E$327"),MATCH($A544,INDIRECT("'"&amp;$AI544&amp;"'!$A$2:$A$327"),0))="","",INDEX(INDIRECT("'"&amp;$AI544&amp;"'!$E$2:$E$327"),MATCH($A544,INDIRECT("'"&amp;$AI544&amp;"'!$A$2:$A$327"),0))),"")</f>
        <v/>
      </c>
      <c r="F544" s="9" t="str">
        <f aca="false">IF($E544="","",IFERROR(INDEX(担当者マスタ!$B$2:$B$101,MATCH($E544,担当者マスタ!$A$2:$A$101,0)),"※マスタ未登録"))</f>
        <v/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f aca="false">SUM(G544:L544)</f>
        <v>0</v>
      </c>
      <c r="N544" s="11" t="n">
        <v>0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1" t="n">
        <f aca="false">SUM(N544:S544)</f>
        <v>0</v>
      </c>
      <c r="U544" s="11" t="n">
        <v>0</v>
      </c>
      <c r="V544" s="11" t="n">
        <v>0</v>
      </c>
      <c r="W544" s="11" t="n">
        <v>0</v>
      </c>
      <c r="X544" s="11" t="n">
        <v>0</v>
      </c>
      <c r="Y544" s="11" t="n">
        <v>30</v>
      </c>
      <c r="Z544" s="11" t="n">
        <v>0</v>
      </c>
      <c r="AA544" s="11" t="n">
        <f aca="false">SUM(U544:Z544)</f>
        <v>30</v>
      </c>
      <c r="AB544" s="11" t="n">
        <v>0</v>
      </c>
      <c r="AC544" s="11" t="n">
        <v>0</v>
      </c>
      <c r="AD544" s="11" t="n">
        <v>0</v>
      </c>
      <c r="AE544" s="11" t="n">
        <v>0</v>
      </c>
      <c r="AF544" s="11" t="n">
        <v>0</v>
      </c>
      <c r="AG544" s="11" t="n">
        <v>0</v>
      </c>
      <c r="AH544" s="11" t="n">
        <f aca="false">SUM(AB544:AG544)</f>
        <v>0</v>
      </c>
      <c r="AI544" s="12" t="s">
        <v>955</v>
      </c>
    </row>
    <row r="545" customFormat="false" ht="15" hidden="false" customHeight="false" outlineLevel="0" collapsed="false">
      <c r="A545" s="8" t="s">
        <v>1181</v>
      </c>
      <c r="B545" s="12" t="s">
        <v>659</v>
      </c>
      <c r="C545" s="8" t="s">
        <v>1179</v>
      </c>
      <c r="D545" s="12" t="s">
        <v>655</v>
      </c>
      <c r="E545" s="10" t="str">
        <f aca="true">IFERROR(IF(INDEX(INDIRECT("'"&amp;$AI545&amp;"'!$E$2:$E$327"),MATCH($A545,INDIRECT("'"&amp;$AI545&amp;"'!$A$2:$A$327"),0))="","",INDEX(INDIRECT("'"&amp;$AI545&amp;"'!$E$2:$E$327"),MATCH($A545,INDIRECT("'"&amp;$AI545&amp;"'!$A$2:$A$327"),0))),"")</f>
        <v/>
      </c>
      <c r="F545" s="9" t="str">
        <f aca="false">IF($E545="","",IFERROR(INDEX(担当者マスタ!$B$2:$B$101,MATCH($E545,担当者マスタ!$A$2:$A$101,0)),"※マスタ未登録"))</f>
        <v/>
      </c>
      <c r="G545" s="11" t="n">
        <v>2.4</v>
      </c>
      <c r="H545" s="11" t="n">
        <v>0</v>
      </c>
      <c r="I545" s="11" t="n">
        <v>0</v>
      </c>
      <c r="J545" s="11" t="n">
        <v>1.5</v>
      </c>
      <c r="K545" s="11" t="n">
        <v>0</v>
      </c>
      <c r="L545" s="11" t="n">
        <v>0</v>
      </c>
      <c r="M545" s="11" t="n">
        <f aca="false">SUM(G545:L545)</f>
        <v>3.9</v>
      </c>
      <c r="N545" s="11" t="n">
        <v>0.288</v>
      </c>
      <c r="O545" s="11" t="n">
        <v>0</v>
      </c>
      <c r="P545" s="11" t="n">
        <v>0</v>
      </c>
      <c r="Q545" s="11" t="n">
        <v>0.18</v>
      </c>
      <c r="R545" s="11" t="n">
        <v>0</v>
      </c>
      <c r="S545" s="11" t="n">
        <v>0</v>
      </c>
      <c r="T545" s="11" t="n">
        <f aca="false">SUM(N545:S545)</f>
        <v>0.468</v>
      </c>
      <c r="U545" s="11" t="n">
        <v>1.35</v>
      </c>
      <c r="V545" s="11" t="n">
        <v>0</v>
      </c>
      <c r="W545" s="11" t="n">
        <v>0</v>
      </c>
      <c r="X545" s="11" t="n">
        <v>0.15</v>
      </c>
      <c r="Y545" s="11" t="n">
        <v>0</v>
      </c>
      <c r="Z545" s="11" t="n">
        <v>0</v>
      </c>
      <c r="AA545" s="11" t="n">
        <f aca="false">SUM(U545:Z545)</f>
        <v>1.5</v>
      </c>
      <c r="AB545" s="11" t="n">
        <v>0.162</v>
      </c>
      <c r="AC545" s="11" t="n">
        <v>0</v>
      </c>
      <c r="AD545" s="11" t="n">
        <v>0</v>
      </c>
      <c r="AE545" s="11" t="n">
        <v>0.018</v>
      </c>
      <c r="AF545" s="11" t="n">
        <v>0</v>
      </c>
      <c r="AG545" s="11" t="n">
        <v>0</v>
      </c>
      <c r="AH545" s="11" t="n">
        <f aca="false">SUM(AB545:AG545)</f>
        <v>0.18</v>
      </c>
      <c r="AI545" s="12" t="s">
        <v>955</v>
      </c>
    </row>
    <row r="546" customFormat="false" ht="15" hidden="false" customHeight="false" outlineLevel="0" collapsed="false">
      <c r="A546" s="8" t="s">
        <v>1182</v>
      </c>
      <c r="B546" s="12" t="s">
        <v>1183</v>
      </c>
      <c r="C546" s="8" t="s">
        <v>1179</v>
      </c>
      <c r="D546" s="12" t="s">
        <v>655</v>
      </c>
      <c r="E546" s="10" t="str">
        <f aca="true">IFERROR(IF(INDEX(INDIRECT("'"&amp;$AI546&amp;"'!$E$2:$E$327"),MATCH($A546,INDIRECT("'"&amp;$AI546&amp;"'!$A$2:$A$327"),0))="","",INDEX(INDIRECT("'"&amp;$AI546&amp;"'!$E$2:$E$327"),MATCH($A546,INDIRECT("'"&amp;$AI546&amp;"'!$A$2:$A$327"),0))),"")</f>
        <v/>
      </c>
      <c r="F546" s="9" t="str">
        <f aca="false">IF($E546="","",IFERROR(INDEX(担当者マスタ!$B$2:$B$101,MATCH($E546,担当者マスタ!$A$2:$A$101,0)),"※マスタ未登録"))</f>
        <v/>
      </c>
      <c r="G546" s="11" t="n">
        <v>10.9</v>
      </c>
      <c r="H546" s="11" t="n">
        <v>3.9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f aca="false">SUM(G546:L546)</f>
        <v>14.8</v>
      </c>
      <c r="N546" s="11" t="n">
        <v>3.36</v>
      </c>
      <c r="O546" s="11" t="n">
        <v>0.96</v>
      </c>
      <c r="P546" s="11" t="n">
        <v>0</v>
      </c>
      <c r="Q546" s="11" t="n">
        <v>0</v>
      </c>
      <c r="R546" s="11" t="n">
        <v>0</v>
      </c>
      <c r="S546" s="11" t="n">
        <v>0</v>
      </c>
      <c r="T546" s="11" t="n">
        <f aca="false">SUM(N546:S546)</f>
        <v>4.32</v>
      </c>
      <c r="U546" s="11" t="n">
        <v>0</v>
      </c>
      <c r="V546" s="11" t="n">
        <v>4.55</v>
      </c>
      <c r="W546" s="11" t="n">
        <v>0</v>
      </c>
      <c r="X546" s="11" t="n">
        <v>0</v>
      </c>
      <c r="Y546" s="11" t="n">
        <v>0</v>
      </c>
      <c r="Z546" s="11" t="n">
        <v>0</v>
      </c>
      <c r="AA546" s="11" t="n">
        <f aca="false">SUM(U546:Z546)</f>
        <v>4.55</v>
      </c>
      <c r="AB546" s="11" t="n">
        <v>0</v>
      </c>
      <c r="AC546" s="11" t="n">
        <v>1.12</v>
      </c>
      <c r="AD546" s="11" t="n">
        <v>0</v>
      </c>
      <c r="AE546" s="11" t="n">
        <v>0</v>
      </c>
      <c r="AF546" s="11" t="n">
        <v>0</v>
      </c>
      <c r="AG546" s="11" t="n">
        <v>0</v>
      </c>
      <c r="AH546" s="11" t="n">
        <f aca="false">SUM(AB546:AG546)</f>
        <v>1.12</v>
      </c>
      <c r="AI546" s="12" t="s">
        <v>955</v>
      </c>
    </row>
    <row r="547" customFormat="false" ht="15" hidden="false" customHeight="false" outlineLevel="0" collapsed="false">
      <c r="A547" s="8" t="s">
        <v>1184</v>
      </c>
      <c r="B547" s="12" t="s">
        <v>1185</v>
      </c>
      <c r="C547" s="8" t="s">
        <v>1179</v>
      </c>
      <c r="D547" s="12" t="s">
        <v>655</v>
      </c>
      <c r="E547" s="10" t="str">
        <f aca="true">IFERROR(IF(INDEX(INDIRECT("'"&amp;$AI547&amp;"'!$E$2:$E$327"),MATCH($A547,INDIRECT("'"&amp;$AI547&amp;"'!$A$2:$A$327"),0))="","",INDEX(INDIRECT("'"&amp;$AI547&amp;"'!$E$2:$E$327"),MATCH($A547,INDIRECT("'"&amp;$AI547&amp;"'!$A$2:$A$327"),0))),"")</f>
        <v/>
      </c>
      <c r="F547" s="9" t="str">
        <f aca="false">IF($E547="","",IFERROR(INDEX(担当者マスタ!$B$2:$B$101,MATCH($E547,担当者マスタ!$A$2:$A$101,0)),"※マスタ未登録"))</f>
        <v/>
      </c>
      <c r="G547" s="11" t="n">
        <v>0</v>
      </c>
      <c r="H547" s="11" t="n">
        <v>25.64</v>
      </c>
      <c r="I547" s="11" t="n">
        <v>22.34</v>
      </c>
      <c r="J547" s="11" t="n">
        <v>0</v>
      </c>
      <c r="K547" s="11" t="n">
        <v>0</v>
      </c>
      <c r="L547" s="11" t="n">
        <v>0</v>
      </c>
      <c r="M547" s="11" t="n">
        <f aca="false">SUM(G547:L547)</f>
        <v>47.98</v>
      </c>
      <c r="N547" s="11" t="n">
        <v>0</v>
      </c>
      <c r="O547" s="11" t="n">
        <v>9.567</v>
      </c>
      <c r="P547" s="11" t="n">
        <v>7.677</v>
      </c>
      <c r="Q547" s="11" t="n">
        <v>0</v>
      </c>
      <c r="R547" s="11" t="n">
        <v>0</v>
      </c>
      <c r="S547" s="11" t="n">
        <v>0</v>
      </c>
      <c r="T547" s="11" t="n">
        <f aca="false">SUM(N547:S547)</f>
        <v>17.244</v>
      </c>
      <c r="U547" s="11" t="n">
        <v>0</v>
      </c>
      <c r="V547" s="11" t="n">
        <v>0</v>
      </c>
      <c r="W547" s="11" t="n">
        <v>0</v>
      </c>
      <c r="X547" s="11" t="n">
        <v>0</v>
      </c>
      <c r="Y547" s="11" t="n">
        <v>0</v>
      </c>
      <c r="Z547" s="11" t="n">
        <v>0</v>
      </c>
      <c r="AA547" s="11" t="n">
        <f aca="false">SUM(U547:Z547)</f>
        <v>0</v>
      </c>
      <c r="AB547" s="11" t="n">
        <v>0</v>
      </c>
      <c r="AC547" s="11" t="n">
        <v>0</v>
      </c>
      <c r="AD547" s="11" t="n">
        <v>0</v>
      </c>
      <c r="AE547" s="11" t="n">
        <v>0</v>
      </c>
      <c r="AF547" s="11" t="n">
        <v>0</v>
      </c>
      <c r="AG547" s="11" t="n">
        <v>0</v>
      </c>
      <c r="AH547" s="11" t="n">
        <f aca="false">SUM(AB547:AG547)</f>
        <v>0</v>
      </c>
      <c r="AI547" s="12" t="s">
        <v>955</v>
      </c>
    </row>
    <row r="548" customFormat="false" ht="15" hidden="false" customHeight="false" outlineLevel="0" collapsed="false">
      <c r="A548" s="8" t="s">
        <v>1186</v>
      </c>
      <c r="B548" s="12" t="s">
        <v>1187</v>
      </c>
      <c r="C548" s="8" t="s">
        <v>1179</v>
      </c>
      <c r="D548" s="12" t="s">
        <v>655</v>
      </c>
      <c r="E548" s="10" t="str">
        <f aca="true">IFERROR(IF(INDEX(INDIRECT("'"&amp;$AI548&amp;"'!$E$2:$E$327"),MATCH($A548,INDIRECT("'"&amp;$AI548&amp;"'!$A$2:$A$327"),0))="","",INDEX(INDIRECT("'"&amp;$AI548&amp;"'!$E$2:$E$327"),MATCH($A548,INDIRECT("'"&amp;$AI548&amp;"'!$A$2:$A$327"),0))),"")</f>
        <v/>
      </c>
      <c r="F548" s="9" t="str">
        <f aca="false">IF($E548="","",IFERROR(INDEX(担当者マスタ!$B$2:$B$101,MATCH($E548,担当者マスタ!$A$2:$A$101,0)),"※マスタ未登録"))</f>
        <v/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12.48</v>
      </c>
      <c r="L548" s="11" t="n">
        <v>0</v>
      </c>
      <c r="M548" s="11" t="n">
        <f aca="false">SUM(G548:L548)</f>
        <v>12.48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2.72</v>
      </c>
      <c r="S548" s="11" t="n">
        <v>0</v>
      </c>
      <c r="T548" s="11" t="n">
        <f aca="false">SUM(N548:S548)</f>
        <v>2.72</v>
      </c>
      <c r="U548" s="11" t="n">
        <v>0</v>
      </c>
      <c r="V548" s="11" t="n">
        <v>0</v>
      </c>
      <c r="W548" s="11" t="n">
        <v>30.595</v>
      </c>
      <c r="X548" s="11" t="n">
        <v>0</v>
      </c>
      <c r="Y548" s="11" t="n">
        <v>0</v>
      </c>
      <c r="Z548" s="11" t="n">
        <v>0</v>
      </c>
      <c r="AA548" s="11" t="n">
        <f aca="false">SUM(U548:Z548)</f>
        <v>30.595</v>
      </c>
      <c r="AB548" s="11" t="n">
        <v>0</v>
      </c>
      <c r="AC548" s="11" t="n">
        <v>0</v>
      </c>
      <c r="AD548" s="11" t="n">
        <v>7.235</v>
      </c>
      <c r="AE548" s="11" t="n">
        <v>0</v>
      </c>
      <c r="AF548" s="11" t="n">
        <v>0</v>
      </c>
      <c r="AG548" s="11" t="n">
        <v>0</v>
      </c>
      <c r="AH548" s="11" t="n">
        <f aca="false">SUM(AB548:AG548)</f>
        <v>7.235</v>
      </c>
      <c r="AI548" s="12" t="s">
        <v>955</v>
      </c>
    </row>
    <row r="549" customFormat="false" ht="15" hidden="false" customHeight="false" outlineLevel="0" collapsed="false">
      <c r="A549" s="8" t="s">
        <v>1188</v>
      </c>
      <c r="B549" s="12" t="s">
        <v>1189</v>
      </c>
      <c r="C549" s="8" t="s">
        <v>1190</v>
      </c>
      <c r="D549" s="12" t="s">
        <v>1191</v>
      </c>
      <c r="E549" s="10" t="str">
        <f aca="true">IFERROR(IF(INDEX(INDIRECT("'"&amp;$AI549&amp;"'!$E$2:$E$71"),MATCH($A549,INDIRECT("'"&amp;$AI549&amp;"'!$A$2:$A$71"),0))="","",INDEX(INDIRECT("'"&amp;$AI549&amp;"'!$E$2:$E$71"),MATCH($A549,INDIRECT("'"&amp;$AI549&amp;"'!$A$2:$A$71"),0))),"")</f>
        <v/>
      </c>
      <c r="F549" s="9" t="str">
        <f aca="false">IF($E549="","",IFERROR(INDEX(担当者マスタ!$B$2:$B$101,MATCH($E549,担当者マスタ!$A$2:$A$101,0)),"※マスタ未登録"))</f>
        <v/>
      </c>
      <c r="G549" s="11" t="n">
        <v>1530.202</v>
      </c>
      <c r="H549" s="11" t="n">
        <v>1331.485</v>
      </c>
      <c r="I549" s="11" t="n">
        <v>1865.623</v>
      </c>
      <c r="J549" s="11" t="n">
        <v>394.99</v>
      </c>
      <c r="K549" s="11" t="n">
        <v>1245.073</v>
      </c>
      <c r="L549" s="11" t="n">
        <v>1051.65</v>
      </c>
      <c r="M549" s="11" t="n">
        <f aca="false">SUM(G549:L549)</f>
        <v>7419.023</v>
      </c>
      <c r="N549" s="11" t="n">
        <v>176.074</v>
      </c>
      <c r="O549" s="11" t="n">
        <v>155.217</v>
      </c>
      <c r="P549" s="11" t="n">
        <v>216.279</v>
      </c>
      <c r="Q549" s="11" t="n">
        <v>32.626</v>
      </c>
      <c r="R549" s="11" t="n">
        <v>125.93</v>
      </c>
      <c r="S549" s="11" t="n">
        <v>125.627</v>
      </c>
      <c r="T549" s="11" t="n">
        <f aca="false">SUM(N549:S549)</f>
        <v>831.753</v>
      </c>
      <c r="U549" s="11" t="n">
        <v>889.595</v>
      </c>
      <c r="V549" s="11" t="n">
        <v>897.82</v>
      </c>
      <c r="W549" s="11" t="n">
        <v>1410.589</v>
      </c>
      <c r="X549" s="11" t="n">
        <v>691.51</v>
      </c>
      <c r="Y549" s="11" t="n">
        <v>1010.252</v>
      </c>
      <c r="Z549" s="11" t="n">
        <v>981.539</v>
      </c>
      <c r="AA549" s="11" t="n">
        <f aca="false">SUM(U549:Z549)</f>
        <v>5881.305</v>
      </c>
      <c r="AB549" s="11" t="n">
        <v>58.735</v>
      </c>
      <c r="AC549" s="11" t="n">
        <v>65.553</v>
      </c>
      <c r="AD549" s="11" t="n">
        <v>134.763</v>
      </c>
      <c r="AE549" s="11" t="n">
        <v>77.664</v>
      </c>
      <c r="AF549" s="11" t="n">
        <v>84.594</v>
      </c>
      <c r="AG549" s="11" t="n">
        <v>76.589</v>
      </c>
      <c r="AH549" s="11" t="n">
        <f aca="false">SUM(AB549:AG549)</f>
        <v>497.898</v>
      </c>
      <c r="AI549" s="12" t="s">
        <v>1192</v>
      </c>
    </row>
    <row r="550" customFormat="false" ht="15" hidden="false" customHeight="false" outlineLevel="0" collapsed="false">
      <c r="A550" s="8" t="s">
        <v>1193</v>
      </c>
      <c r="B550" s="12" t="s">
        <v>1194</v>
      </c>
      <c r="C550" s="8" t="s">
        <v>1190</v>
      </c>
      <c r="D550" s="12" t="s">
        <v>1191</v>
      </c>
      <c r="E550" s="10" t="str">
        <f aca="true">IFERROR(IF(INDEX(INDIRECT("'"&amp;$AI550&amp;"'!$E$2:$E$71"),MATCH($A550,INDIRECT("'"&amp;$AI550&amp;"'!$A$2:$A$71"),0))="","",INDEX(INDIRECT("'"&amp;$AI550&amp;"'!$E$2:$E$71"),MATCH($A550,INDIRECT("'"&amp;$AI550&amp;"'!$A$2:$A$71"),0))),"")</f>
        <v/>
      </c>
      <c r="F550" s="9" t="str">
        <f aca="false">IF($E550="","",IFERROR(INDEX(担当者マスタ!$B$2:$B$101,MATCH($E550,担当者マスタ!$A$2:$A$101,0)),"※マスタ未登録"))</f>
        <v/>
      </c>
      <c r="G550" s="11" t="n">
        <v>27357.149</v>
      </c>
      <c r="H550" s="11" t="n">
        <v>29842.14</v>
      </c>
      <c r="I550" s="11" t="n">
        <v>35394.144</v>
      </c>
      <c r="J550" s="11" t="n">
        <v>28095.015</v>
      </c>
      <c r="K550" s="11" t="n">
        <v>29989.885</v>
      </c>
      <c r="L550" s="11" t="n">
        <v>33407.761</v>
      </c>
      <c r="M550" s="11" t="n">
        <f aca="false">SUM(G550:L550)</f>
        <v>184086.094</v>
      </c>
      <c r="N550" s="11" t="n">
        <v>3739.394</v>
      </c>
      <c r="O550" s="11" t="n">
        <v>4189.368</v>
      </c>
      <c r="P550" s="11" t="n">
        <v>5089.205</v>
      </c>
      <c r="Q550" s="11" t="n">
        <v>3916.215</v>
      </c>
      <c r="R550" s="11" t="n">
        <v>4233.37</v>
      </c>
      <c r="S550" s="11" t="n">
        <v>5641.747</v>
      </c>
      <c r="T550" s="11" t="n">
        <f aca="false">SUM(N550:S550)</f>
        <v>26809.299</v>
      </c>
      <c r="U550" s="11" t="n">
        <v>28564.537</v>
      </c>
      <c r="V550" s="11" t="n">
        <v>30135.229</v>
      </c>
      <c r="W550" s="11" t="n">
        <v>37931.299</v>
      </c>
      <c r="X550" s="11" t="n">
        <v>26226.4</v>
      </c>
      <c r="Y550" s="11" t="n">
        <v>27549.329</v>
      </c>
      <c r="Z550" s="11" t="n">
        <v>29111.012</v>
      </c>
      <c r="AA550" s="11" t="n">
        <f aca="false">SUM(U550:Z550)</f>
        <v>179517.806</v>
      </c>
      <c r="AB550" s="11" t="n">
        <v>3889.708</v>
      </c>
      <c r="AC550" s="11" t="n">
        <v>4241.439</v>
      </c>
      <c r="AD550" s="11" t="n">
        <v>5138.571</v>
      </c>
      <c r="AE550" s="11" t="n">
        <v>3462.655</v>
      </c>
      <c r="AF550" s="11" t="n">
        <v>3900.067</v>
      </c>
      <c r="AG550" s="11" t="n">
        <v>5139.252</v>
      </c>
      <c r="AH550" s="11" t="n">
        <f aca="false">SUM(AB550:AG550)</f>
        <v>25771.692</v>
      </c>
      <c r="AI550" s="12" t="s">
        <v>1192</v>
      </c>
    </row>
    <row r="551" customFormat="false" ht="15" hidden="false" customHeight="false" outlineLevel="0" collapsed="false">
      <c r="A551" s="8" t="s">
        <v>1195</v>
      </c>
      <c r="B551" s="12" t="s">
        <v>1194</v>
      </c>
      <c r="C551" s="8" t="s">
        <v>1190</v>
      </c>
      <c r="D551" s="12" t="s">
        <v>1191</v>
      </c>
      <c r="E551" s="10" t="str">
        <f aca="true">IFERROR(IF(INDEX(INDIRECT("'"&amp;$AI551&amp;"'!$E$2:$E$71"),MATCH($A551,INDIRECT("'"&amp;$AI551&amp;"'!$A$2:$A$71"),0))="","",INDEX(INDIRECT("'"&amp;$AI551&amp;"'!$E$2:$E$71"),MATCH($A551,INDIRECT("'"&amp;$AI551&amp;"'!$A$2:$A$71"),0))),"")</f>
        <v/>
      </c>
      <c r="F551" s="9" t="str">
        <f aca="false">IF($E551="","",IFERROR(INDEX(担当者マスタ!$B$2:$B$101,MATCH($E551,担当者マスタ!$A$2:$A$101,0)),"※マスタ未登録"))</f>
        <v/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f aca="false">SUM(G551:L551)</f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1" t="n">
        <f aca="false">SUM(N551:S551)</f>
        <v>0</v>
      </c>
      <c r="U551" s="11" t="n">
        <v>0</v>
      </c>
      <c r="V551" s="11" t="n">
        <v>3</v>
      </c>
      <c r="W551" s="11" t="n">
        <v>0</v>
      </c>
      <c r="X551" s="11" t="n">
        <v>0</v>
      </c>
      <c r="Y551" s="11" t="n">
        <v>0</v>
      </c>
      <c r="Z551" s="11" t="n">
        <v>0</v>
      </c>
      <c r="AA551" s="11" t="n">
        <f aca="false">SUM(U551:Z551)</f>
        <v>3</v>
      </c>
      <c r="AB551" s="11" t="n">
        <v>0</v>
      </c>
      <c r="AC551" s="11" t="n">
        <v>1.552</v>
      </c>
      <c r="AD551" s="11" t="n">
        <v>0</v>
      </c>
      <c r="AE551" s="11" t="n">
        <v>0</v>
      </c>
      <c r="AF551" s="11" t="n">
        <v>0</v>
      </c>
      <c r="AG551" s="11" t="n">
        <v>0</v>
      </c>
      <c r="AH551" s="11" t="n">
        <f aca="false">SUM(AB551:AG551)</f>
        <v>1.552</v>
      </c>
      <c r="AI551" s="12" t="s">
        <v>1192</v>
      </c>
    </row>
    <row r="552" customFormat="false" ht="15" hidden="false" customHeight="false" outlineLevel="0" collapsed="false">
      <c r="A552" s="8" t="s">
        <v>1196</v>
      </c>
      <c r="B552" s="12" t="s">
        <v>1197</v>
      </c>
      <c r="C552" s="8" t="s">
        <v>1198</v>
      </c>
      <c r="D552" s="12" t="s">
        <v>1199</v>
      </c>
      <c r="E552" s="10" t="str">
        <f aca="true">IFERROR(IF(INDEX(INDIRECT("'"&amp;$AI552&amp;"'!$E$2:$E$71"),MATCH($A552,INDIRECT("'"&amp;$AI552&amp;"'!$A$2:$A$71"),0))="","",INDEX(INDIRECT("'"&amp;$AI552&amp;"'!$E$2:$E$71"),MATCH($A552,INDIRECT("'"&amp;$AI552&amp;"'!$A$2:$A$71"),0))),"")</f>
        <v/>
      </c>
      <c r="F552" s="9" t="str">
        <f aca="false">IF($E552="","",IFERROR(INDEX(担当者マスタ!$B$2:$B$101,MATCH($E552,担当者マスタ!$A$2:$A$101,0)),"※マスタ未登録"))</f>
        <v/>
      </c>
      <c r="G552" s="11" t="n">
        <v>926.207</v>
      </c>
      <c r="H552" s="11" t="n">
        <v>759.301</v>
      </c>
      <c r="I552" s="11" t="n">
        <v>1096.286</v>
      </c>
      <c r="J552" s="11" t="n">
        <v>652.599</v>
      </c>
      <c r="K552" s="11" t="n">
        <v>449.989</v>
      </c>
      <c r="L552" s="11" t="n">
        <v>781.715</v>
      </c>
      <c r="M552" s="11" t="n">
        <f aca="false">SUM(G552:L552)</f>
        <v>4666.097</v>
      </c>
      <c r="N552" s="11" t="n">
        <v>228.524</v>
      </c>
      <c r="O552" s="11" t="n">
        <v>194.533</v>
      </c>
      <c r="P552" s="11" t="n">
        <v>245.062</v>
      </c>
      <c r="Q552" s="11" t="n">
        <v>158.8</v>
      </c>
      <c r="R552" s="11" t="n">
        <v>102.124</v>
      </c>
      <c r="S552" s="11" t="n">
        <v>196.424</v>
      </c>
      <c r="T552" s="11" t="n">
        <f aca="false">SUM(N552:S552)</f>
        <v>1125.467</v>
      </c>
      <c r="U552" s="11" t="n">
        <v>506.412</v>
      </c>
      <c r="V552" s="11" t="n">
        <v>663.9</v>
      </c>
      <c r="W552" s="11" t="n">
        <v>1205.97</v>
      </c>
      <c r="X552" s="11" t="n">
        <v>369.917</v>
      </c>
      <c r="Y552" s="11" t="n">
        <v>513.973</v>
      </c>
      <c r="Z552" s="11" t="n">
        <v>847.946</v>
      </c>
      <c r="AA552" s="11" t="n">
        <f aca="false">SUM(U552:Z552)</f>
        <v>4108.118</v>
      </c>
      <c r="AB552" s="11" t="n">
        <v>108.136</v>
      </c>
      <c r="AC552" s="11" t="n">
        <v>151.327</v>
      </c>
      <c r="AD552" s="11" t="n">
        <v>268.297</v>
      </c>
      <c r="AE552" s="11" t="n">
        <v>70.888</v>
      </c>
      <c r="AF552" s="11" t="n">
        <v>114.738</v>
      </c>
      <c r="AG552" s="11" t="n">
        <v>197.093</v>
      </c>
      <c r="AH552" s="11" t="n">
        <f aca="false">SUM(AB552:AG552)</f>
        <v>910.479</v>
      </c>
      <c r="AI552" s="12" t="s">
        <v>1192</v>
      </c>
    </row>
    <row r="553" customFormat="false" ht="15" hidden="false" customHeight="false" outlineLevel="0" collapsed="false">
      <c r="A553" s="8" t="s">
        <v>1200</v>
      </c>
      <c r="B553" s="12" t="s">
        <v>1201</v>
      </c>
      <c r="C553" s="8" t="s">
        <v>1198</v>
      </c>
      <c r="D553" s="12" t="s">
        <v>1199</v>
      </c>
      <c r="E553" s="10" t="str">
        <f aca="true">IFERROR(IF(INDEX(INDIRECT("'"&amp;$AI553&amp;"'!$E$2:$E$71"),MATCH($A553,INDIRECT("'"&amp;$AI553&amp;"'!$A$2:$A$71"),0))="","",INDEX(INDIRECT("'"&amp;$AI553&amp;"'!$E$2:$E$71"),MATCH($A553,INDIRECT("'"&amp;$AI553&amp;"'!$A$2:$A$71"),0))),"")</f>
        <v/>
      </c>
      <c r="F553" s="9" t="str">
        <f aca="false">IF($E553="","",IFERROR(INDEX(担当者マスタ!$B$2:$B$101,MATCH($E553,担当者マスタ!$A$2:$A$101,0)),"※マスタ未登録"))</f>
        <v/>
      </c>
      <c r="G553" s="11" t="n">
        <v>37.375</v>
      </c>
      <c r="H553" s="11" t="n">
        <v>0</v>
      </c>
      <c r="I553" s="11" t="n">
        <v>109.8</v>
      </c>
      <c r="J553" s="11" t="n">
        <v>72</v>
      </c>
      <c r="K553" s="11" t="n">
        <v>97</v>
      </c>
      <c r="L553" s="11" t="n">
        <v>191.696</v>
      </c>
      <c r="M553" s="11" t="n">
        <f aca="false">SUM(G553:L553)</f>
        <v>507.871</v>
      </c>
      <c r="N553" s="11" t="n">
        <v>7.15</v>
      </c>
      <c r="O553" s="11" t="n">
        <v>0</v>
      </c>
      <c r="P553" s="11" t="n">
        <v>19.44</v>
      </c>
      <c r="Q553" s="11" t="n">
        <v>14.4</v>
      </c>
      <c r="R553" s="11" t="n">
        <v>23.4</v>
      </c>
      <c r="S553" s="11" t="n">
        <v>38.61</v>
      </c>
      <c r="T553" s="11" t="n">
        <f aca="false">SUM(N553:S553)</f>
        <v>103</v>
      </c>
      <c r="U553" s="11" t="n">
        <v>204.59</v>
      </c>
      <c r="V553" s="11" t="n">
        <v>37.03</v>
      </c>
      <c r="W553" s="11" t="n">
        <v>0</v>
      </c>
      <c r="X553" s="11" t="n">
        <v>169.3</v>
      </c>
      <c r="Y553" s="11" t="n">
        <v>159.41</v>
      </c>
      <c r="Z553" s="11" t="n">
        <v>123.41</v>
      </c>
      <c r="AA553" s="11" t="n">
        <f aca="false">SUM(U553:Z553)</f>
        <v>693.74</v>
      </c>
      <c r="AB553" s="11" t="n">
        <v>37.688</v>
      </c>
      <c r="AC553" s="11" t="n">
        <v>7.084</v>
      </c>
      <c r="AD553" s="11" t="n">
        <v>0</v>
      </c>
      <c r="AE553" s="11" t="n">
        <v>30.94</v>
      </c>
      <c r="AF553" s="11" t="n">
        <v>31.01</v>
      </c>
      <c r="AG553" s="11" t="n">
        <v>23.81</v>
      </c>
      <c r="AH553" s="11" t="n">
        <f aca="false">SUM(AB553:AG553)</f>
        <v>130.532</v>
      </c>
      <c r="AI553" s="12" t="s">
        <v>1192</v>
      </c>
    </row>
    <row r="554" customFormat="false" ht="15" hidden="false" customHeight="false" outlineLevel="0" collapsed="false">
      <c r="A554" s="8" t="s">
        <v>1202</v>
      </c>
      <c r="B554" s="9" t="s">
        <v>1203</v>
      </c>
      <c r="C554" s="8" t="s">
        <v>1198</v>
      </c>
      <c r="D554" s="12" t="s">
        <v>1199</v>
      </c>
      <c r="E554" s="10" t="str">
        <f aca="true">IFERROR(IF(INDEX(INDIRECT("'"&amp;$AI554&amp;"'!$E$2:$E$71"),MATCH($A554,INDIRECT("'"&amp;$AI554&amp;"'!$A$2:$A$71"),0))="","",INDEX(INDIRECT("'"&amp;$AI554&amp;"'!$E$2:$E$71"),MATCH($A554,INDIRECT("'"&amp;$AI554&amp;"'!$A$2:$A$71"),0))),"")</f>
        <v/>
      </c>
      <c r="F554" s="9" t="str">
        <f aca="false">IF($E554="","",IFERROR(INDEX(担当者マスタ!$B$2:$B$101,MATCH($E554,担当者マスタ!$A$2:$A$101,0)),"※マスタ未登録"))</f>
        <v/>
      </c>
      <c r="G554" s="11" t="n">
        <v>49.09</v>
      </c>
      <c r="H554" s="11" t="n">
        <v>0</v>
      </c>
      <c r="I554" s="11" t="n">
        <v>81.1</v>
      </c>
      <c r="J554" s="11" t="n">
        <v>0</v>
      </c>
      <c r="K554" s="11" t="n">
        <v>44.1</v>
      </c>
      <c r="L554" s="11" t="n">
        <v>37</v>
      </c>
      <c r="M554" s="11" t="n">
        <f aca="false">SUM(G554:L554)</f>
        <v>211.29</v>
      </c>
      <c r="N554" s="11" t="n">
        <v>10.18</v>
      </c>
      <c r="O554" s="11" t="n">
        <v>0</v>
      </c>
      <c r="P554" s="11" t="n">
        <v>7.92</v>
      </c>
      <c r="Q554" s="11" t="n">
        <v>0</v>
      </c>
      <c r="R554" s="11" t="n">
        <v>2.52</v>
      </c>
      <c r="S554" s="11" t="n">
        <v>5.4</v>
      </c>
      <c r="T554" s="11" t="n">
        <f aca="false">SUM(N554:S554)</f>
        <v>26.02</v>
      </c>
      <c r="U554" s="11" t="n">
        <v>80.85</v>
      </c>
      <c r="V554" s="11" t="n">
        <v>0</v>
      </c>
      <c r="W554" s="11" t="n">
        <v>0</v>
      </c>
      <c r="X554" s="11" t="n">
        <v>0</v>
      </c>
      <c r="Y554" s="11" t="n">
        <v>0</v>
      </c>
      <c r="Z554" s="11" t="n">
        <v>0</v>
      </c>
      <c r="AA554" s="11" t="n">
        <f aca="false">SUM(U554:Z554)</f>
        <v>80.85</v>
      </c>
      <c r="AB554" s="11" t="n">
        <v>11.55</v>
      </c>
      <c r="AC554" s="11" t="n">
        <v>0</v>
      </c>
      <c r="AD554" s="11" t="n">
        <v>0</v>
      </c>
      <c r="AE554" s="11" t="n">
        <v>0</v>
      </c>
      <c r="AF554" s="11" t="n">
        <v>0</v>
      </c>
      <c r="AG554" s="11" t="n">
        <v>0</v>
      </c>
      <c r="AH554" s="11" t="n">
        <f aca="false">SUM(AB554:AG554)</f>
        <v>11.55</v>
      </c>
      <c r="AI554" s="12" t="s">
        <v>1192</v>
      </c>
    </row>
    <row r="555" customFormat="false" ht="15" hidden="false" customHeight="false" outlineLevel="0" collapsed="false">
      <c r="A555" s="8" t="s">
        <v>1204</v>
      </c>
      <c r="B555" s="12" t="s">
        <v>1205</v>
      </c>
      <c r="C555" s="8" t="s">
        <v>1198</v>
      </c>
      <c r="D555" s="12" t="s">
        <v>1199</v>
      </c>
      <c r="E555" s="10" t="str">
        <f aca="true">IFERROR(IF(INDEX(INDIRECT("'"&amp;$AI555&amp;"'!$E$2:$E$71"),MATCH($A555,INDIRECT("'"&amp;$AI555&amp;"'!$A$2:$A$71"),0))="","",INDEX(INDIRECT("'"&amp;$AI555&amp;"'!$E$2:$E$71"),MATCH($A555,INDIRECT("'"&amp;$AI555&amp;"'!$A$2:$A$71"),0))),"")</f>
        <v/>
      </c>
      <c r="F555" s="9" t="str">
        <f aca="false">IF($E555="","",IFERROR(INDEX(担当者マスタ!$B$2:$B$101,MATCH($E555,担当者マスタ!$A$2:$A$101,0)),"※マスタ未登録"))</f>
        <v/>
      </c>
      <c r="G555" s="11" t="n">
        <v>7.725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f aca="false">SUM(G555:L555)</f>
        <v>7.725</v>
      </c>
      <c r="N555" s="11" t="n">
        <v>0.99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1" t="n">
        <f aca="false">SUM(N555:S555)</f>
        <v>0.99</v>
      </c>
      <c r="U555" s="11" t="n">
        <v>0</v>
      </c>
      <c r="V555" s="11" t="n">
        <v>0</v>
      </c>
      <c r="W555" s="11" t="n">
        <v>0</v>
      </c>
      <c r="X555" s="11" t="n">
        <v>0</v>
      </c>
      <c r="Y555" s="11" t="n">
        <v>0</v>
      </c>
      <c r="Z555" s="11" t="n">
        <v>0</v>
      </c>
      <c r="AA555" s="11" t="n">
        <f aca="false">SUM(U555:Z555)</f>
        <v>0</v>
      </c>
      <c r="AB555" s="11" t="n">
        <v>0</v>
      </c>
      <c r="AC555" s="11" t="n">
        <v>0</v>
      </c>
      <c r="AD555" s="11" t="n">
        <v>0</v>
      </c>
      <c r="AE555" s="11" t="n">
        <v>0</v>
      </c>
      <c r="AF555" s="11" t="n">
        <v>0</v>
      </c>
      <c r="AG555" s="11" t="n">
        <v>0</v>
      </c>
      <c r="AH555" s="11" t="n">
        <f aca="false">SUM(AB555:AG555)</f>
        <v>0</v>
      </c>
      <c r="AI555" s="12" t="s">
        <v>1192</v>
      </c>
    </row>
    <row r="556" customFormat="false" ht="15" hidden="false" customHeight="false" outlineLevel="0" collapsed="false">
      <c r="A556" s="8" t="s">
        <v>1206</v>
      </c>
      <c r="B556" s="12" t="s">
        <v>1207</v>
      </c>
      <c r="C556" s="8" t="s">
        <v>1198</v>
      </c>
      <c r="D556" s="12" t="s">
        <v>1199</v>
      </c>
      <c r="E556" s="10" t="str">
        <f aca="true">IFERROR(IF(INDEX(INDIRECT("'"&amp;$AI556&amp;"'!$E$2:$E$71"),MATCH($A556,INDIRECT("'"&amp;$AI556&amp;"'!$A$2:$A$71"),0))="","",INDEX(INDIRECT("'"&amp;$AI556&amp;"'!$E$2:$E$71"),MATCH($A556,INDIRECT("'"&amp;$AI556&amp;"'!$A$2:$A$71"),0))),"")</f>
        <v/>
      </c>
      <c r="F556" s="9" t="str">
        <f aca="false">IF($E556="","",IFERROR(INDEX(担当者マスタ!$B$2:$B$101,MATCH($E556,担当者マスタ!$A$2:$A$101,0)),"※マスタ未登録"))</f>
        <v/>
      </c>
      <c r="G556" s="11" t="n">
        <v>0</v>
      </c>
      <c r="H556" s="11" t="n">
        <v>59.968</v>
      </c>
      <c r="I556" s="11" t="n">
        <v>26.51</v>
      </c>
      <c r="J556" s="11" t="n">
        <v>2.88</v>
      </c>
      <c r="K556" s="11" t="n">
        <v>17.119</v>
      </c>
      <c r="L556" s="11" t="n">
        <v>35.247</v>
      </c>
      <c r="M556" s="11" t="n">
        <f aca="false">SUM(G556:L556)</f>
        <v>141.724</v>
      </c>
      <c r="N556" s="11" t="n">
        <v>0</v>
      </c>
      <c r="O556" s="11" t="n">
        <v>15.543</v>
      </c>
      <c r="P556" s="11" t="n">
        <v>5.516</v>
      </c>
      <c r="Q556" s="11" t="n">
        <v>1</v>
      </c>
      <c r="R556" s="11" t="n">
        <v>3.168</v>
      </c>
      <c r="S556" s="11" t="n">
        <v>7.718</v>
      </c>
      <c r="T556" s="11" t="n">
        <f aca="false">SUM(N556:S556)</f>
        <v>32.945</v>
      </c>
      <c r="U556" s="11" t="n">
        <v>29.76</v>
      </c>
      <c r="V556" s="11" t="n">
        <v>18.713</v>
      </c>
      <c r="W556" s="11" t="n">
        <v>22.492</v>
      </c>
      <c r="X556" s="11" t="n">
        <v>22.213</v>
      </c>
      <c r="Y556" s="11" t="n">
        <v>10.748</v>
      </c>
      <c r="Z556" s="11" t="n">
        <v>29.211</v>
      </c>
      <c r="AA556" s="11" t="n">
        <f aca="false">SUM(U556:Z556)</f>
        <v>133.137</v>
      </c>
      <c r="AB556" s="11" t="n">
        <v>8.48</v>
      </c>
      <c r="AC556" s="11" t="n">
        <v>3.481</v>
      </c>
      <c r="AD556" s="11" t="n">
        <v>4.588</v>
      </c>
      <c r="AE556" s="11" t="n">
        <v>4.391</v>
      </c>
      <c r="AF556" s="11" t="n">
        <v>2.261</v>
      </c>
      <c r="AG556" s="11" t="n">
        <v>5.913</v>
      </c>
      <c r="AH556" s="11" t="n">
        <f aca="false">SUM(AB556:AG556)</f>
        <v>29.114</v>
      </c>
      <c r="AI556" s="12" t="s">
        <v>1192</v>
      </c>
    </row>
    <row r="557" customFormat="false" ht="15" hidden="false" customHeight="false" outlineLevel="0" collapsed="false">
      <c r="A557" s="8" t="s">
        <v>1208</v>
      </c>
      <c r="B557" s="12" t="s">
        <v>1209</v>
      </c>
      <c r="C557" s="8" t="s">
        <v>1198</v>
      </c>
      <c r="D557" s="12" t="s">
        <v>1199</v>
      </c>
      <c r="E557" s="10" t="str">
        <f aca="true">IFERROR(IF(INDEX(INDIRECT("'"&amp;$AI557&amp;"'!$E$2:$E$71"),MATCH($A557,INDIRECT("'"&amp;$AI557&amp;"'!$A$2:$A$71"),0))="","",INDEX(INDIRECT("'"&amp;$AI557&amp;"'!$E$2:$E$71"),MATCH($A557,INDIRECT("'"&amp;$AI557&amp;"'!$A$2:$A$71"),0))),"")</f>
        <v/>
      </c>
      <c r="F557" s="9" t="str">
        <f aca="false">IF($E557="","",IFERROR(INDEX(担当者マスタ!$B$2:$B$101,MATCH($E557,担当者マスタ!$A$2:$A$101,0)),"※マスタ未登録"))</f>
        <v/>
      </c>
      <c r="G557" s="11" t="n">
        <v>631.209</v>
      </c>
      <c r="H557" s="11" t="n">
        <v>580.319</v>
      </c>
      <c r="I557" s="11" t="n">
        <v>1276.172</v>
      </c>
      <c r="J557" s="11" t="n">
        <v>523.884</v>
      </c>
      <c r="K557" s="11" t="n">
        <v>569.164</v>
      </c>
      <c r="L557" s="11" t="n">
        <v>1150.085</v>
      </c>
      <c r="M557" s="11" t="n">
        <f aca="false">SUM(G557:L557)</f>
        <v>4730.833</v>
      </c>
      <c r="N557" s="11" t="n">
        <v>151.826</v>
      </c>
      <c r="O557" s="11" t="n">
        <v>140.356</v>
      </c>
      <c r="P557" s="11" t="n">
        <v>193.924</v>
      </c>
      <c r="Q557" s="11" t="n">
        <v>113.591</v>
      </c>
      <c r="R557" s="11" t="n">
        <v>118.768</v>
      </c>
      <c r="S557" s="11" t="n">
        <v>257.024</v>
      </c>
      <c r="T557" s="11" t="n">
        <f aca="false">SUM(N557:S557)</f>
        <v>975.489</v>
      </c>
      <c r="U557" s="11" t="n">
        <v>834.816</v>
      </c>
      <c r="V557" s="11" t="n">
        <v>556.825</v>
      </c>
      <c r="W557" s="11" t="n">
        <v>726.23</v>
      </c>
      <c r="X557" s="11" t="n">
        <v>538.467</v>
      </c>
      <c r="Y557" s="11" t="n">
        <v>631.999</v>
      </c>
      <c r="Z557" s="11" t="n">
        <v>742.886</v>
      </c>
      <c r="AA557" s="11" t="n">
        <f aca="false">SUM(U557:Z557)</f>
        <v>4031.223</v>
      </c>
      <c r="AB557" s="11" t="n">
        <v>170.074</v>
      </c>
      <c r="AC557" s="11" t="n">
        <v>114.111</v>
      </c>
      <c r="AD557" s="11" t="n">
        <v>172.466</v>
      </c>
      <c r="AE557" s="11" t="n">
        <v>104.994</v>
      </c>
      <c r="AF557" s="11" t="n">
        <v>126.37</v>
      </c>
      <c r="AG557" s="11" t="n">
        <v>149.427</v>
      </c>
      <c r="AH557" s="11" t="n">
        <f aca="false">SUM(AB557:AG557)</f>
        <v>837.442</v>
      </c>
      <c r="AI557" s="12" t="s">
        <v>1192</v>
      </c>
    </row>
    <row r="558" customFormat="false" ht="15" hidden="false" customHeight="false" outlineLevel="0" collapsed="false">
      <c r="A558" s="8" t="s">
        <v>1210</v>
      </c>
      <c r="B558" s="12" t="s">
        <v>1211</v>
      </c>
      <c r="C558" s="8" t="s">
        <v>1198</v>
      </c>
      <c r="D558" s="12" t="s">
        <v>1199</v>
      </c>
      <c r="E558" s="10" t="str">
        <f aca="true">IFERROR(IF(INDEX(INDIRECT("'"&amp;$AI558&amp;"'!$E$2:$E$71"),MATCH($A558,INDIRECT("'"&amp;$AI558&amp;"'!$A$2:$A$71"),0))="","",INDEX(INDIRECT("'"&amp;$AI558&amp;"'!$E$2:$E$71"),MATCH($A558,INDIRECT("'"&amp;$AI558&amp;"'!$A$2:$A$71"),0))),"")</f>
        <v/>
      </c>
      <c r="F558" s="9" t="str">
        <f aca="false">IF($E558="","",IFERROR(INDEX(担当者マスタ!$B$2:$B$101,MATCH($E558,担当者マスタ!$A$2:$A$101,0)),"※マスタ未登録"))</f>
        <v/>
      </c>
      <c r="G558" s="11" t="n">
        <v>349.65</v>
      </c>
      <c r="H558" s="11" t="n">
        <v>286.5</v>
      </c>
      <c r="I558" s="11" t="n">
        <v>1646.462</v>
      </c>
      <c r="J558" s="11" t="n">
        <v>1908.85</v>
      </c>
      <c r="K558" s="11" t="n">
        <v>146.45</v>
      </c>
      <c r="L558" s="11" t="n">
        <v>276.1</v>
      </c>
      <c r="M558" s="11" t="n">
        <f aca="false">SUM(G558:L558)</f>
        <v>4614.012</v>
      </c>
      <c r="N558" s="11" t="n">
        <v>44.7</v>
      </c>
      <c r="O558" s="11" t="n">
        <v>37.5</v>
      </c>
      <c r="P558" s="11" t="n">
        <v>306.793</v>
      </c>
      <c r="Q558" s="11" t="n">
        <v>295.3</v>
      </c>
      <c r="R558" s="11" t="n">
        <v>14.1</v>
      </c>
      <c r="S558" s="11" t="n">
        <v>37.2</v>
      </c>
      <c r="T558" s="11" t="n">
        <f aca="false">SUM(N558:S558)</f>
        <v>735.593</v>
      </c>
      <c r="U558" s="11" t="n">
        <v>332.029</v>
      </c>
      <c r="V558" s="11" t="n">
        <v>350.142</v>
      </c>
      <c r="W558" s="11" t="n">
        <v>1916.059</v>
      </c>
      <c r="X558" s="11" t="n">
        <v>1027.65</v>
      </c>
      <c r="Y558" s="11" t="n">
        <v>203.2</v>
      </c>
      <c r="Z558" s="11" t="n">
        <v>357.75</v>
      </c>
      <c r="AA558" s="11" t="n">
        <f aca="false">SUM(U558:Z558)</f>
        <v>4186.83</v>
      </c>
      <c r="AB558" s="11" t="n">
        <v>42.949</v>
      </c>
      <c r="AC558" s="11" t="n">
        <v>49.093</v>
      </c>
      <c r="AD558" s="11" t="n">
        <v>364.779</v>
      </c>
      <c r="AE558" s="11" t="n">
        <v>154.7</v>
      </c>
      <c r="AF558" s="11" t="n">
        <v>30.6</v>
      </c>
      <c r="AG558" s="11" t="n">
        <v>52.25</v>
      </c>
      <c r="AH558" s="11" t="n">
        <f aca="false">SUM(AB558:AG558)</f>
        <v>694.371</v>
      </c>
      <c r="AI558" s="12" t="s">
        <v>1192</v>
      </c>
    </row>
    <row r="559" customFormat="false" ht="15" hidden="false" customHeight="false" outlineLevel="0" collapsed="false">
      <c r="A559" s="8" t="s">
        <v>1212</v>
      </c>
      <c r="B559" s="12" t="s">
        <v>1213</v>
      </c>
      <c r="C559" s="8" t="s">
        <v>1198</v>
      </c>
      <c r="D559" s="12" t="s">
        <v>1199</v>
      </c>
      <c r="E559" s="10" t="str">
        <f aca="true">IFERROR(IF(INDEX(INDIRECT("'"&amp;$AI559&amp;"'!$E$2:$E$71"),MATCH($A559,INDIRECT("'"&amp;$AI559&amp;"'!$A$2:$A$71"),0))="","",INDEX(INDIRECT("'"&amp;$AI559&amp;"'!$E$2:$E$71"),MATCH($A559,INDIRECT("'"&amp;$AI559&amp;"'!$A$2:$A$71"),0))),"")</f>
        <v/>
      </c>
      <c r="F559" s="9" t="str">
        <f aca="false">IF($E559="","",IFERROR(INDEX(担当者マスタ!$B$2:$B$101,MATCH($E559,担当者マスタ!$A$2:$A$101,0)),"※マスタ未登録"))</f>
        <v/>
      </c>
      <c r="G559" s="11" t="n">
        <v>181.147</v>
      </c>
      <c r="H559" s="11" t="n">
        <v>141.154</v>
      </c>
      <c r="I559" s="11" t="n">
        <v>166.796</v>
      </c>
      <c r="J559" s="11" t="n">
        <v>89.283</v>
      </c>
      <c r="K559" s="11" t="n">
        <v>115.844</v>
      </c>
      <c r="L559" s="11" t="n">
        <v>107.151</v>
      </c>
      <c r="M559" s="11" t="n">
        <f aca="false">SUM(G559:L559)</f>
        <v>801.375</v>
      </c>
      <c r="N559" s="11" t="n">
        <v>32.262</v>
      </c>
      <c r="O559" s="11" t="n">
        <v>24.655</v>
      </c>
      <c r="P559" s="11" t="n">
        <v>28.868</v>
      </c>
      <c r="Q559" s="11" t="n">
        <v>16.072</v>
      </c>
      <c r="R559" s="11" t="n">
        <v>19.799</v>
      </c>
      <c r="S559" s="11" t="n">
        <v>18.885</v>
      </c>
      <c r="T559" s="11" t="n">
        <f aca="false">SUM(N559:S559)</f>
        <v>140.541</v>
      </c>
      <c r="U559" s="11" t="n">
        <v>152.698</v>
      </c>
      <c r="V559" s="11" t="n">
        <v>93.917</v>
      </c>
      <c r="W559" s="11" t="n">
        <v>151.24</v>
      </c>
      <c r="X559" s="11" t="n">
        <v>112.514</v>
      </c>
      <c r="Y559" s="11" t="n">
        <v>126.757</v>
      </c>
      <c r="Z559" s="11" t="n">
        <v>127.74</v>
      </c>
      <c r="AA559" s="11" t="n">
        <f aca="false">SUM(U559:Z559)</f>
        <v>764.866</v>
      </c>
      <c r="AB559" s="11" t="n">
        <v>26.155</v>
      </c>
      <c r="AC559" s="11" t="n">
        <v>16.939</v>
      </c>
      <c r="AD559" s="11" t="n">
        <v>25.993</v>
      </c>
      <c r="AE559" s="11" t="n">
        <v>18.658</v>
      </c>
      <c r="AF559" s="11" t="n">
        <v>21.924</v>
      </c>
      <c r="AG559" s="11" t="n">
        <v>21.246</v>
      </c>
      <c r="AH559" s="11" t="n">
        <f aca="false">SUM(AB559:AG559)</f>
        <v>130.915</v>
      </c>
      <c r="AI559" s="12" t="s">
        <v>1192</v>
      </c>
    </row>
    <row r="560" customFormat="false" ht="15" hidden="false" customHeight="false" outlineLevel="0" collapsed="false">
      <c r="A560" s="8" t="s">
        <v>1214</v>
      </c>
      <c r="B560" s="12" t="s">
        <v>1215</v>
      </c>
      <c r="C560" s="8" t="s">
        <v>1198</v>
      </c>
      <c r="D560" s="12" t="s">
        <v>1199</v>
      </c>
      <c r="E560" s="10" t="str">
        <f aca="true">IFERROR(IF(INDEX(INDIRECT("'"&amp;$AI560&amp;"'!$E$2:$E$71"),MATCH($A560,INDIRECT("'"&amp;$AI560&amp;"'!$A$2:$A$71"),0))="","",INDEX(INDIRECT("'"&amp;$AI560&amp;"'!$E$2:$E$71"),MATCH($A560,INDIRECT("'"&amp;$AI560&amp;"'!$A$2:$A$71"),0))),"")</f>
        <v/>
      </c>
      <c r="F560" s="9" t="str">
        <f aca="false">IF($E560="","",IFERROR(INDEX(担当者マスタ!$B$2:$B$101,MATCH($E560,担当者マスタ!$A$2:$A$101,0)),"※マスタ未登録"))</f>
        <v/>
      </c>
      <c r="G560" s="11" t="n">
        <v>0</v>
      </c>
      <c r="H560" s="11" t="n">
        <v>0</v>
      </c>
      <c r="I560" s="11" t="n">
        <v>0</v>
      </c>
      <c r="J560" s="11" t="n">
        <v>11.49</v>
      </c>
      <c r="K560" s="11" t="n">
        <v>19.15</v>
      </c>
      <c r="L560" s="11" t="n">
        <v>0</v>
      </c>
      <c r="M560" s="11" t="n">
        <f aca="false">SUM(G560:L560)</f>
        <v>30.64</v>
      </c>
      <c r="N560" s="11" t="n">
        <v>0</v>
      </c>
      <c r="O560" s="11" t="n">
        <v>0</v>
      </c>
      <c r="P560" s="11" t="n">
        <v>0</v>
      </c>
      <c r="Q560" s="11" t="n">
        <v>3.66</v>
      </c>
      <c r="R560" s="11" t="n">
        <v>6.1</v>
      </c>
      <c r="S560" s="11" t="n">
        <v>0</v>
      </c>
      <c r="T560" s="11" t="n">
        <f aca="false">SUM(N560:S560)</f>
        <v>9.76</v>
      </c>
      <c r="U560" s="11" t="n">
        <v>0</v>
      </c>
      <c r="V560" s="11" t="n">
        <v>61.28</v>
      </c>
      <c r="W560" s="11" t="n">
        <v>30.64</v>
      </c>
      <c r="X560" s="11" t="n">
        <v>0</v>
      </c>
      <c r="Y560" s="11" t="n">
        <v>0</v>
      </c>
      <c r="Z560" s="11" t="n">
        <v>53.62</v>
      </c>
      <c r="AA560" s="11" t="n">
        <f aca="false">SUM(U560:Z560)</f>
        <v>145.54</v>
      </c>
      <c r="AB560" s="11" t="n">
        <v>0</v>
      </c>
      <c r="AC560" s="11" t="n">
        <v>15.344</v>
      </c>
      <c r="AD560" s="11" t="n">
        <v>7.672</v>
      </c>
      <c r="AE560" s="11" t="n">
        <v>0</v>
      </c>
      <c r="AF560" s="11" t="n">
        <v>0</v>
      </c>
      <c r="AG560" s="11" t="n">
        <v>13.426</v>
      </c>
      <c r="AH560" s="11" t="n">
        <f aca="false">SUM(AB560:AG560)</f>
        <v>36.442</v>
      </c>
      <c r="AI560" s="12" t="s">
        <v>1192</v>
      </c>
    </row>
    <row r="561" customFormat="false" ht="15" hidden="false" customHeight="false" outlineLevel="0" collapsed="false">
      <c r="A561" s="8" t="s">
        <v>1216</v>
      </c>
      <c r="B561" s="12" t="s">
        <v>1217</v>
      </c>
      <c r="C561" s="8" t="s">
        <v>1198</v>
      </c>
      <c r="D561" s="12" t="s">
        <v>1199</v>
      </c>
      <c r="E561" s="10" t="str">
        <f aca="true">IFERROR(IF(INDEX(INDIRECT("'"&amp;$AI561&amp;"'!$E$2:$E$71"),MATCH($A561,INDIRECT("'"&amp;$AI561&amp;"'!$A$2:$A$71"),0))="","",INDEX(INDIRECT("'"&amp;$AI561&amp;"'!$E$2:$E$71"),MATCH($A561,INDIRECT("'"&amp;$AI561&amp;"'!$A$2:$A$71"),0))),"")</f>
        <v/>
      </c>
      <c r="F561" s="9" t="str">
        <f aca="false">IF($E561="","",IFERROR(INDEX(担当者マスタ!$B$2:$B$101,MATCH($E561,担当者マスタ!$A$2:$A$101,0)),"※マスタ未登録"))</f>
        <v/>
      </c>
      <c r="G561" s="11" t="n">
        <v>215.808</v>
      </c>
      <c r="H561" s="11" t="n">
        <v>227.776</v>
      </c>
      <c r="I561" s="11" t="n">
        <v>341.622</v>
      </c>
      <c r="J561" s="11" t="n">
        <v>33.752</v>
      </c>
      <c r="K561" s="11" t="n">
        <v>236.224</v>
      </c>
      <c r="L561" s="11" t="n">
        <v>236.224</v>
      </c>
      <c r="M561" s="11" t="n">
        <f aca="false">SUM(G561:L561)</f>
        <v>1291.406</v>
      </c>
      <c r="N561" s="11" t="n">
        <v>79.6</v>
      </c>
      <c r="O561" s="11" t="n">
        <v>83.816</v>
      </c>
      <c r="P561" s="11" t="n">
        <v>126.154</v>
      </c>
      <c r="Q561" s="11" t="n">
        <v>-32.85</v>
      </c>
      <c r="R561" s="11" t="n">
        <v>86.792</v>
      </c>
      <c r="S561" s="11" t="n">
        <v>86.792</v>
      </c>
      <c r="T561" s="11" t="n">
        <f aca="false">SUM(N561:S561)</f>
        <v>430.304</v>
      </c>
      <c r="U561" s="11" t="n">
        <v>229.184</v>
      </c>
      <c r="V561" s="11" t="n">
        <v>228.48</v>
      </c>
      <c r="W561" s="11" t="n">
        <v>340.992</v>
      </c>
      <c r="X561" s="11" t="n">
        <v>112.636</v>
      </c>
      <c r="Y561" s="11" t="n">
        <v>227.072</v>
      </c>
      <c r="Z561" s="11" t="n">
        <v>229.184</v>
      </c>
      <c r="AA561" s="11" t="n">
        <f aca="false">SUM(U561:Z561)</f>
        <v>1367.548</v>
      </c>
      <c r="AB561" s="11" t="n">
        <v>84.312</v>
      </c>
      <c r="AC561" s="11" t="n">
        <v>84.064</v>
      </c>
      <c r="AD561" s="11" t="n">
        <v>125.13</v>
      </c>
      <c r="AE561" s="11" t="n">
        <v>41.445</v>
      </c>
      <c r="AF561" s="11" t="n">
        <v>83.568</v>
      </c>
      <c r="AG561" s="11" t="n">
        <v>84.312</v>
      </c>
      <c r="AH561" s="11" t="n">
        <f aca="false">SUM(AB561:AG561)</f>
        <v>502.831</v>
      </c>
      <c r="AI561" s="12" t="s">
        <v>1192</v>
      </c>
    </row>
    <row r="562" customFormat="false" ht="15" hidden="false" customHeight="false" outlineLevel="0" collapsed="false">
      <c r="A562" s="8" t="s">
        <v>1218</v>
      </c>
      <c r="B562" s="12" t="s">
        <v>1219</v>
      </c>
      <c r="C562" s="8" t="s">
        <v>1198</v>
      </c>
      <c r="D562" s="12" t="s">
        <v>1199</v>
      </c>
      <c r="E562" s="10" t="str">
        <f aca="true">IFERROR(IF(INDEX(INDIRECT("'"&amp;$AI562&amp;"'!$E$2:$E$71"),MATCH($A562,INDIRECT("'"&amp;$AI562&amp;"'!$A$2:$A$71"),0))="","",INDEX(INDIRECT("'"&amp;$AI562&amp;"'!$E$2:$E$71"),MATCH($A562,INDIRECT("'"&amp;$AI562&amp;"'!$A$2:$A$71"),0))),"")</f>
        <v/>
      </c>
      <c r="F562" s="9" t="str">
        <f aca="false">IF($E562="","",IFERROR(INDEX(担当者マスタ!$B$2:$B$101,MATCH($E562,担当者マスタ!$A$2:$A$101,0)),"※マスタ未登録"))</f>
        <v/>
      </c>
      <c r="G562" s="11" t="n">
        <v>0</v>
      </c>
      <c r="H562" s="11" t="n">
        <v>0</v>
      </c>
      <c r="I562" s="11" t="n">
        <v>56.705</v>
      </c>
      <c r="J562" s="11" t="n">
        <v>12</v>
      </c>
      <c r="K562" s="11" t="n">
        <v>0</v>
      </c>
      <c r="L562" s="11" t="n">
        <v>0</v>
      </c>
      <c r="M562" s="11" t="n">
        <f aca="false">SUM(G562:L562)</f>
        <v>68.705</v>
      </c>
      <c r="N562" s="11" t="n">
        <v>0</v>
      </c>
      <c r="O562" s="11" t="n">
        <v>0</v>
      </c>
      <c r="P562" s="11" t="n">
        <v>18.445</v>
      </c>
      <c r="Q562" s="11" t="n">
        <v>2.4</v>
      </c>
      <c r="R562" s="11" t="n">
        <v>0</v>
      </c>
      <c r="S562" s="11" t="n">
        <v>0</v>
      </c>
      <c r="T562" s="11" t="n">
        <f aca="false">SUM(N562:S562)</f>
        <v>20.845</v>
      </c>
      <c r="U562" s="11" t="n">
        <v>34.27</v>
      </c>
      <c r="V562" s="11" t="n">
        <v>56.597</v>
      </c>
      <c r="W562" s="11" t="n">
        <v>18.187</v>
      </c>
      <c r="X562" s="11" t="n">
        <v>44.626</v>
      </c>
      <c r="Y562" s="11" t="n">
        <v>66.159</v>
      </c>
      <c r="Z562" s="11" t="n">
        <v>9.683</v>
      </c>
      <c r="AA562" s="11" t="n">
        <f aca="false">SUM(U562:Z562)</f>
        <v>229.522</v>
      </c>
      <c r="AB562" s="11" t="n">
        <v>6.187</v>
      </c>
      <c r="AC562" s="11" t="n">
        <v>16.516</v>
      </c>
      <c r="AD562" s="11" t="n">
        <v>3.283</v>
      </c>
      <c r="AE562" s="11" t="n">
        <v>8.056</v>
      </c>
      <c r="AF562" s="11" t="n">
        <v>18.266</v>
      </c>
      <c r="AG562" s="11" t="n">
        <v>1.748</v>
      </c>
      <c r="AH562" s="11" t="n">
        <f aca="false">SUM(AB562:AG562)</f>
        <v>54.056</v>
      </c>
      <c r="AI562" s="12" t="s">
        <v>1192</v>
      </c>
    </row>
    <row r="563" customFormat="false" ht="15" hidden="false" customHeight="false" outlineLevel="0" collapsed="false">
      <c r="A563" s="8" t="s">
        <v>1220</v>
      </c>
      <c r="B563" s="12" t="s">
        <v>1221</v>
      </c>
      <c r="C563" s="8" t="s">
        <v>1198</v>
      </c>
      <c r="D563" s="12" t="s">
        <v>1199</v>
      </c>
      <c r="E563" s="10" t="str">
        <f aca="true">IFERROR(IF(INDEX(INDIRECT("'"&amp;$AI563&amp;"'!$E$2:$E$71"),MATCH($A563,INDIRECT("'"&amp;$AI563&amp;"'!$A$2:$A$71"),0))="","",INDEX(INDIRECT("'"&amp;$AI563&amp;"'!$E$2:$E$71"),MATCH($A563,INDIRECT("'"&amp;$AI563&amp;"'!$A$2:$A$71"),0))),"")</f>
        <v/>
      </c>
      <c r="F563" s="9" t="str">
        <f aca="false">IF($E563="","",IFERROR(INDEX(担当者マスタ!$B$2:$B$101,MATCH($E563,担当者マスタ!$A$2:$A$101,0)),"※マスタ未登録"))</f>
        <v/>
      </c>
      <c r="G563" s="11" t="n">
        <v>0</v>
      </c>
      <c r="H563" s="11" t="n">
        <v>18.9</v>
      </c>
      <c r="I563" s="11" t="n">
        <v>20.856</v>
      </c>
      <c r="J563" s="11" t="n">
        <v>7.5</v>
      </c>
      <c r="K563" s="11" t="n">
        <v>9.456</v>
      </c>
      <c r="L563" s="11" t="n">
        <v>11.4</v>
      </c>
      <c r="M563" s="11" t="n">
        <f aca="false">SUM(G563:L563)</f>
        <v>68.112</v>
      </c>
      <c r="N563" s="11" t="n">
        <v>0</v>
      </c>
      <c r="O563" s="11" t="n">
        <v>3</v>
      </c>
      <c r="P563" s="11" t="n">
        <v>2.916</v>
      </c>
      <c r="Q563" s="11" t="n">
        <v>1.5</v>
      </c>
      <c r="R563" s="11" t="n">
        <v>1.656</v>
      </c>
      <c r="S563" s="11" t="n">
        <v>1.5</v>
      </c>
      <c r="T563" s="11" t="n">
        <f aca="false">SUM(N563:S563)</f>
        <v>10.572</v>
      </c>
      <c r="U563" s="11" t="n">
        <v>0</v>
      </c>
      <c r="V563" s="11" t="n">
        <v>25.584</v>
      </c>
      <c r="W563" s="11" t="n">
        <v>7.5</v>
      </c>
      <c r="X563" s="11" t="n">
        <v>11.4</v>
      </c>
      <c r="Y563" s="11" t="n">
        <v>9.456</v>
      </c>
      <c r="Z563" s="11" t="n">
        <v>174.4</v>
      </c>
      <c r="AA563" s="11" t="n">
        <f aca="false">SUM(U563:Z563)</f>
        <v>228.34</v>
      </c>
      <c r="AB563" s="11" t="n">
        <v>0</v>
      </c>
      <c r="AC563" s="11" t="n">
        <v>3.984</v>
      </c>
      <c r="AD563" s="11" t="n">
        <v>1.5</v>
      </c>
      <c r="AE563" s="11" t="n">
        <v>1.5</v>
      </c>
      <c r="AF563" s="11" t="n">
        <v>1.656</v>
      </c>
      <c r="AG563" s="11" t="n">
        <v>17.5</v>
      </c>
      <c r="AH563" s="11" t="n">
        <f aca="false">SUM(AB563:AG563)</f>
        <v>26.14</v>
      </c>
      <c r="AI563" s="12" t="s">
        <v>1192</v>
      </c>
    </row>
    <row r="564" customFormat="false" ht="15" hidden="false" customHeight="false" outlineLevel="0" collapsed="false">
      <c r="A564" s="8" t="s">
        <v>1222</v>
      </c>
      <c r="B564" s="12" t="s">
        <v>1223</v>
      </c>
      <c r="C564" s="8" t="s">
        <v>1198</v>
      </c>
      <c r="D564" s="12" t="s">
        <v>1199</v>
      </c>
      <c r="E564" s="10" t="str">
        <f aca="true">IFERROR(IF(INDEX(INDIRECT("'"&amp;$AI564&amp;"'!$E$2:$E$71"),MATCH($A564,INDIRECT("'"&amp;$AI564&amp;"'!$A$2:$A$71"),0))="","",INDEX(INDIRECT("'"&amp;$AI564&amp;"'!$E$2:$E$71"),MATCH($A564,INDIRECT("'"&amp;$AI564&amp;"'!$A$2:$A$71"),0))),"")</f>
        <v/>
      </c>
      <c r="F564" s="9" t="str">
        <f aca="false">IF($E564="","",IFERROR(INDEX(担当者マスタ!$B$2:$B$101,MATCH($E564,担当者マスタ!$A$2:$A$101,0)),"※マスタ未登録"))</f>
        <v/>
      </c>
      <c r="G564" s="11" t="n">
        <v>18.606</v>
      </c>
      <c r="H564" s="11" t="n">
        <v>0</v>
      </c>
      <c r="I564" s="11" t="n">
        <v>26.672</v>
      </c>
      <c r="J564" s="11" t="n">
        <v>0</v>
      </c>
      <c r="K564" s="11" t="n">
        <v>0</v>
      </c>
      <c r="L564" s="11" t="n">
        <v>14.013</v>
      </c>
      <c r="M564" s="11" t="n">
        <f aca="false">SUM(G564:L564)</f>
        <v>59.291</v>
      </c>
      <c r="N564" s="11" t="n">
        <v>5.668</v>
      </c>
      <c r="O564" s="11" t="n">
        <v>0</v>
      </c>
      <c r="P564" s="11" t="n">
        <v>6.412</v>
      </c>
      <c r="Q564" s="11" t="n">
        <v>0</v>
      </c>
      <c r="R564" s="11" t="n">
        <v>0</v>
      </c>
      <c r="S564" s="11" t="n">
        <v>3.539</v>
      </c>
      <c r="T564" s="11" t="n">
        <f aca="false">SUM(N564:S564)</f>
        <v>15.619</v>
      </c>
      <c r="U564" s="11" t="n">
        <v>0</v>
      </c>
      <c r="V564" s="11" t="n">
        <v>0</v>
      </c>
      <c r="W564" s="11" t="n">
        <v>0</v>
      </c>
      <c r="X564" s="11" t="n">
        <v>8.433</v>
      </c>
      <c r="Y564" s="11" t="n">
        <v>2.77</v>
      </c>
      <c r="Z564" s="11" t="n">
        <v>6.432</v>
      </c>
      <c r="AA564" s="11" t="n">
        <f aca="false">SUM(U564:Z564)</f>
        <v>17.635</v>
      </c>
      <c r="AB564" s="11" t="n">
        <v>0</v>
      </c>
      <c r="AC564" s="11" t="n">
        <v>0</v>
      </c>
      <c r="AD564" s="11" t="n">
        <v>0</v>
      </c>
      <c r="AE564" s="11" t="n">
        <v>2.315</v>
      </c>
      <c r="AF564" s="11" t="n">
        <v>0.89</v>
      </c>
      <c r="AG564" s="11" t="n">
        <v>1.626</v>
      </c>
      <c r="AH564" s="11" t="n">
        <f aca="false">SUM(AB564:AG564)</f>
        <v>4.831</v>
      </c>
      <c r="AI564" s="12" t="s">
        <v>1192</v>
      </c>
    </row>
    <row r="565" customFormat="false" ht="15" hidden="false" customHeight="false" outlineLevel="0" collapsed="false">
      <c r="A565" s="8" t="s">
        <v>1224</v>
      </c>
      <c r="B565" s="12" t="s">
        <v>1225</v>
      </c>
      <c r="C565" s="8" t="s">
        <v>1198</v>
      </c>
      <c r="D565" s="12" t="s">
        <v>1199</v>
      </c>
      <c r="E565" s="10" t="str">
        <f aca="true">IFERROR(IF(INDEX(INDIRECT("'"&amp;$AI565&amp;"'!$E$2:$E$71"),MATCH($A565,INDIRECT("'"&amp;$AI565&amp;"'!$A$2:$A$71"),0))="","",INDEX(INDIRECT("'"&amp;$AI565&amp;"'!$E$2:$E$71"),MATCH($A565,INDIRECT("'"&amp;$AI565&amp;"'!$A$2:$A$71"),0))),"")</f>
        <v/>
      </c>
      <c r="F565" s="9" t="str">
        <f aca="false">IF($E565="","",IFERROR(INDEX(担当者マスタ!$B$2:$B$101,MATCH($E565,担当者マスタ!$A$2:$A$101,0)),"※マスタ未登録"))</f>
        <v/>
      </c>
      <c r="G565" s="11" t="n">
        <v>82.857</v>
      </c>
      <c r="H565" s="11" t="n">
        <v>118.907</v>
      </c>
      <c r="I565" s="11" t="n">
        <v>41.537</v>
      </c>
      <c r="J565" s="11" t="n">
        <v>43.878</v>
      </c>
      <c r="K565" s="11" t="n">
        <v>89.48</v>
      </c>
      <c r="L565" s="11" t="n">
        <v>46.771</v>
      </c>
      <c r="M565" s="11" t="n">
        <f aca="false">SUM(G565:L565)</f>
        <v>423.43</v>
      </c>
      <c r="N565" s="11" t="n">
        <v>26.128</v>
      </c>
      <c r="O565" s="11" t="n">
        <v>37.358</v>
      </c>
      <c r="P565" s="11" t="n">
        <v>18.029</v>
      </c>
      <c r="Q565" s="11" t="n">
        <v>15.043</v>
      </c>
      <c r="R565" s="11" t="n">
        <v>36.398</v>
      </c>
      <c r="S565" s="11" t="n">
        <v>15.19</v>
      </c>
      <c r="T565" s="11" t="n">
        <f aca="false">SUM(N565:S565)</f>
        <v>148.146</v>
      </c>
      <c r="U565" s="11" t="n">
        <v>36.101</v>
      </c>
      <c r="V565" s="11" t="n">
        <v>38.957</v>
      </c>
      <c r="W565" s="11" t="n">
        <v>60.125</v>
      </c>
      <c r="X565" s="11" t="n">
        <v>129.213</v>
      </c>
      <c r="Y565" s="11" t="n">
        <v>0</v>
      </c>
      <c r="Z565" s="11" t="n">
        <v>20.36</v>
      </c>
      <c r="AA565" s="11" t="n">
        <f aca="false">SUM(U565:Z565)</f>
        <v>284.756</v>
      </c>
      <c r="AB565" s="11" t="n">
        <v>7.534</v>
      </c>
      <c r="AC565" s="11" t="n">
        <v>9.842</v>
      </c>
      <c r="AD565" s="11" t="n">
        <v>18.099</v>
      </c>
      <c r="AE565" s="11" t="n">
        <v>39.919</v>
      </c>
      <c r="AF565" s="11" t="n">
        <v>0</v>
      </c>
      <c r="AG565" s="11" t="n">
        <v>9.222</v>
      </c>
      <c r="AH565" s="11" t="n">
        <f aca="false">SUM(AB565:AG565)</f>
        <v>84.616</v>
      </c>
      <c r="AI565" s="12" t="s">
        <v>1192</v>
      </c>
    </row>
    <row r="566" customFormat="false" ht="15" hidden="false" customHeight="false" outlineLevel="0" collapsed="false">
      <c r="A566" s="8" t="s">
        <v>1226</v>
      </c>
      <c r="B566" s="12" t="s">
        <v>1227</v>
      </c>
      <c r="C566" s="8" t="s">
        <v>1198</v>
      </c>
      <c r="D566" s="12" t="s">
        <v>1199</v>
      </c>
      <c r="E566" s="10" t="str">
        <f aca="true">IFERROR(IF(INDEX(INDIRECT("'"&amp;$AI566&amp;"'!$E$2:$E$71"),MATCH($A566,INDIRECT("'"&amp;$AI566&amp;"'!$A$2:$A$71"),0))="","",INDEX(INDIRECT("'"&amp;$AI566&amp;"'!$E$2:$E$71"),MATCH($A566,INDIRECT("'"&amp;$AI566&amp;"'!$A$2:$A$71"),0))),"")</f>
        <v/>
      </c>
      <c r="F566" s="9" t="str">
        <f aca="false">IF($E566="","",IFERROR(INDEX(担当者マスタ!$B$2:$B$101,MATCH($E566,担当者マスタ!$A$2:$A$101,0)),"※マスタ未登録"))</f>
        <v/>
      </c>
      <c r="G566" s="11" t="n">
        <v>0</v>
      </c>
      <c r="H566" s="11" t="n">
        <v>9.627</v>
      </c>
      <c r="I566" s="11" t="n">
        <v>0</v>
      </c>
      <c r="J566" s="11" t="n">
        <v>0</v>
      </c>
      <c r="K566" s="11" t="n">
        <v>0</v>
      </c>
      <c r="L566" s="11" t="n">
        <v>22.125</v>
      </c>
      <c r="M566" s="11" t="n">
        <f aca="false">SUM(G566:L566)</f>
        <v>31.752</v>
      </c>
      <c r="N566" s="11" t="n">
        <v>0</v>
      </c>
      <c r="O566" s="11" t="n">
        <v>2.672</v>
      </c>
      <c r="P566" s="11" t="n">
        <v>0</v>
      </c>
      <c r="Q566" s="11" t="n">
        <v>0</v>
      </c>
      <c r="R566" s="11" t="n">
        <v>0</v>
      </c>
      <c r="S566" s="11" t="n">
        <v>5.288</v>
      </c>
      <c r="T566" s="11" t="n">
        <f aca="false">SUM(N566:S566)</f>
        <v>7.96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f aca="false">SUM(U566:Z566)</f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f aca="false">SUM(AB566:AG566)</f>
        <v>0</v>
      </c>
      <c r="AI566" s="12" t="s">
        <v>1192</v>
      </c>
    </row>
    <row r="567" customFormat="false" ht="15" hidden="false" customHeight="false" outlineLevel="0" collapsed="false">
      <c r="A567" s="8" t="s">
        <v>1228</v>
      </c>
      <c r="B567" s="12" t="s">
        <v>1229</v>
      </c>
      <c r="C567" s="8" t="s">
        <v>1198</v>
      </c>
      <c r="D567" s="12" t="s">
        <v>1199</v>
      </c>
      <c r="E567" s="10" t="str">
        <f aca="true">IFERROR(IF(INDEX(INDIRECT("'"&amp;$AI567&amp;"'!$E$2:$E$71"),MATCH($A567,INDIRECT("'"&amp;$AI567&amp;"'!$A$2:$A$71"),0))="","",INDEX(INDIRECT("'"&amp;$AI567&amp;"'!$E$2:$E$71"),MATCH($A567,INDIRECT("'"&amp;$AI567&amp;"'!$A$2:$A$71"),0))),"")</f>
        <v/>
      </c>
      <c r="F567" s="9" t="str">
        <f aca="false">IF($E567="","",IFERROR(INDEX(担当者マスタ!$B$2:$B$101,MATCH($E567,担当者マスタ!$A$2:$A$101,0)),"※マスタ未登録"))</f>
        <v/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f aca="false">SUM(G567:L567)</f>
        <v>0</v>
      </c>
      <c r="N567" s="11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  <c r="S567" s="11" t="n">
        <v>0</v>
      </c>
      <c r="T567" s="11" t="n">
        <f aca="false">SUM(N567:S567)</f>
        <v>0</v>
      </c>
      <c r="U567" s="11" t="n">
        <v>250.712</v>
      </c>
      <c r="V567" s="11" t="n">
        <v>0</v>
      </c>
      <c r="W567" s="11" t="n">
        <v>0</v>
      </c>
      <c r="X567" s="11" t="n">
        <v>0</v>
      </c>
      <c r="Y567" s="11" t="n">
        <v>0</v>
      </c>
      <c r="Z567" s="11" t="n">
        <v>0</v>
      </c>
      <c r="AA567" s="11" t="n">
        <f aca="false">SUM(U567:Z567)</f>
        <v>250.712</v>
      </c>
      <c r="AB567" s="11" t="n">
        <v>0.137</v>
      </c>
      <c r="AC567" s="11" t="n">
        <v>0</v>
      </c>
      <c r="AD567" s="11" t="n">
        <v>0</v>
      </c>
      <c r="AE567" s="11" t="n">
        <v>0</v>
      </c>
      <c r="AF567" s="11" t="n">
        <v>0</v>
      </c>
      <c r="AG567" s="11" t="n">
        <v>0</v>
      </c>
      <c r="AH567" s="11" t="n">
        <f aca="false">SUM(AB567:AG567)</f>
        <v>0.137</v>
      </c>
      <c r="AI567" s="12" t="s">
        <v>1192</v>
      </c>
    </row>
    <row r="568" customFormat="false" ht="15" hidden="false" customHeight="false" outlineLevel="0" collapsed="false">
      <c r="A568" s="8" t="s">
        <v>1230</v>
      </c>
      <c r="B568" s="12" t="s">
        <v>1231</v>
      </c>
      <c r="C568" s="8" t="s">
        <v>1198</v>
      </c>
      <c r="D568" s="12" t="s">
        <v>1199</v>
      </c>
      <c r="E568" s="10" t="str">
        <f aca="true">IFERROR(IF(INDEX(INDIRECT("'"&amp;$AI568&amp;"'!$E$2:$E$71"),MATCH($A568,INDIRECT("'"&amp;$AI568&amp;"'!$A$2:$A$71"),0))="","",INDEX(INDIRECT("'"&amp;$AI568&amp;"'!$E$2:$E$71"),MATCH($A568,INDIRECT("'"&amp;$AI568&amp;"'!$A$2:$A$71"),0))),"")</f>
        <v/>
      </c>
      <c r="F568" s="9" t="str">
        <f aca="false">IF($E568="","",IFERROR(INDEX(担当者マスタ!$B$2:$B$101,MATCH($E568,担当者マスタ!$A$2:$A$101,0)),"※マスタ未登録"))</f>
        <v/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f aca="false">SUM(G568:L568)</f>
        <v>0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1" t="n">
        <f aca="false">SUM(N568:S568)</f>
        <v>0</v>
      </c>
      <c r="U568" s="11" t="n">
        <v>0</v>
      </c>
      <c r="V568" s="11" t="n">
        <v>0</v>
      </c>
      <c r="W568" s="11" t="n">
        <v>0</v>
      </c>
      <c r="X568" s="11" t="n">
        <v>0</v>
      </c>
      <c r="Y568" s="11" t="n">
        <v>0</v>
      </c>
      <c r="Z568" s="11" t="n">
        <v>533.2</v>
      </c>
      <c r="AA568" s="11" t="n">
        <f aca="false">SUM(U568:Z568)</f>
        <v>533.2</v>
      </c>
      <c r="AB568" s="11" t="n">
        <v>0</v>
      </c>
      <c r="AC568" s="11" t="n">
        <v>0</v>
      </c>
      <c r="AD568" s="11" t="n">
        <v>0</v>
      </c>
      <c r="AE568" s="11" t="n">
        <v>0</v>
      </c>
      <c r="AF568" s="11" t="n">
        <v>0</v>
      </c>
      <c r="AG568" s="11" t="n">
        <v>25.2</v>
      </c>
      <c r="AH568" s="11" t="n">
        <f aca="false">SUM(AB568:AG568)</f>
        <v>25.2</v>
      </c>
      <c r="AI568" s="12" t="s">
        <v>1192</v>
      </c>
    </row>
    <row r="569" customFormat="false" ht="15" hidden="false" customHeight="false" outlineLevel="0" collapsed="false">
      <c r="A569" s="8" t="s">
        <v>1232</v>
      </c>
      <c r="B569" s="12" t="s">
        <v>695</v>
      </c>
      <c r="C569" s="8" t="s">
        <v>1198</v>
      </c>
      <c r="D569" s="12" t="s">
        <v>1199</v>
      </c>
      <c r="E569" s="10" t="str">
        <f aca="true">IFERROR(IF(INDEX(INDIRECT("'"&amp;$AI569&amp;"'!$E$2:$E$71"),MATCH($A569,INDIRECT("'"&amp;$AI569&amp;"'!$A$2:$A$71"),0))="","",INDEX(INDIRECT("'"&amp;$AI569&amp;"'!$E$2:$E$71"),MATCH($A569,INDIRECT("'"&amp;$AI569&amp;"'!$A$2:$A$71"),0))),"")</f>
        <v/>
      </c>
      <c r="F569" s="9" t="str">
        <f aca="false">IF($E569="","",IFERROR(INDEX(担当者マスタ!$B$2:$B$101,MATCH($E569,担当者マスタ!$A$2:$A$101,0)),"※マスタ未登録"))</f>
        <v/>
      </c>
      <c r="G569" s="11" t="n">
        <v>0</v>
      </c>
      <c r="H569" s="11" t="n">
        <v>0</v>
      </c>
      <c r="I569" s="11" t="n">
        <v>0</v>
      </c>
      <c r="J569" s="11" t="n">
        <v>22.3</v>
      </c>
      <c r="K569" s="11" t="n">
        <v>0</v>
      </c>
      <c r="L569" s="11" t="n">
        <v>0</v>
      </c>
      <c r="M569" s="11" t="n">
        <f aca="false">SUM(G569:L569)</f>
        <v>22.3</v>
      </c>
      <c r="N569" s="11" t="n">
        <v>0</v>
      </c>
      <c r="O569" s="11" t="n">
        <v>0</v>
      </c>
      <c r="P569" s="11" t="n">
        <v>0</v>
      </c>
      <c r="Q569" s="11" t="n">
        <v>2</v>
      </c>
      <c r="R569" s="11" t="n">
        <v>0</v>
      </c>
      <c r="S569" s="11" t="n">
        <v>0</v>
      </c>
      <c r="T569" s="11" t="n">
        <f aca="false">SUM(N569:S569)</f>
        <v>2</v>
      </c>
      <c r="U569" s="11" t="n">
        <v>0</v>
      </c>
      <c r="V569" s="11" t="n">
        <v>258.6</v>
      </c>
      <c r="W569" s="11" t="n">
        <v>145.5</v>
      </c>
      <c r="X569" s="11" t="n">
        <v>0</v>
      </c>
      <c r="Y569" s="11" t="n">
        <v>72</v>
      </c>
      <c r="Z569" s="11" t="n">
        <v>53.85</v>
      </c>
      <c r="AA569" s="11" t="n">
        <f aca="false">SUM(U569:Z569)</f>
        <v>529.95</v>
      </c>
      <c r="AB569" s="11" t="n">
        <v>0</v>
      </c>
      <c r="AC569" s="11" t="n">
        <v>0</v>
      </c>
      <c r="AD569" s="11" t="n">
        <v>0</v>
      </c>
      <c r="AE569" s="11" t="n">
        <v>0</v>
      </c>
      <c r="AF569" s="11" t="n">
        <v>0</v>
      </c>
      <c r="AG569" s="11" t="n">
        <v>0</v>
      </c>
      <c r="AH569" s="11" t="n">
        <f aca="false">SUM(AB569:AG569)</f>
        <v>0</v>
      </c>
      <c r="AI569" s="12" t="s">
        <v>1192</v>
      </c>
    </row>
    <row r="570" customFormat="false" ht="15" hidden="false" customHeight="false" outlineLevel="0" collapsed="false">
      <c r="A570" s="8" t="s">
        <v>1233</v>
      </c>
      <c r="B570" s="12" t="s">
        <v>1234</v>
      </c>
      <c r="C570" s="8" t="s">
        <v>1198</v>
      </c>
      <c r="D570" s="12" t="s">
        <v>1199</v>
      </c>
      <c r="E570" s="10" t="str">
        <f aca="true">IFERROR(IF(INDEX(INDIRECT("'"&amp;$AI570&amp;"'!$E$2:$E$71"),MATCH($A570,INDIRECT("'"&amp;$AI570&amp;"'!$A$2:$A$71"),0))="","",INDEX(INDIRECT("'"&amp;$AI570&amp;"'!$E$2:$E$71"),MATCH($A570,INDIRECT("'"&amp;$AI570&amp;"'!$A$2:$A$71"),0))),"")</f>
        <v/>
      </c>
      <c r="F570" s="9" t="str">
        <f aca="false">IF($E570="","",IFERROR(INDEX(担当者マスタ!$B$2:$B$101,MATCH($E570,担当者マスタ!$A$2:$A$101,0)),"※マスタ未登録"))</f>
        <v/>
      </c>
      <c r="G570" s="11" t="n">
        <v>0.8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f aca="false">SUM(G570:L570)</f>
        <v>0.8</v>
      </c>
      <c r="N570" s="11" t="n">
        <v>0.09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1" t="n">
        <f aca="false">SUM(N570:S570)</f>
        <v>0.09</v>
      </c>
      <c r="U570" s="11" t="n">
        <v>0</v>
      </c>
      <c r="V570" s="11" t="n">
        <v>0</v>
      </c>
      <c r="W570" s="11" t="n">
        <v>0</v>
      </c>
      <c r="X570" s="11" t="n">
        <v>0</v>
      </c>
      <c r="Y570" s="11" t="n">
        <v>0</v>
      </c>
      <c r="Z570" s="11" t="n">
        <v>0</v>
      </c>
      <c r="AA570" s="11" t="n">
        <f aca="false">SUM(U570:Z570)</f>
        <v>0</v>
      </c>
      <c r="AB570" s="11" t="n">
        <v>0</v>
      </c>
      <c r="AC570" s="11" t="n">
        <v>0</v>
      </c>
      <c r="AD570" s="11" t="n">
        <v>0</v>
      </c>
      <c r="AE570" s="11" t="n">
        <v>0</v>
      </c>
      <c r="AF570" s="11" t="n">
        <v>0</v>
      </c>
      <c r="AG570" s="11" t="n">
        <v>0</v>
      </c>
      <c r="AH570" s="11" t="n">
        <f aca="false">SUM(AB570:AG570)</f>
        <v>0</v>
      </c>
      <c r="AI570" s="12" t="s">
        <v>1192</v>
      </c>
    </row>
    <row r="571" customFormat="false" ht="15" hidden="false" customHeight="false" outlineLevel="0" collapsed="false">
      <c r="A571" s="8" t="s">
        <v>1235</v>
      </c>
      <c r="B571" s="12" t="s">
        <v>1236</v>
      </c>
      <c r="C571" s="8" t="s">
        <v>1198</v>
      </c>
      <c r="D571" s="12" t="s">
        <v>1199</v>
      </c>
      <c r="E571" s="10" t="str">
        <f aca="true">IFERROR(IF(INDEX(INDIRECT("'"&amp;$AI571&amp;"'!$E$2:$E$71"),MATCH($A571,INDIRECT("'"&amp;$AI571&amp;"'!$A$2:$A$71"),0))="","",INDEX(INDIRECT("'"&amp;$AI571&amp;"'!$E$2:$E$71"),MATCH($A571,INDIRECT("'"&amp;$AI571&amp;"'!$A$2:$A$71"),0))),"")</f>
        <v/>
      </c>
      <c r="F571" s="9" t="str">
        <f aca="false">IF($E571="","",IFERROR(INDEX(担当者マスタ!$B$2:$B$101,MATCH($E571,担当者マスタ!$A$2:$A$101,0)),"※マスタ未登録"))</f>
        <v/>
      </c>
      <c r="G571" s="11" t="n">
        <v>54</v>
      </c>
      <c r="H571" s="11" t="n">
        <v>23.6</v>
      </c>
      <c r="I571" s="11" t="n">
        <v>135.075</v>
      </c>
      <c r="J571" s="11" t="n">
        <v>54</v>
      </c>
      <c r="K571" s="11" t="n">
        <v>77.6</v>
      </c>
      <c r="L571" s="11" t="n">
        <v>200.7</v>
      </c>
      <c r="M571" s="11" t="n">
        <f aca="false">SUM(G571:L571)</f>
        <v>544.975</v>
      </c>
      <c r="N571" s="11" t="n">
        <v>9</v>
      </c>
      <c r="O571" s="11" t="n">
        <v>3.2</v>
      </c>
      <c r="P571" s="11" t="n">
        <v>30.075</v>
      </c>
      <c r="Q571" s="11" t="n">
        <v>9</v>
      </c>
      <c r="R571" s="11" t="n">
        <v>12.2</v>
      </c>
      <c r="S571" s="11" t="n">
        <v>24.525</v>
      </c>
      <c r="T571" s="11" t="n">
        <f aca="false">SUM(N571:S571)</f>
        <v>88</v>
      </c>
      <c r="U571" s="11" t="n">
        <v>66</v>
      </c>
      <c r="V571" s="11" t="n">
        <v>66</v>
      </c>
      <c r="W571" s="11" t="n">
        <v>106.275</v>
      </c>
      <c r="X571" s="11" t="n">
        <v>244.5</v>
      </c>
      <c r="Y571" s="11" t="n">
        <v>0</v>
      </c>
      <c r="Z571" s="11" t="n">
        <v>237.9</v>
      </c>
      <c r="AA571" s="11" t="n">
        <f aca="false">SUM(U571:Z571)</f>
        <v>720.675</v>
      </c>
      <c r="AB571" s="11" t="n">
        <v>15.6</v>
      </c>
      <c r="AC571" s="11" t="n">
        <v>15.6</v>
      </c>
      <c r="AD571" s="11" t="n">
        <v>24.795</v>
      </c>
      <c r="AE571" s="11" t="n">
        <v>25.875</v>
      </c>
      <c r="AF571" s="11" t="n">
        <v>0</v>
      </c>
      <c r="AG571" s="11" t="n">
        <v>34.845</v>
      </c>
      <c r="AH571" s="11" t="n">
        <f aca="false">SUM(AB571:AG571)</f>
        <v>116.715</v>
      </c>
      <c r="AI571" s="12" t="s">
        <v>1192</v>
      </c>
    </row>
    <row r="572" customFormat="false" ht="15" hidden="false" customHeight="false" outlineLevel="0" collapsed="false">
      <c r="A572" s="8" t="s">
        <v>1237</v>
      </c>
      <c r="B572" s="12" t="s">
        <v>1238</v>
      </c>
      <c r="C572" s="8" t="s">
        <v>1198</v>
      </c>
      <c r="D572" s="12" t="s">
        <v>1199</v>
      </c>
      <c r="E572" s="10" t="str">
        <f aca="true">IFERROR(IF(INDEX(INDIRECT("'"&amp;$AI572&amp;"'!$E$2:$E$71"),MATCH($A572,INDIRECT("'"&amp;$AI572&amp;"'!$A$2:$A$71"),0))="","",INDEX(INDIRECT("'"&amp;$AI572&amp;"'!$E$2:$E$71"),MATCH($A572,INDIRECT("'"&amp;$AI572&amp;"'!$A$2:$A$71"),0))),"")</f>
        <v/>
      </c>
      <c r="F572" s="9" t="str">
        <f aca="false">IF($E572="","",IFERROR(INDEX(担当者マスタ!$B$2:$B$101,MATCH($E572,担当者マスタ!$A$2:$A$101,0)),"※マスタ未登録"))</f>
        <v/>
      </c>
      <c r="G572" s="11" t="n">
        <v>0</v>
      </c>
      <c r="H572" s="11" t="n">
        <v>0</v>
      </c>
      <c r="I572" s="11" t="n">
        <v>25</v>
      </c>
      <c r="J572" s="11" t="n">
        <v>0</v>
      </c>
      <c r="K572" s="11" t="n">
        <v>0</v>
      </c>
      <c r="L572" s="11" t="n">
        <v>25</v>
      </c>
      <c r="M572" s="11" t="n">
        <f aca="false">SUM(G572:L572)</f>
        <v>50</v>
      </c>
      <c r="N572" s="11" t="n">
        <v>0</v>
      </c>
      <c r="O572" s="11" t="n">
        <v>0</v>
      </c>
      <c r="P572" s="11" t="n">
        <v>2.875</v>
      </c>
      <c r="Q572" s="11" t="n">
        <v>0</v>
      </c>
      <c r="R572" s="11" t="n">
        <v>0</v>
      </c>
      <c r="S572" s="11" t="n">
        <v>2.875</v>
      </c>
      <c r="T572" s="11" t="n">
        <f aca="false">SUM(N572:S572)</f>
        <v>5.75</v>
      </c>
      <c r="U572" s="11" t="n">
        <v>25</v>
      </c>
      <c r="V572" s="11" t="n">
        <v>0</v>
      </c>
      <c r="W572" s="11" t="n">
        <v>25</v>
      </c>
      <c r="X572" s="11" t="n">
        <v>25</v>
      </c>
      <c r="Y572" s="11" t="n">
        <v>25</v>
      </c>
      <c r="Z572" s="11" t="n">
        <v>0</v>
      </c>
      <c r="AA572" s="11" t="n">
        <f aca="false">SUM(U572:Z572)</f>
        <v>100</v>
      </c>
      <c r="AB572" s="11" t="n">
        <v>2.875</v>
      </c>
      <c r="AC572" s="11" t="n">
        <v>0</v>
      </c>
      <c r="AD572" s="11" t="n">
        <v>2.875</v>
      </c>
      <c r="AE572" s="11" t="n">
        <v>2.875</v>
      </c>
      <c r="AF572" s="11" t="n">
        <v>2.875</v>
      </c>
      <c r="AG572" s="11" t="n">
        <v>0</v>
      </c>
      <c r="AH572" s="11" t="n">
        <f aca="false">SUM(AB572:AG572)</f>
        <v>11.5</v>
      </c>
      <c r="AI572" s="12" t="s">
        <v>1192</v>
      </c>
    </row>
    <row r="573" customFormat="false" ht="15" hidden="false" customHeight="false" outlineLevel="0" collapsed="false">
      <c r="A573" s="8" t="s">
        <v>1239</v>
      </c>
      <c r="B573" s="12" t="s">
        <v>1240</v>
      </c>
      <c r="C573" s="8" t="s">
        <v>1198</v>
      </c>
      <c r="D573" s="12" t="s">
        <v>1199</v>
      </c>
      <c r="E573" s="10" t="str">
        <f aca="true">IFERROR(IF(INDEX(INDIRECT("'"&amp;$AI573&amp;"'!$E$2:$E$71"),MATCH($A573,INDIRECT("'"&amp;$AI573&amp;"'!$A$2:$A$71"),0))="","",INDEX(INDIRECT("'"&amp;$AI573&amp;"'!$E$2:$E$71"),MATCH($A573,INDIRECT("'"&amp;$AI573&amp;"'!$A$2:$A$71"),0))),"")</f>
        <v/>
      </c>
      <c r="F573" s="9" t="str">
        <f aca="false">IF($E573="","",IFERROR(INDEX(担当者マスタ!$B$2:$B$101,MATCH($E573,担当者マスタ!$A$2:$A$101,0)),"※マスタ未登録"))</f>
        <v/>
      </c>
      <c r="G573" s="11" t="n">
        <v>35.7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41.4</v>
      </c>
      <c r="M573" s="11" t="n">
        <f aca="false">SUM(G573:L573)</f>
        <v>77.1</v>
      </c>
      <c r="N573" s="11" t="n">
        <v>8.7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5.29</v>
      </c>
      <c r="T573" s="11" t="n">
        <f aca="false">SUM(N573:S573)</f>
        <v>13.99</v>
      </c>
      <c r="U573" s="11" t="n">
        <v>0</v>
      </c>
      <c r="V573" s="11" t="n">
        <v>0</v>
      </c>
      <c r="W573" s="11" t="n">
        <v>0</v>
      </c>
      <c r="X573" s="11" t="n">
        <v>0</v>
      </c>
      <c r="Y573" s="11" t="n">
        <v>0</v>
      </c>
      <c r="Z573" s="11" t="n">
        <v>0</v>
      </c>
      <c r="AA573" s="11" t="n">
        <f aca="false">SUM(U573:Z573)</f>
        <v>0</v>
      </c>
      <c r="AB573" s="11" t="n">
        <v>0</v>
      </c>
      <c r="AC573" s="11" t="n">
        <v>0</v>
      </c>
      <c r="AD573" s="11" t="n">
        <v>0</v>
      </c>
      <c r="AE573" s="11" t="n">
        <v>0</v>
      </c>
      <c r="AF573" s="11" t="n">
        <v>0</v>
      </c>
      <c r="AG573" s="11" t="n">
        <v>0</v>
      </c>
      <c r="AH573" s="11" t="n">
        <f aca="false">SUM(AB573:AG573)</f>
        <v>0</v>
      </c>
      <c r="AI573" s="12" t="s">
        <v>1192</v>
      </c>
    </row>
    <row r="574" customFormat="false" ht="15" hidden="false" customHeight="false" outlineLevel="0" collapsed="false">
      <c r="A574" s="8" t="s">
        <v>1241</v>
      </c>
      <c r="B574" s="12" t="s">
        <v>1242</v>
      </c>
      <c r="C574" s="8" t="s">
        <v>1198</v>
      </c>
      <c r="D574" s="12" t="s">
        <v>1199</v>
      </c>
      <c r="E574" s="10" t="str">
        <f aca="true">IFERROR(IF(INDEX(INDIRECT("'"&amp;$AI574&amp;"'!$E$2:$E$71"),MATCH($A574,INDIRECT("'"&amp;$AI574&amp;"'!$A$2:$A$71"),0))="","",INDEX(INDIRECT("'"&amp;$AI574&amp;"'!$E$2:$E$71"),MATCH($A574,INDIRECT("'"&amp;$AI574&amp;"'!$A$2:$A$71"),0))),"")</f>
        <v/>
      </c>
      <c r="F574" s="9" t="str">
        <f aca="false">IF($E574="","",IFERROR(INDEX(担当者マスタ!$B$2:$B$101,MATCH($E574,担当者マスタ!$A$2:$A$101,0)),"※マスタ未登録"))</f>
        <v/>
      </c>
      <c r="G574" s="11" t="n">
        <v>0</v>
      </c>
      <c r="H574" s="11" t="n">
        <v>115.55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f aca="false">SUM(G574:L574)</f>
        <v>115.55</v>
      </c>
      <c r="N574" s="11" t="n">
        <v>0</v>
      </c>
      <c r="O574" s="11" t="n">
        <v>21.27</v>
      </c>
      <c r="P574" s="11" t="n">
        <v>0</v>
      </c>
      <c r="Q574" s="11" t="n">
        <v>0</v>
      </c>
      <c r="R574" s="11" t="n">
        <v>0</v>
      </c>
      <c r="S574" s="11" t="n">
        <v>0</v>
      </c>
      <c r="T574" s="11" t="n">
        <f aca="false">SUM(N574:S574)</f>
        <v>21.27</v>
      </c>
      <c r="U574" s="11" t="n">
        <v>0</v>
      </c>
      <c r="V574" s="11" t="n">
        <v>0</v>
      </c>
      <c r="W574" s="11" t="n">
        <v>0</v>
      </c>
      <c r="X574" s="11" t="n">
        <v>0</v>
      </c>
      <c r="Y574" s="11" t="n">
        <v>0</v>
      </c>
      <c r="Z574" s="11" t="n">
        <v>307.672</v>
      </c>
      <c r="AA574" s="11" t="n">
        <f aca="false">SUM(U574:Z574)</f>
        <v>307.672</v>
      </c>
      <c r="AB574" s="11" t="n">
        <v>0</v>
      </c>
      <c r="AC574" s="11" t="n">
        <v>0</v>
      </c>
      <c r="AD574" s="11" t="n">
        <v>0</v>
      </c>
      <c r="AE574" s="11" t="n">
        <v>0</v>
      </c>
      <c r="AF574" s="11" t="n">
        <v>0</v>
      </c>
      <c r="AG574" s="11" t="n">
        <v>49.314</v>
      </c>
      <c r="AH574" s="11" t="n">
        <f aca="false">SUM(AB574:AG574)</f>
        <v>49.314</v>
      </c>
      <c r="AI574" s="12" t="s">
        <v>1192</v>
      </c>
    </row>
    <row r="575" customFormat="false" ht="15" hidden="false" customHeight="false" outlineLevel="0" collapsed="false">
      <c r="A575" s="8" t="s">
        <v>1243</v>
      </c>
      <c r="B575" s="12" t="s">
        <v>1244</v>
      </c>
      <c r="C575" s="8" t="s">
        <v>1198</v>
      </c>
      <c r="D575" s="12" t="s">
        <v>1199</v>
      </c>
      <c r="E575" s="10" t="str">
        <f aca="true">IFERROR(IF(INDEX(INDIRECT("'"&amp;$AI575&amp;"'!$E$2:$E$71"),MATCH($A575,INDIRECT("'"&amp;$AI575&amp;"'!$A$2:$A$71"),0))="","",INDEX(INDIRECT("'"&amp;$AI575&amp;"'!$E$2:$E$71"),MATCH($A575,INDIRECT("'"&amp;$AI575&amp;"'!$A$2:$A$71"),0))),"")</f>
        <v/>
      </c>
      <c r="F575" s="9" t="str">
        <f aca="false">IF($E575="","",IFERROR(INDEX(担当者マスタ!$B$2:$B$101,MATCH($E575,担当者マスタ!$A$2:$A$101,0)),"※マスタ未登録"))</f>
        <v/>
      </c>
      <c r="G575" s="11" t="n">
        <v>5.753</v>
      </c>
      <c r="H575" s="11" t="n">
        <v>0</v>
      </c>
      <c r="I575" s="11" t="n">
        <v>5.133</v>
      </c>
      <c r="J575" s="11" t="n">
        <v>4.425</v>
      </c>
      <c r="K575" s="11" t="n">
        <v>0</v>
      </c>
      <c r="L575" s="11" t="n">
        <v>5.753</v>
      </c>
      <c r="M575" s="11" t="n">
        <f aca="false">SUM(G575:L575)</f>
        <v>21.064</v>
      </c>
      <c r="N575" s="11" t="n">
        <v>0.878</v>
      </c>
      <c r="O575" s="11" t="n">
        <v>0</v>
      </c>
      <c r="P575" s="11" t="n">
        <v>0.783</v>
      </c>
      <c r="Q575" s="11" t="n">
        <v>0.675</v>
      </c>
      <c r="R575" s="11" t="n">
        <v>0</v>
      </c>
      <c r="S575" s="11" t="n">
        <v>0.878</v>
      </c>
      <c r="T575" s="11" t="n">
        <f aca="false">SUM(N575:S575)</f>
        <v>3.214</v>
      </c>
      <c r="U575" s="11" t="n">
        <v>0</v>
      </c>
      <c r="V575" s="11" t="n">
        <v>0</v>
      </c>
      <c r="W575" s="11" t="n">
        <v>0</v>
      </c>
      <c r="X575" s="11" t="n">
        <v>0</v>
      </c>
      <c r="Y575" s="11" t="n">
        <v>0</v>
      </c>
      <c r="Z575" s="11" t="n">
        <v>0</v>
      </c>
      <c r="AA575" s="11" t="n">
        <f aca="false">SUM(U575:Z575)</f>
        <v>0</v>
      </c>
      <c r="AB575" s="11" t="n">
        <v>0</v>
      </c>
      <c r="AC575" s="11" t="n">
        <v>0</v>
      </c>
      <c r="AD575" s="11" t="n">
        <v>0</v>
      </c>
      <c r="AE575" s="11" t="n">
        <v>0</v>
      </c>
      <c r="AF575" s="11" t="n">
        <v>0</v>
      </c>
      <c r="AG575" s="11" t="n">
        <v>0</v>
      </c>
      <c r="AH575" s="11" t="n">
        <f aca="false">SUM(AB575:AG575)</f>
        <v>0</v>
      </c>
      <c r="AI575" s="12" t="s">
        <v>1192</v>
      </c>
    </row>
    <row r="576" customFormat="false" ht="15" hidden="false" customHeight="false" outlineLevel="0" collapsed="false">
      <c r="A576" s="8" t="s">
        <v>1245</v>
      </c>
      <c r="B576" s="12" t="s">
        <v>1246</v>
      </c>
      <c r="C576" s="8" t="s">
        <v>1198</v>
      </c>
      <c r="D576" s="12" t="s">
        <v>1199</v>
      </c>
      <c r="E576" s="10" t="str">
        <f aca="true">IFERROR(IF(INDEX(INDIRECT("'"&amp;$AI576&amp;"'!$E$2:$E$71"),MATCH($A576,INDIRECT("'"&amp;$AI576&amp;"'!$A$2:$A$71"),0))="","",INDEX(INDIRECT("'"&amp;$AI576&amp;"'!$E$2:$E$71"),MATCH($A576,INDIRECT("'"&amp;$AI576&amp;"'!$A$2:$A$71"),0))),"")</f>
        <v/>
      </c>
      <c r="F576" s="9" t="str">
        <f aca="false">IF($E576="","",IFERROR(INDEX(担当者マスタ!$B$2:$B$101,MATCH($E576,担当者マスタ!$A$2:$A$101,0)),"※マスタ未登録"))</f>
        <v/>
      </c>
      <c r="G576" s="11" t="n">
        <v>30.672</v>
      </c>
      <c r="H576" s="11" t="n">
        <v>22.239</v>
      </c>
      <c r="I576" s="11" t="n">
        <v>24.04</v>
      </c>
      <c r="J576" s="11" t="n">
        <v>0</v>
      </c>
      <c r="K576" s="11" t="n">
        <v>16.33</v>
      </c>
      <c r="L576" s="11" t="n">
        <v>25.05</v>
      </c>
      <c r="M576" s="11" t="n">
        <f aca="false">SUM(G576:L576)</f>
        <v>118.331</v>
      </c>
      <c r="N576" s="11" t="n">
        <v>10.11</v>
      </c>
      <c r="O576" s="11" t="n">
        <v>6.541</v>
      </c>
      <c r="P576" s="11" t="n">
        <v>6.5</v>
      </c>
      <c r="Q576" s="11" t="n">
        <v>0</v>
      </c>
      <c r="R576" s="11" t="n">
        <v>4.5</v>
      </c>
      <c r="S576" s="11" t="n">
        <v>7.2</v>
      </c>
      <c r="T576" s="11" t="n">
        <f aca="false">SUM(N576:S576)</f>
        <v>34.851</v>
      </c>
      <c r="U576" s="11" t="n">
        <v>0</v>
      </c>
      <c r="V576" s="11" t="n">
        <v>32.34</v>
      </c>
      <c r="W576" s="11" t="n">
        <v>27.206</v>
      </c>
      <c r="X576" s="11" t="n">
        <v>9.93</v>
      </c>
      <c r="Y576" s="11" t="n">
        <v>9.11</v>
      </c>
      <c r="Z576" s="11" t="n">
        <v>36.69</v>
      </c>
      <c r="AA576" s="11" t="n">
        <f aca="false">SUM(U576:Z576)</f>
        <v>115.276</v>
      </c>
      <c r="AB576" s="11" t="n">
        <v>0</v>
      </c>
      <c r="AC576" s="11" t="n">
        <v>9.623</v>
      </c>
      <c r="AD576" s="11" t="n">
        <v>7.354</v>
      </c>
      <c r="AE576" s="11" t="n">
        <v>2.66</v>
      </c>
      <c r="AF576" s="11" t="n">
        <v>2.44</v>
      </c>
      <c r="AG576" s="11" t="n">
        <v>10.58</v>
      </c>
      <c r="AH576" s="11" t="n">
        <f aca="false">SUM(AB576:AG576)</f>
        <v>32.657</v>
      </c>
      <c r="AI576" s="12" t="s">
        <v>1192</v>
      </c>
    </row>
    <row r="577" customFormat="false" ht="15" hidden="false" customHeight="false" outlineLevel="0" collapsed="false">
      <c r="A577" s="8" t="s">
        <v>1247</v>
      </c>
      <c r="B577" s="12" t="s">
        <v>1248</v>
      </c>
      <c r="C577" s="8" t="s">
        <v>1198</v>
      </c>
      <c r="D577" s="12" t="s">
        <v>1199</v>
      </c>
      <c r="E577" s="10" t="str">
        <f aca="true">IFERROR(IF(INDEX(INDIRECT("'"&amp;$AI577&amp;"'!$E$2:$E$71"),MATCH($A577,INDIRECT("'"&amp;$AI577&amp;"'!$A$2:$A$71"),0))="","",INDEX(INDIRECT("'"&amp;$AI577&amp;"'!$E$2:$E$71"),MATCH($A577,INDIRECT("'"&amp;$AI577&amp;"'!$A$2:$A$71"),0))),"")</f>
        <v/>
      </c>
      <c r="F577" s="9" t="str">
        <f aca="false">IF($E577="","",IFERROR(INDEX(担当者マスタ!$B$2:$B$101,MATCH($E577,担当者マスタ!$A$2:$A$101,0)),"※マスタ未登録"))</f>
        <v/>
      </c>
      <c r="G577" s="11" t="n">
        <v>599.18</v>
      </c>
      <c r="H577" s="11" t="n">
        <v>567.516</v>
      </c>
      <c r="I577" s="11" t="n">
        <v>810.441</v>
      </c>
      <c r="J577" s="11" t="n">
        <v>485.103</v>
      </c>
      <c r="K577" s="11" t="n">
        <v>440.872</v>
      </c>
      <c r="L577" s="11" t="n">
        <v>482.777</v>
      </c>
      <c r="M577" s="11" t="n">
        <f aca="false">SUM(G577:L577)</f>
        <v>3385.889</v>
      </c>
      <c r="N577" s="11" t="n">
        <v>135.946</v>
      </c>
      <c r="O577" s="11" t="n">
        <v>134.931</v>
      </c>
      <c r="P577" s="11" t="n">
        <v>193.229</v>
      </c>
      <c r="Q577" s="11" t="n">
        <v>117.589</v>
      </c>
      <c r="R577" s="11" t="n">
        <v>100.822</v>
      </c>
      <c r="S577" s="11" t="n">
        <v>106.799</v>
      </c>
      <c r="T577" s="11" t="n">
        <f aca="false">SUM(N577:S577)</f>
        <v>789.316</v>
      </c>
      <c r="U577" s="11" t="n">
        <v>547.219</v>
      </c>
      <c r="V577" s="11" t="n">
        <v>577.437</v>
      </c>
      <c r="W577" s="11" t="n">
        <v>720.335</v>
      </c>
      <c r="X577" s="11" t="n">
        <v>413.884</v>
      </c>
      <c r="Y577" s="11" t="n">
        <v>698.316</v>
      </c>
      <c r="Z577" s="11" t="n">
        <v>634.947</v>
      </c>
      <c r="AA577" s="11" t="n">
        <f aca="false">SUM(U577:Z577)</f>
        <v>3592.138</v>
      </c>
      <c r="AB577" s="11" t="n">
        <v>131.782</v>
      </c>
      <c r="AC577" s="11" t="n">
        <v>138.904</v>
      </c>
      <c r="AD577" s="11" t="n">
        <v>169.651</v>
      </c>
      <c r="AE577" s="11" t="n">
        <v>89.478</v>
      </c>
      <c r="AF577" s="11" t="n">
        <v>174.866</v>
      </c>
      <c r="AG577" s="11" t="n">
        <v>158.727</v>
      </c>
      <c r="AH577" s="11" t="n">
        <f aca="false">SUM(AB577:AG577)</f>
        <v>863.408</v>
      </c>
      <c r="AI577" s="12" t="s">
        <v>1192</v>
      </c>
    </row>
    <row r="578" customFormat="false" ht="15" hidden="false" customHeight="false" outlineLevel="0" collapsed="false">
      <c r="A578" s="8" t="s">
        <v>1249</v>
      </c>
      <c r="B578" s="12" t="s">
        <v>1250</v>
      </c>
      <c r="C578" s="8" t="s">
        <v>1198</v>
      </c>
      <c r="D578" s="12" t="s">
        <v>1199</v>
      </c>
      <c r="E578" s="10" t="str">
        <f aca="true">IFERROR(IF(INDEX(INDIRECT("'"&amp;$AI578&amp;"'!$E$2:$E$71"),MATCH($A578,INDIRECT("'"&amp;$AI578&amp;"'!$A$2:$A$71"),0))="","",INDEX(INDIRECT("'"&amp;$AI578&amp;"'!$E$2:$E$71"),MATCH($A578,INDIRECT("'"&amp;$AI578&amp;"'!$A$2:$A$71"),0))),"")</f>
        <v/>
      </c>
      <c r="F578" s="9" t="str">
        <f aca="false">IF($E578="","",IFERROR(INDEX(担当者マスタ!$B$2:$B$101,MATCH($E578,担当者マスタ!$A$2:$A$101,0)),"※マスタ未登録"))</f>
        <v/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f aca="false">SUM(G578:L578)</f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  <c r="T578" s="11" t="n">
        <f aca="false">SUM(N578:S578)</f>
        <v>0</v>
      </c>
      <c r="U578" s="11" t="n">
        <v>0</v>
      </c>
      <c r="V578" s="11" t="n">
        <v>0</v>
      </c>
      <c r="W578" s="11" t="n">
        <v>0</v>
      </c>
      <c r="X578" s="11" t="n">
        <v>0</v>
      </c>
      <c r="Y578" s="11" t="n">
        <v>5.345</v>
      </c>
      <c r="Z578" s="11" t="n">
        <v>0</v>
      </c>
      <c r="AA578" s="11" t="n">
        <f aca="false">SUM(U578:Z578)</f>
        <v>5.345</v>
      </c>
      <c r="AB578" s="11" t="n">
        <v>0</v>
      </c>
      <c r="AC578" s="11" t="n">
        <v>0</v>
      </c>
      <c r="AD578" s="11" t="n">
        <v>0</v>
      </c>
      <c r="AE578" s="11" t="n">
        <v>0</v>
      </c>
      <c r="AF578" s="11" t="n">
        <v>2.848</v>
      </c>
      <c r="AG578" s="11" t="n">
        <v>0</v>
      </c>
      <c r="AH578" s="11" t="n">
        <f aca="false">SUM(AB578:AG578)</f>
        <v>2.848</v>
      </c>
      <c r="AI578" s="12" t="s">
        <v>1192</v>
      </c>
    </row>
    <row r="579" customFormat="false" ht="15" hidden="false" customHeight="false" outlineLevel="0" collapsed="false">
      <c r="A579" s="8" t="s">
        <v>1251</v>
      </c>
      <c r="B579" s="12" t="s">
        <v>1252</v>
      </c>
      <c r="C579" s="8" t="s">
        <v>1198</v>
      </c>
      <c r="D579" s="12" t="s">
        <v>1199</v>
      </c>
      <c r="E579" s="10" t="str">
        <f aca="true">IFERROR(IF(INDEX(INDIRECT("'"&amp;$AI579&amp;"'!$E$2:$E$71"),MATCH($A579,INDIRECT("'"&amp;$AI579&amp;"'!$A$2:$A$71"),0))="","",INDEX(INDIRECT("'"&amp;$AI579&amp;"'!$E$2:$E$71"),MATCH($A579,INDIRECT("'"&amp;$AI579&amp;"'!$A$2:$A$71"),0))),"")</f>
        <v/>
      </c>
      <c r="F579" s="9" t="str">
        <f aca="false">IF($E579="","",IFERROR(INDEX(担当者マスタ!$B$2:$B$101,MATCH($E579,担当者マスタ!$A$2:$A$101,0)),"※マスタ未登録"))</f>
        <v/>
      </c>
      <c r="G579" s="11" t="n">
        <v>0</v>
      </c>
      <c r="H579" s="11" t="n">
        <v>196.475</v>
      </c>
      <c r="I579" s="11" t="n">
        <v>23.98</v>
      </c>
      <c r="J579" s="11" t="n">
        <v>64.684</v>
      </c>
      <c r="K579" s="11" t="n">
        <v>559.355</v>
      </c>
      <c r="L579" s="11" t="n">
        <v>0</v>
      </c>
      <c r="M579" s="11" t="n">
        <f aca="false">SUM(G579:L579)</f>
        <v>844.494</v>
      </c>
      <c r="N579" s="11" t="n">
        <v>0</v>
      </c>
      <c r="O579" s="11" t="n">
        <v>51.583</v>
      </c>
      <c r="P579" s="11" t="n">
        <v>3.699</v>
      </c>
      <c r="Q579" s="11" t="n">
        <v>8.034</v>
      </c>
      <c r="R579" s="11" t="n">
        <v>160.296</v>
      </c>
      <c r="S579" s="11" t="n">
        <v>0</v>
      </c>
      <c r="T579" s="11" t="n">
        <f aca="false">SUM(N579:S579)</f>
        <v>223.612</v>
      </c>
      <c r="U579" s="11" t="n">
        <v>90.36</v>
      </c>
      <c r="V579" s="11" t="n">
        <v>782.02</v>
      </c>
      <c r="W579" s="11" t="n">
        <v>30.12</v>
      </c>
      <c r="X579" s="11" t="n">
        <v>20.4</v>
      </c>
      <c r="Y579" s="11" t="n">
        <v>20.4</v>
      </c>
      <c r="Z579" s="11" t="n">
        <v>24</v>
      </c>
      <c r="AA579" s="11" t="n">
        <f aca="false">SUM(U579:Z579)</f>
        <v>967.3</v>
      </c>
      <c r="AB579" s="11" t="n">
        <v>26.028</v>
      </c>
      <c r="AC579" s="11" t="n">
        <v>201.1</v>
      </c>
      <c r="AD579" s="11" t="n">
        <v>8.676</v>
      </c>
      <c r="AE579" s="11" t="n">
        <v>4.2</v>
      </c>
      <c r="AF579" s="11" t="n">
        <v>4.2</v>
      </c>
      <c r="AG579" s="11" t="n">
        <v>4.8</v>
      </c>
      <c r="AH579" s="11" t="n">
        <f aca="false">SUM(AB579:AG579)</f>
        <v>249.004</v>
      </c>
      <c r="AI579" s="12" t="s">
        <v>1192</v>
      </c>
    </row>
    <row r="580" customFormat="false" ht="15" hidden="false" customHeight="false" outlineLevel="0" collapsed="false">
      <c r="A580" s="8" t="s">
        <v>1253</v>
      </c>
      <c r="B580" s="12" t="s">
        <v>1254</v>
      </c>
      <c r="C580" s="8" t="s">
        <v>1198</v>
      </c>
      <c r="D580" s="12" t="s">
        <v>1199</v>
      </c>
      <c r="E580" s="10" t="str">
        <f aca="true">IFERROR(IF(INDEX(INDIRECT("'"&amp;$AI580&amp;"'!$E$2:$E$71"),MATCH($A580,INDIRECT("'"&amp;$AI580&amp;"'!$A$2:$A$71"),0))="","",INDEX(INDIRECT("'"&amp;$AI580&amp;"'!$E$2:$E$71"),MATCH($A580,INDIRECT("'"&amp;$AI580&amp;"'!$A$2:$A$71"),0))),"")</f>
        <v/>
      </c>
      <c r="F580" s="9" t="str">
        <f aca="false">IF($E580="","",IFERROR(INDEX(担当者マスタ!$B$2:$B$101,MATCH($E580,担当者マスタ!$A$2:$A$101,0)),"※マスタ未登録"))</f>
        <v/>
      </c>
      <c r="G580" s="11" t="n">
        <v>0</v>
      </c>
      <c r="H580" s="11" t="n">
        <v>0</v>
      </c>
      <c r="I580" s="11" t="n">
        <v>0</v>
      </c>
      <c r="J580" s="11" t="n">
        <v>235</v>
      </c>
      <c r="K580" s="11" t="n">
        <v>0</v>
      </c>
      <c r="L580" s="11" t="n">
        <v>0</v>
      </c>
      <c r="M580" s="11" t="n">
        <f aca="false">SUM(G580:L580)</f>
        <v>235</v>
      </c>
      <c r="N580" s="11" t="n">
        <v>0</v>
      </c>
      <c r="O580" s="11" t="n">
        <v>0</v>
      </c>
      <c r="P580" s="11" t="n">
        <v>0</v>
      </c>
      <c r="Q580" s="11" t="n">
        <v>40</v>
      </c>
      <c r="R580" s="11" t="n">
        <v>0</v>
      </c>
      <c r="S580" s="11" t="n">
        <v>0</v>
      </c>
      <c r="T580" s="11" t="n">
        <f aca="false">SUM(N580:S580)</f>
        <v>40</v>
      </c>
      <c r="U580" s="11" t="n">
        <v>0</v>
      </c>
      <c r="V580" s="11" t="n">
        <v>0</v>
      </c>
      <c r="W580" s="11" t="n">
        <v>0</v>
      </c>
      <c r="X580" s="11" t="n">
        <v>0</v>
      </c>
      <c r="Y580" s="11" t="n">
        <v>0</v>
      </c>
      <c r="Z580" s="11" t="n">
        <v>0</v>
      </c>
      <c r="AA580" s="11" t="n">
        <f aca="false">SUM(U580:Z580)</f>
        <v>0</v>
      </c>
      <c r="AB580" s="11" t="n">
        <v>0</v>
      </c>
      <c r="AC580" s="11" t="n">
        <v>0</v>
      </c>
      <c r="AD580" s="11" t="n">
        <v>0</v>
      </c>
      <c r="AE580" s="11" t="n">
        <v>0</v>
      </c>
      <c r="AF580" s="11" t="n">
        <v>0</v>
      </c>
      <c r="AG580" s="11" t="n">
        <v>0</v>
      </c>
      <c r="AH580" s="11" t="n">
        <f aca="false">SUM(AB580:AG580)</f>
        <v>0</v>
      </c>
      <c r="AI580" s="12" t="s">
        <v>1192</v>
      </c>
    </row>
    <row r="581" customFormat="false" ht="15" hidden="false" customHeight="false" outlineLevel="0" collapsed="false">
      <c r="A581" s="8" t="s">
        <v>1255</v>
      </c>
      <c r="B581" s="12" t="s">
        <v>1256</v>
      </c>
      <c r="C581" s="8" t="s">
        <v>1198</v>
      </c>
      <c r="D581" s="12" t="s">
        <v>1199</v>
      </c>
      <c r="E581" s="10" t="str">
        <f aca="true">IFERROR(IF(INDEX(INDIRECT("'"&amp;$AI581&amp;"'!$E$2:$E$71"),MATCH($A581,INDIRECT("'"&amp;$AI581&amp;"'!$A$2:$A$71"),0))="","",INDEX(INDIRECT("'"&amp;$AI581&amp;"'!$E$2:$E$71"),MATCH($A581,INDIRECT("'"&amp;$AI581&amp;"'!$A$2:$A$71"),0))),"")</f>
        <v/>
      </c>
      <c r="F581" s="9" t="str">
        <f aca="false">IF($E581="","",IFERROR(INDEX(担当者マスタ!$B$2:$B$101,MATCH($E581,担当者マスタ!$A$2:$A$101,0)),"※マスタ未登録"))</f>
        <v/>
      </c>
      <c r="G581" s="11" t="n">
        <v>133.46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9</v>
      </c>
      <c r="M581" s="11" t="n">
        <f aca="false">SUM(G581:L581)</f>
        <v>142.46</v>
      </c>
      <c r="N581" s="11" t="n">
        <v>20.042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1.99</v>
      </c>
      <c r="T581" s="11" t="n">
        <f aca="false">SUM(N581:S581)</f>
        <v>22.032</v>
      </c>
      <c r="U581" s="11" t="n">
        <v>0</v>
      </c>
      <c r="V581" s="11" t="n">
        <v>0</v>
      </c>
      <c r="W581" s="11" t="n">
        <v>0</v>
      </c>
      <c r="X581" s="11" t="n">
        <v>0</v>
      </c>
      <c r="Y581" s="11" t="n">
        <v>0</v>
      </c>
      <c r="Z581" s="11" t="n">
        <v>0</v>
      </c>
      <c r="AA581" s="11" t="n">
        <f aca="false">SUM(U581:Z581)</f>
        <v>0</v>
      </c>
      <c r="AB581" s="11" t="n">
        <v>0</v>
      </c>
      <c r="AC581" s="11" t="n">
        <v>0</v>
      </c>
      <c r="AD581" s="11" t="n">
        <v>0</v>
      </c>
      <c r="AE581" s="11" t="n">
        <v>0</v>
      </c>
      <c r="AF581" s="11" t="n">
        <v>0</v>
      </c>
      <c r="AG581" s="11" t="n">
        <v>0</v>
      </c>
      <c r="AH581" s="11" t="n">
        <f aca="false">SUM(AB581:AG581)</f>
        <v>0</v>
      </c>
      <c r="AI581" s="12" t="s">
        <v>1192</v>
      </c>
    </row>
    <row r="582" customFormat="false" ht="15" hidden="false" customHeight="false" outlineLevel="0" collapsed="false">
      <c r="A582" s="8" t="s">
        <v>1257</v>
      </c>
      <c r="B582" s="12" t="s">
        <v>1258</v>
      </c>
      <c r="C582" s="8" t="s">
        <v>1198</v>
      </c>
      <c r="D582" s="12" t="s">
        <v>1199</v>
      </c>
      <c r="E582" s="10" t="str">
        <f aca="true">IFERROR(IF(INDEX(INDIRECT("'"&amp;$AI582&amp;"'!$E$2:$E$71"),MATCH($A582,INDIRECT("'"&amp;$AI582&amp;"'!$A$2:$A$71"),0))="","",INDEX(INDIRECT("'"&amp;$AI582&amp;"'!$E$2:$E$71"),MATCH($A582,INDIRECT("'"&amp;$AI582&amp;"'!$A$2:$A$71"),0))),"")</f>
        <v/>
      </c>
      <c r="F582" s="9" t="str">
        <f aca="false">IF($E582="","",IFERROR(INDEX(担当者マスタ!$B$2:$B$101,MATCH($E582,担当者マスタ!$A$2:$A$101,0)),"※マスタ未登録"))</f>
        <v/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f aca="false">SUM(G582:L582)</f>
        <v>0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1" t="n">
        <f aca="false">SUM(N582:S582)</f>
        <v>0</v>
      </c>
      <c r="U582" s="11" t="n">
        <v>0</v>
      </c>
      <c r="V582" s="11" t="n">
        <v>0</v>
      </c>
      <c r="W582" s="11" t="n">
        <v>102</v>
      </c>
      <c r="X582" s="11" t="n">
        <v>41.4</v>
      </c>
      <c r="Y582" s="11" t="n">
        <v>0</v>
      </c>
      <c r="Z582" s="11" t="n">
        <v>0</v>
      </c>
      <c r="AA582" s="11" t="n">
        <f aca="false">SUM(U582:Z582)</f>
        <v>143.4</v>
      </c>
      <c r="AB582" s="11" t="n">
        <v>0</v>
      </c>
      <c r="AC582" s="11" t="n">
        <v>0</v>
      </c>
      <c r="AD582" s="11" t="n">
        <v>28.5</v>
      </c>
      <c r="AE582" s="11" t="n">
        <v>5.29</v>
      </c>
      <c r="AF582" s="11" t="n">
        <v>0</v>
      </c>
      <c r="AG582" s="11" t="n">
        <v>0</v>
      </c>
      <c r="AH582" s="11" t="n">
        <f aca="false">SUM(AB582:AG582)</f>
        <v>33.79</v>
      </c>
      <c r="AI582" s="12" t="s">
        <v>1192</v>
      </c>
    </row>
    <row r="583" customFormat="false" ht="15" hidden="false" customHeight="false" outlineLevel="0" collapsed="false">
      <c r="A583" s="8" t="s">
        <v>1259</v>
      </c>
      <c r="B583" s="12" t="s">
        <v>1260</v>
      </c>
      <c r="C583" s="8" t="s">
        <v>1198</v>
      </c>
      <c r="D583" s="12" t="s">
        <v>1199</v>
      </c>
      <c r="E583" s="10" t="str">
        <f aca="true">IFERROR(IF(INDEX(INDIRECT("'"&amp;$AI583&amp;"'!$E$2:$E$71"),MATCH($A583,INDIRECT("'"&amp;$AI583&amp;"'!$A$2:$A$71"),0))="","",INDEX(INDIRECT("'"&amp;$AI583&amp;"'!$E$2:$E$71"),MATCH($A583,INDIRECT("'"&amp;$AI583&amp;"'!$A$2:$A$71"),0))),"")</f>
        <v/>
      </c>
      <c r="F583" s="9" t="str">
        <f aca="false">IF($E583="","",IFERROR(INDEX(担当者マスタ!$B$2:$B$101,MATCH($E583,担当者マスタ!$A$2:$A$101,0)),"※マスタ未登録"))</f>
        <v/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153.6</v>
      </c>
      <c r="M583" s="11" t="n">
        <f aca="false">SUM(G583:L583)</f>
        <v>153.6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29.4</v>
      </c>
      <c r="T583" s="11" t="n">
        <f aca="false">SUM(N583:S583)</f>
        <v>29.4</v>
      </c>
      <c r="U583" s="11" t="n">
        <v>0</v>
      </c>
      <c r="V583" s="11" t="n">
        <v>0</v>
      </c>
      <c r="W583" s="11" t="n">
        <v>0</v>
      </c>
      <c r="X583" s="11" t="n">
        <v>0</v>
      </c>
      <c r="Y583" s="11" t="n">
        <v>0</v>
      </c>
      <c r="Z583" s="11" t="n">
        <v>0</v>
      </c>
      <c r="AA583" s="11" t="n">
        <f aca="false">SUM(U583:Z583)</f>
        <v>0</v>
      </c>
      <c r="AB583" s="11" t="n">
        <v>0</v>
      </c>
      <c r="AC583" s="11" t="n">
        <v>0</v>
      </c>
      <c r="AD583" s="11" t="n">
        <v>0</v>
      </c>
      <c r="AE583" s="11" t="n">
        <v>0</v>
      </c>
      <c r="AF583" s="11" t="n">
        <v>0</v>
      </c>
      <c r="AG583" s="11" t="n">
        <v>0</v>
      </c>
      <c r="AH583" s="11" t="n">
        <f aca="false">SUM(AB583:AG583)</f>
        <v>0</v>
      </c>
      <c r="AI583" s="12" t="s">
        <v>1192</v>
      </c>
    </row>
    <row r="584" customFormat="false" ht="15" hidden="false" customHeight="false" outlineLevel="0" collapsed="false">
      <c r="A584" s="8" t="s">
        <v>1261</v>
      </c>
      <c r="B584" s="12" t="s">
        <v>1262</v>
      </c>
      <c r="C584" s="8" t="s">
        <v>1198</v>
      </c>
      <c r="D584" s="12" t="s">
        <v>1199</v>
      </c>
      <c r="E584" s="10" t="str">
        <f aca="true">IFERROR(IF(INDEX(INDIRECT("'"&amp;$AI584&amp;"'!$E$2:$E$71"),MATCH($A584,INDIRECT("'"&amp;$AI584&amp;"'!$A$2:$A$71"),0))="","",INDEX(INDIRECT("'"&amp;$AI584&amp;"'!$E$2:$E$71"),MATCH($A584,INDIRECT("'"&amp;$AI584&amp;"'!$A$2:$A$71"),0))),"")</f>
        <v/>
      </c>
      <c r="F584" s="9" t="str">
        <f aca="false">IF($E584="","",IFERROR(INDEX(担当者マスタ!$B$2:$B$101,MATCH($E584,担当者マスタ!$A$2:$A$101,0)),"※マスタ未登録"))</f>
        <v/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-41.4</v>
      </c>
      <c r="M584" s="11" t="n">
        <f aca="false">SUM(G584:L584)</f>
        <v>-41.4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-5.29</v>
      </c>
      <c r="T584" s="11" t="n">
        <f aca="false">SUM(N584:S584)</f>
        <v>-5.29</v>
      </c>
      <c r="U584" s="11" t="n">
        <v>21.65</v>
      </c>
      <c r="V584" s="11" t="n">
        <v>55.15</v>
      </c>
      <c r="W584" s="11" t="n">
        <v>43.15</v>
      </c>
      <c r="X584" s="11" t="n">
        <v>-41.4</v>
      </c>
      <c r="Y584" s="11" t="n">
        <v>30.5</v>
      </c>
      <c r="Z584" s="11" t="n">
        <v>43</v>
      </c>
      <c r="AA584" s="11" t="n">
        <f aca="false">SUM(U584:Z584)</f>
        <v>152.05</v>
      </c>
      <c r="AB584" s="11" t="n">
        <v>4.35</v>
      </c>
      <c r="AC584" s="11" t="n">
        <v>10.242</v>
      </c>
      <c r="AD584" s="11" t="n">
        <v>8.35</v>
      </c>
      <c r="AE584" s="11" t="n">
        <v>-5.29</v>
      </c>
      <c r="AF584" s="11" t="n">
        <v>7.05</v>
      </c>
      <c r="AG584" s="11" t="n">
        <v>8</v>
      </c>
      <c r="AH584" s="11" t="n">
        <f aca="false">SUM(AB584:AG584)</f>
        <v>32.702</v>
      </c>
      <c r="AI584" s="12" t="s">
        <v>1192</v>
      </c>
    </row>
    <row r="585" customFormat="false" ht="15" hidden="false" customHeight="false" outlineLevel="0" collapsed="false">
      <c r="A585" s="8" t="s">
        <v>1263</v>
      </c>
      <c r="B585" s="12" t="s">
        <v>1264</v>
      </c>
      <c r="C585" s="8" t="s">
        <v>1198</v>
      </c>
      <c r="D585" s="12" t="s">
        <v>1199</v>
      </c>
      <c r="E585" s="10" t="str">
        <f aca="true">IFERROR(IF(INDEX(INDIRECT("'"&amp;$AI585&amp;"'!$E$2:$E$71"),MATCH($A585,INDIRECT("'"&amp;$AI585&amp;"'!$A$2:$A$71"),0))="","",INDEX(INDIRECT("'"&amp;$AI585&amp;"'!$E$2:$E$71"),MATCH($A585,INDIRECT("'"&amp;$AI585&amp;"'!$A$2:$A$71"),0))),"")</f>
        <v/>
      </c>
      <c r="F585" s="9" t="str">
        <f aca="false">IF($E585="","",IFERROR(INDEX(担当者マスタ!$B$2:$B$101,MATCH($E585,担当者マスタ!$A$2:$A$101,0)),"※マスタ未登録"))</f>
        <v/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f aca="false">SUM(G585:L585)</f>
        <v>0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1" t="n">
        <f aca="false">SUM(N585:S585)</f>
        <v>0</v>
      </c>
      <c r="U585" s="11" t="n">
        <v>0</v>
      </c>
      <c r="V585" s="11" t="n">
        <v>0</v>
      </c>
      <c r="W585" s="11" t="n">
        <v>14</v>
      </c>
      <c r="X585" s="11" t="n">
        <v>0</v>
      </c>
      <c r="Y585" s="11" t="n">
        <v>200</v>
      </c>
      <c r="Z585" s="11" t="n">
        <v>0</v>
      </c>
      <c r="AA585" s="11" t="n">
        <f aca="false">SUM(U585:Z585)</f>
        <v>214</v>
      </c>
      <c r="AB585" s="11" t="n">
        <v>0</v>
      </c>
      <c r="AC585" s="11" t="n">
        <v>0</v>
      </c>
      <c r="AD585" s="11" t="n">
        <v>1.5</v>
      </c>
      <c r="AE585" s="11" t="n">
        <v>0</v>
      </c>
      <c r="AF585" s="11" t="n">
        <v>20</v>
      </c>
      <c r="AG585" s="11" t="n">
        <v>0</v>
      </c>
      <c r="AH585" s="11" t="n">
        <f aca="false">SUM(AB585:AG585)</f>
        <v>21.5</v>
      </c>
      <c r="AI585" s="12" t="s">
        <v>1192</v>
      </c>
    </row>
    <row r="586" customFormat="false" ht="15" hidden="false" customHeight="false" outlineLevel="0" collapsed="false">
      <c r="A586" s="8" t="s">
        <v>1265</v>
      </c>
      <c r="B586" s="12" t="s">
        <v>1266</v>
      </c>
      <c r="C586" s="8" t="s">
        <v>1198</v>
      </c>
      <c r="D586" s="12" t="s">
        <v>1199</v>
      </c>
      <c r="E586" s="10" t="str">
        <f aca="true">IFERROR(IF(INDEX(INDIRECT("'"&amp;$AI586&amp;"'!$E$2:$E$71"),MATCH($A586,INDIRECT("'"&amp;$AI586&amp;"'!$A$2:$A$71"),0))="","",INDEX(INDIRECT("'"&amp;$AI586&amp;"'!$E$2:$E$71"),MATCH($A586,INDIRECT("'"&amp;$AI586&amp;"'!$A$2:$A$71"),0))),"")</f>
        <v/>
      </c>
      <c r="F586" s="9" t="str">
        <f aca="false">IF($E586="","",IFERROR(INDEX(担当者マスタ!$B$2:$B$101,MATCH($E586,担当者マスタ!$A$2:$A$101,0)),"※マスタ未登録"))</f>
        <v/>
      </c>
      <c r="G586" s="11" t="n">
        <v>1312.599</v>
      </c>
      <c r="H586" s="11" t="n">
        <v>1619.747</v>
      </c>
      <c r="I586" s="11" t="n">
        <v>1062.679</v>
      </c>
      <c r="J586" s="11" t="n">
        <v>885.524</v>
      </c>
      <c r="K586" s="11" t="n">
        <v>1179.851</v>
      </c>
      <c r="L586" s="11" t="n">
        <v>938.28</v>
      </c>
      <c r="M586" s="11" t="n">
        <f aca="false">SUM(G586:L586)</f>
        <v>6998.68</v>
      </c>
      <c r="N586" s="11" t="n">
        <v>203.453</v>
      </c>
      <c r="O586" s="11" t="n">
        <v>252.573</v>
      </c>
      <c r="P586" s="11" t="n">
        <v>169.462</v>
      </c>
      <c r="Q586" s="11" t="n">
        <v>117.743</v>
      </c>
      <c r="R586" s="11" t="n">
        <v>168.617</v>
      </c>
      <c r="S586" s="11" t="n">
        <v>128.167</v>
      </c>
      <c r="T586" s="11" t="n">
        <f aca="false">SUM(N586:S586)</f>
        <v>1040.015</v>
      </c>
      <c r="U586" s="11" t="n">
        <v>1118.205</v>
      </c>
      <c r="V586" s="11" t="n">
        <v>1328.735</v>
      </c>
      <c r="W586" s="11" t="n">
        <v>889.826</v>
      </c>
      <c r="X586" s="11" t="n">
        <v>757.255</v>
      </c>
      <c r="Y586" s="11" t="n">
        <v>728.665</v>
      </c>
      <c r="Z586" s="11" t="n">
        <v>798.147</v>
      </c>
      <c r="AA586" s="11" t="n">
        <f aca="false">SUM(U586:Z586)</f>
        <v>5620.833</v>
      </c>
      <c r="AB586" s="11" t="n">
        <v>111.818</v>
      </c>
      <c r="AC586" s="11" t="n">
        <v>181.729</v>
      </c>
      <c r="AD586" s="11" t="n">
        <v>117.28</v>
      </c>
      <c r="AE586" s="11" t="n">
        <v>107.403</v>
      </c>
      <c r="AF586" s="11" t="n">
        <v>93.935</v>
      </c>
      <c r="AG586" s="11" t="n">
        <v>103.49</v>
      </c>
      <c r="AH586" s="11" t="n">
        <f aca="false">SUM(AB586:AG586)</f>
        <v>715.655</v>
      </c>
      <c r="AI586" s="12" t="s">
        <v>1192</v>
      </c>
    </row>
    <row r="587" customFormat="false" ht="15" hidden="false" customHeight="false" outlineLevel="0" collapsed="false">
      <c r="A587" s="8" t="s">
        <v>1267</v>
      </c>
      <c r="B587" s="12" t="s">
        <v>1268</v>
      </c>
      <c r="C587" s="8" t="s">
        <v>1198</v>
      </c>
      <c r="D587" s="12" t="s">
        <v>1199</v>
      </c>
      <c r="E587" s="10" t="str">
        <f aca="true">IFERROR(IF(INDEX(INDIRECT("'"&amp;$AI587&amp;"'!$E$2:$E$71"),MATCH($A587,INDIRECT("'"&amp;$AI587&amp;"'!$A$2:$A$71"),0))="","",INDEX(INDIRECT("'"&amp;$AI587&amp;"'!$E$2:$E$71"),MATCH($A587,INDIRECT("'"&amp;$AI587&amp;"'!$A$2:$A$71"),0))),"")</f>
        <v/>
      </c>
      <c r="F587" s="9" t="str">
        <f aca="false">IF($E587="","",IFERROR(INDEX(担当者マスタ!$B$2:$B$101,MATCH($E587,担当者マスタ!$A$2:$A$101,0)),"※マスタ未登録"))</f>
        <v/>
      </c>
      <c r="G587" s="11" t="n">
        <v>883.57</v>
      </c>
      <c r="H587" s="11" t="n">
        <v>930.036</v>
      </c>
      <c r="I587" s="11" t="n">
        <v>1458.576</v>
      </c>
      <c r="J587" s="11" t="n">
        <v>319.336</v>
      </c>
      <c r="K587" s="11" t="n">
        <v>383.991</v>
      </c>
      <c r="L587" s="11" t="n">
        <v>189.788</v>
      </c>
      <c r="M587" s="11" t="n">
        <f aca="false">SUM(G587:L587)</f>
        <v>4165.297</v>
      </c>
      <c r="N587" s="11" t="n">
        <v>133.69</v>
      </c>
      <c r="O587" s="11" t="n">
        <v>163.063</v>
      </c>
      <c r="P587" s="11" t="n">
        <v>231.505</v>
      </c>
      <c r="Q587" s="11" t="n">
        <v>42.096</v>
      </c>
      <c r="R587" s="11" t="n">
        <v>50.184</v>
      </c>
      <c r="S587" s="11" t="n">
        <v>34.342</v>
      </c>
      <c r="T587" s="11" t="n">
        <f aca="false">SUM(N587:S587)</f>
        <v>654.88</v>
      </c>
      <c r="U587" s="11" t="n">
        <v>824.354</v>
      </c>
      <c r="V587" s="11" t="n">
        <v>482.994</v>
      </c>
      <c r="W587" s="11" t="n">
        <v>1421.256</v>
      </c>
      <c r="X587" s="11" t="n">
        <v>143.308</v>
      </c>
      <c r="Y587" s="11" t="n">
        <v>568.138</v>
      </c>
      <c r="Z587" s="11" t="n">
        <v>307.246</v>
      </c>
      <c r="AA587" s="11" t="n">
        <f aca="false">SUM(U587:Z587)</f>
        <v>3747.296</v>
      </c>
      <c r="AB587" s="11" t="n">
        <v>144.314</v>
      </c>
      <c r="AC587" s="11" t="n">
        <v>83.604</v>
      </c>
      <c r="AD587" s="11" t="n">
        <v>241.593</v>
      </c>
      <c r="AE587" s="11" t="n">
        <v>21.738</v>
      </c>
      <c r="AF587" s="11" t="n">
        <v>96.439</v>
      </c>
      <c r="AG587" s="11" t="n">
        <v>47.786</v>
      </c>
      <c r="AH587" s="11" t="n">
        <f aca="false">SUM(AB587:AG587)</f>
        <v>635.474</v>
      </c>
      <c r="AI587" s="12" t="s">
        <v>1192</v>
      </c>
    </row>
    <row r="588" customFormat="false" ht="15" hidden="false" customHeight="false" outlineLevel="0" collapsed="false">
      <c r="A588" s="8" t="s">
        <v>1269</v>
      </c>
      <c r="B588" s="12" t="s">
        <v>1270</v>
      </c>
      <c r="C588" s="8" t="s">
        <v>1271</v>
      </c>
      <c r="D588" s="12" t="s">
        <v>1272</v>
      </c>
      <c r="E588" s="10" t="str">
        <f aca="true">IFERROR(IF(INDEX(INDIRECT("'"&amp;$AI588&amp;"'!$E$2:$E$118"),MATCH($A588,INDIRECT("'"&amp;$AI588&amp;"'!$A$2:$A$118"),0))="","",INDEX(INDIRECT("'"&amp;$AI588&amp;"'!$E$2:$E$118"),MATCH($A588,INDIRECT("'"&amp;$AI588&amp;"'!$A$2:$A$118"),0))),"")</f>
        <v/>
      </c>
      <c r="F588" s="9" t="str">
        <f aca="false">IF($E588="","",IFERROR(INDEX(担当者マスタ!$B$2:$B$101,MATCH($E588,担当者マスタ!$A$2:$A$101,0)),"※マスタ未登録"))</f>
        <v/>
      </c>
      <c r="G588" s="11" t="n">
        <v>525.78</v>
      </c>
      <c r="H588" s="11" t="n">
        <v>628.263</v>
      </c>
      <c r="I588" s="11" t="n">
        <v>707.48</v>
      </c>
      <c r="J588" s="11" t="n">
        <v>687.09</v>
      </c>
      <c r="K588" s="11" t="n">
        <v>948.98</v>
      </c>
      <c r="L588" s="11" t="n">
        <v>834.972</v>
      </c>
      <c r="M588" s="11" t="n">
        <f aca="false">SUM(G588:L588)</f>
        <v>4332.565</v>
      </c>
      <c r="N588" s="11" t="n">
        <v>284.751</v>
      </c>
      <c r="O588" s="11" t="n">
        <v>412.73</v>
      </c>
      <c r="P588" s="11" t="n">
        <v>399.469</v>
      </c>
      <c r="Q588" s="11" t="n">
        <v>390.432</v>
      </c>
      <c r="R588" s="11" t="n">
        <v>734.144</v>
      </c>
      <c r="S588" s="11" t="n">
        <v>536.921</v>
      </c>
      <c r="T588" s="11" t="n">
        <f aca="false">SUM(N588:S588)</f>
        <v>2758.447</v>
      </c>
      <c r="U588" s="11" t="n">
        <v>529.547</v>
      </c>
      <c r="V588" s="11" t="n">
        <v>834.739</v>
      </c>
      <c r="W588" s="11" t="n">
        <v>929.941</v>
      </c>
      <c r="X588" s="11" t="n">
        <v>654.036</v>
      </c>
      <c r="Y588" s="11" t="n">
        <v>817.589</v>
      </c>
      <c r="Z588" s="11" t="n">
        <v>607.232</v>
      </c>
      <c r="AA588" s="11" t="n">
        <f aca="false">SUM(U588:Z588)</f>
        <v>4373.084</v>
      </c>
      <c r="AB588" s="11" t="n">
        <v>430.158</v>
      </c>
      <c r="AC588" s="11" t="n">
        <v>660.75</v>
      </c>
      <c r="AD588" s="11" t="n">
        <v>647.324</v>
      </c>
      <c r="AE588" s="11" t="n">
        <v>465.198</v>
      </c>
      <c r="AF588" s="11" t="n">
        <v>580.017</v>
      </c>
      <c r="AG588" s="11" t="n">
        <v>348.719</v>
      </c>
      <c r="AH588" s="11" t="n">
        <f aca="false">SUM(AB588:AG588)</f>
        <v>3132.166</v>
      </c>
      <c r="AI588" s="12" t="s">
        <v>60</v>
      </c>
    </row>
    <row r="589" customFormat="false" ht="15" hidden="false" customHeight="false" outlineLevel="0" collapsed="false">
      <c r="A589" s="8" t="s">
        <v>1273</v>
      </c>
      <c r="B589" s="9" t="s">
        <v>1274</v>
      </c>
      <c r="C589" s="8" t="s">
        <v>1275</v>
      </c>
      <c r="D589" s="9" t="s">
        <v>1276</v>
      </c>
      <c r="E589" s="10" t="str">
        <f aca="true">IFERROR(IF(INDEX(INDIRECT("'"&amp;$AI589&amp;"'!$E$2:$E$118"),MATCH($A589,INDIRECT("'"&amp;$AI589&amp;"'!$A$2:$A$118"),0))="","",INDEX(INDIRECT("'"&amp;$AI589&amp;"'!$E$2:$E$118"),MATCH($A589,INDIRECT("'"&amp;$AI589&amp;"'!$A$2:$A$118"),0))),"")</f>
        <v/>
      </c>
      <c r="F589" s="9" t="str">
        <f aca="false">IF($E589="","",IFERROR(INDEX(担当者マスタ!$B$2:$B$101,MATCH($E589,担当者マスタ!$A$2:$A$101,0)),"※マスタ未登録"))</f>
        <v/>
      </c>
      <c r="G589" s="11" t="n">
        <v>0</v>
      </c>
      <c r="H589" s="11" t="n">
        <v>201.8</v>
      </c>
      <c r="I589" s="11" t="n">
        <v>150</v>
      </c>
      <c r="J589" s="11" t="n">
        <v>0</v>
      </c>
      <c r="K589" s="11" t="n">
        <v>165</v>
      </c>
      <c r="L589" s="11" t="n">
        <v>0</v>
      </c>
      <c r="M589" s="11" t="n">
        <f aca="false">SUM(G589:L589)</f>
        <v>516.8</v>
      </c>
      <c r="N589" s="11" t="n">
        <v>0</v>
      </c>
      <c r="O589" s="11" t="n">
        <v>40.52</v>
      </c>
      <c r="P589" s="11" t="n">
        <v>150</v>
      </c>
      <c r="Q589" s="11" t="n">
        <v>0</v>
      </c>
      <c r="R589" s="11" t="n">
        <v>30</v>
      </c>
      <c r="S589" s="11" t="n">
        <v>0</v>
      </c>
      <c r="T589" s="11" t="n">
        <f aca="false">SUM(N589:S589)</f>
        <v>220.52</v>
      </c>
      <c r="U589" s="11" t="n">
        <v>165</v>
      </c>
      <c r="V589" s="11" t="n">
        <v>0</v>
      </c>
      <c r="W589" s="11" t="n">
        <v>0</v>
      </c>
      <c r="X589" s="11" t="n">
        <v>0</v>
      </c>
      <c r="Y589" s="11" t="n">
        <v>6.5</v>
      </c>
      <c r="Z589" s="11" t="n">
        <v>0</v>
      </c>
      <c r="AA589" s="11" t="n">
        <f aca="false">SUM(U589:Z589)</f>
        <v>171.5</v>
      </c>
      <c r="AB589" s="11" t="n">
        <v>30</v>
      </c>
      <c r="AC589" s="11" t="n">
        <v>0</v>
      </c>
      <c r="AD589" s="11" t="n">
        <v>0</v>
      </c>
      <c r="AE589" s="11" t="n">
        <v>0</v>
      </c>
      <c r="AF589" s="11" t="n">
        <v>6.5</v>
      </c>
      <c r="AG589" s="11" t="n">
        <v>0</v>
      </c>
      <c r="AH589" s="11" t="n">
        <f aca="false">SUM(AB589:AG589)</f>
        <v>36.5</v>
      </c>
      <c r="AI589" s="12" t="s">
        <v>60</v>
      </c>
    </row>
    <row r="590" customFormat="false" ht="15" hidden="false" customHeight="false" outlineLevel="0" collapsed="false">
      <c r="A590" s="8" t="s">
        <v>1277</v>
      </c>
      <c r="B590" s="9" t="s">
        <v>1278</v>
      </c>
      <c r="C590" s="8" t="s">
        <v>1275</v>
      </c>
      <c r="D590" s="9" t="s">
        <v>1276</v>
      </c>
      <c r="E590" s="10" t="str">
        <f aca="true">IFERROR(IF(INDEX(INDIRECT("'"&amp;$AI590&amp;"'!$E$2:$E$118"),MATCH($A590,INDIRECT("'"&amp;$AI590&amp;"'!$A$2:$A$118"),0))="","",INDEX(INDIRECT("'"&amp;$AI590&amp;"'!$E$2:$E$118"),MATCH($A590,INDIRECT("'"&amp;$AI590&amp;"'!$A$2:$A$118"),0))),"")</f>
        <v/>
      </c>
      <c r="F590" s="9" t="str">
        <f aca="false">IF($E590="","",IFERROR(INDEX(担当者マスタ!$B$2:$B$101,MATCH($E590,担当者マスタ!$A$2:$A$101,0)),"※マスタ未登録"))</f>
        <v/>
      </c>
      <c r="G590" s="11" t="n">
        <v>11181.448</v>
      </c>
      <c r="H590" s="11" t="n">
        <v>9787.562</v>
      </c>
      <c r="I590" s="11" t="n">
        <v>3937.089</v>
      </c>
      <c r="J590" s="11" t="n">
        <v>4402.895</v>
      </c>
      <c r="K590" s="11" t="n">
        <v>5739.73</v>
      </c>
      <c r="L590" s="11" t="n">
        <v>6618.195</v>
      </c>
      <c r="M590" s="11" t="n">
        <f aca="false">SUM(G590:L590)</f>
        <v>41666.919</v>
      </c>
      <c r="N590" s="11" t="n">
        <v>2192.469</v>
      </c>
      <c r="O590" s="11" t="n">
        <v>2024.613</v>
      </c>
      <c r="P590" s="11" t="n">
        <v>799.796</v>
      </c>
      <c r="Q590" s="11" t="n">
        <v>930.288</v>
      </c>
      <c r="R590" s="11" t="n">
        <v>1182.906</v>
      </c>
      <c r="S590" s="11" t="n">
        <v>1412.294</v>
      </c>
      <c r="T590" s="11" t="n">
        <f aca="false">SUM(N590:S590)</f>
        <v>8542.366</v>
      </c>
      <c r="U590" s="11" t="n">
        <v>11002.024</v>
      </c>
      <c r="V590" s="11" t="n">
        <v>12709.28</v>
      </c>
      <c r="W590" s="11" t="n">
        <v>7292.45</v>
      </c>
      <c r="X590" s="11" t="n">
        <v>4099.222</v>
      </c>
      <c r="Y590" s="11" t="n">
        <v>5195.947</v>
      </c>
      <c r="Z590" s="11" t="n">
        <v>10845.253</v>
      </c>
      <c r="AA590" s="11" t="n">
        <f aca="false">SUM(U590:Z590)</f>
        <v>51144.176</v>
      </c>
      <c r="AB590" s="11" t="n">
        <v>2495.362</v>
      </c>
      <c r="AC590" s="11" t="n">
        <v>2948.673</v>
      </c>
      <c r="AD590" s="11" t="n">
        <v>1710.851</v>
      </c>
      <c r="AE590" s="11" t="n">
        <v>945.286</v>
      </c>
      <c r="AF590" s="11" t="n">
        <v>1266.53</v>
      </c>
      <c r="AG590" s="11" t="n">
        <v>2687.809</v>
      </c>
      <c r="AH590" s="11" t="n">
        <f aca="false">SUM(AB590:AG590)</f>
        <v>12054.511</v>
      </c>
      <c r="AI590" s="12" t="s">
        <v>60</v>
      </c>
    </row>
    <row r="591" customFormat="false" ht="15" hidden="false" customHeight="false" outlineLevel="0" collapsed="false">
      <c r="A591" s="8" t="s">
        <v>1279</v>
      </c>
      <c r="B591" s="9" t="s">
        <v>1280</v>
      </c>
      <c r="C591" s="8" t="s">
        <v>1281</v>
      </c>
      <c r="D591" s="12" t="s">
        <v>1282</v>
      </c>
      <c r="E591" s="10" t="str">
        <f aca="true">IFERROR(IF(INDEX(INDIRECT("'"&amp;$AI591&amp;"'!$E$2:$E$118"),MATCH($A591,INDIRECT("'"&amp;$AI591&amp;"'!$A$2:$A$118"),0))="","",INDEX(INDIRECT("'"&amp;$AI591&amp;"'!$E$2:$E$118"),MATCH($A591,INDIRECT("'"&amp;$AI591&amp;"'!$A$2:$A$118"),0))),"")</f>
        <v/>
      </c>
      <c r="F591" s="9" t="str">
        <f aca="false">IF($E591="","",IFERROR(INDEX(担当者マスタ!$B$2:$B$101,MATCH($E591,担当者マスタ!$A$2:$A$101,0)),"※マスタ未登録"))</f>
        <v/>
      </c>
      <c r="G591" s="11" t="n">
        <v>959.76</v>
      </c>
      <c r="H591" s="11" t="n">
        <v>1128.58</v>
      </c>
      <c r="I591" s="11" t="n">
        <v>497.66</v>
      </c>
      <c r="J591" s="11" t="n">
        <v>489.04</v>
      </c>
      <c r="K591" s="11" t="n">
        <v>599.84</v>
      </c>
      <c r="L591" s="11" t="n">
        <v>781.28</v>
      </c>
      <c r="M591" s="11" t="n">
        <f aca="false">SUM(G591:L591)</f>
        <v>4456.16</v>
      </c>
      <c r="N591" s="11" t="n">
        <v>361.574</v>
      </c>
      <c r="O591" s="11" t="n">
        <v>577.482</v>
      </c>
      <c r="P591" s="11" t="n">
        <v>200.481</v>
      </c>
      <c r="Q591" s="11" t="n">
        <v>146.504</v>
      </c>
      <c r="R591" s="11" t="n">
        <v>247.664</v>
      </c>
      <c r="S591" s="11" t="n">
        <v>328.86</v>
      </c>
      <c r="T591" s="11" t="n">
        <f aca="false">SUM(N591:S591)</f>
        <v>1862.565</v>
      </c>
      <c r="U591" s="11" t="n">
        <v>972.52</v>
      </c>
      <c r="V591" s="11" t="n">
        <v>1096.88</v>
      </c>
      <c r="W591" s="11" t="n">
        <v>671.92</v>
      </c>
      <c r="X591" s="11" t="n">
        <v>298.6</v>
      </c>
      <c r="Y591" s="11" t="n">
        <v>542.18</v>
      </c>
      <c r="Z591" s="11" t="n">
        <v>1110.38</v>
      </c>
      <c r="AA591" s="11" t="n">
        <f aca="false">SUM(U591:Z591)</f>
        <v>4692.48</v>
      </c>
      <c r="AB591" s="11" t="n">
        <v>413.851</v>
      </c>
      <c r="AC591" s="11" t="n">
        <v>471.414</v>
      </c>
      <c r="AD591" s="11" t="n">
        <v>265.663</v>
      </c>
      <c r="AE591" s="11" t="n">
        <v>61.76</v>
      </c>
      <c r="AF591" s="11" t="n">
        <v>183.971</v>
      </c>
      <c r="AG591" s="11" t="n">
        <v>453.31</v>
      </c>
      <c r="AH591" s="11" t="n">
        <f aca="false">SUM(AB591:AG591)</f>
        <v>1849.969</v>
      </c>
      <c r="AI591" s="12" t="s">
        <v>60</v>
      </c>
    </row>
    <row r="592" customFormat="false" ht="15" hidden="false" customHeight="false" outlineLevel="0" collapsed="false">
      <c r="A592" s="8" t="s">
        <v>1283</v>
      </c>
      <c r="B592" s="9" t="s">
        <v>1284</v>
      </c>
      <c r="C592" s="8" t="s">
        <v>1281</v>
      </c>
      <c r="D592" s="12" t="s">
        <v>1282</v>
      </c>
      <c r="E592" s="10" t="str">
        <f aca="true">IFERROR(IF(INDEX(INDIRECT("'"&amp;$AI592&amp;"'!$E$2:$E$118"),MATCH($A592,INDIRECT("'"&amp;$AI592&amp;"'!$A$2:$A$118"),0))="","",INDEX(INDIRECT("'"&amp;$AI592&amp;"'!$E$2:$E$118"),MATCH($A592,INDIRECT("'"&amp;$AI592&amp;"'!$A$2:$A$118"),0))),"")</f>
        <v/>
      </c>
      <c r="F592" s="9" t="str">
        <f aca="false">IF($E592="","",IFERROR(INDEX(担当者マスタ!$B$2:$B$101,MATCH($E592,担当者マスタ!$A$2:$A$101,0)),"※マスタ未登録"))</f>
        <v/>
      </c>
      <c r="G592" s="11" t="n">
        <v>533.52</v>
      </c>
      <c r="H592" s="11" t="n">
        <v>470.34</v>
      </c>
      <c r="I592" s="11" t="n">
        <v>184.86</v>
      </c>
      <c r="J592" s="11" t="n">
        <v>222.3</v>
      </c>
      <c r="K592" s="11" t="n">
        <v>175.5</v>
      </c>
      <c r="L592" s="11" t="n">
        <v>250.2</v>
      </c>
      <c r="M592" s="11" t="n">
        <f aca="false">SUM(G592:L592)</f>
        <v>1836.72</v>
      </c>
      <c r="N592" s="11" t="n">
        <v>533.52</v>
      </c>
      <c r="O592" s="11" t="n">
        <v>470.34</v>
      </c>
      <c r="P592" s="11" t="n">
        <v>184.86</v>
      </c>
      <c r="Q592" s="11" t="n">
        <v>222.3</v>
      </c>
      <c r="R592" s="11" t="n">
        <v>175.5</v>
      </c>
      <c r="S592" s="11" t="n">
        <v>250.2</v>
      </c>
      <c r="T592" s="11" t="n">
        <f aca="false">SUM(N592:S592)</f>
        <v>1836.72</v>
      </c>
      <c r="U592" s="11" t="n">
        <v>487.5</v>
      </c>
      <c r="V592" s="11" t="n">
        <v>474.96</v>
      </c>
      <c r="W592" s="11" t="n">
        <v>253.2</v>
      </c>
      <c r="X592" s="11" t="n">
        <v>154.44</v>
      </c>
      <c r="Y592" s="11" t="n">
        <v>184.86</v>
      </c>
      <c r="Z592" s="11" t="n">
        <v>382.02</v>
      </c>
      <c r="AA592" s="11" t="n">
        <f aca="false">SUM(U592:Z592)</f>
        <v>1936.98</v>
      </c>
      <c r="AB592" s="11" t="n">
        <v>487.5</v>
      </c>
      <c r="AC592" s="11" t="n">
        <v>474.96</v>
      </c>
      <c r="AD592" s="11" t="n">
        <v>253.2</v>
      </c>
      <c r="AE592" s="11" t="n">
        <v>154.44</v>
      </c>
      <c r="AF592" s="11" t="n">
        <v>184.86</v>
      </c>
      <c r="AG592" s="11" t="n">
        <v>382.02</v>
      </c>
      <c r="AH592" s="11" t="n">
        <f aca="false">SUM(AB592:AG592)</f>
        <v>1936.98</v>
      </c>
      <c r="AI592" s="12" t="s">
        <v>60</v>
      </c>
    </row>
    <row r="593" customFormat="false" ht="15" hidden="false" customHeight="false" outlineLevel="0" collapsed="false">
      <c r="A593" s="8" t="s">
        <v>1285</v>
      </c>
      <c r="B593" s="9" t="s">
        <v>1286</v>
      </c>
      <c r="C593" s="8" t="s">
        <v>1281</v>
      </c>
      <c r="D593" s="12" t="s">
        <v>1282</v>
      </c>
      <c r="E593" s="10" t="str">
        <f aca="true">IFERROR(IF(INDEX(INDIRECT("'"&amp;$AI593&amp;"'!$E$2:$E$118"),MATCH($A593,INDIRECT("'"&amp;$AI593&amp;"'!$A$2:$A$118"),0))="","",INDEX(INDIRECT("'"&amp;$AI593&amp;"'!$E$2:$E$118"),MATCH($A593,INDIRECT("'"&amp;$AI593&amp;"'!$A$2:$A$118"),0))),"")</f>
        <v/>
      </c>
      <c r="F593" s="9" t="str">
        <f aca="false">IF($E593="","",IFERROR(INDEX(担当者マスタ!$B$2:$B$101,MATCH($E593,担当者マスタ!$A$2:$A$101,0)),"※マスタ未登録"))</f>
        <v/>
      </c>
      <c r="G593" s="11" t="n">
        <v>15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f aca="false">SUM(G593:L593)</f>
        <v>15</v>
      </c>
      <c r="N593" s="11" t="n">
        <v>15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f aca="false">SUM(N593:S593)</f>
        <v>15</v>
      </c>
      <c r="U593" s="11" t="n">
        <v>0</v>
      </c>
      <c r="V593" s="11" t="n">
        <v>0</v>
      </c>
      <c r="W593" s="11" t="n">
        <v>0</v>
      </c>
      <c r="X593" s="11" t="n">
        <v>0</v>
      </c>
      <c r="Y593" s="11" t="n">
        <v>0</v>
      </c>
      <c r="Z593" s="11" t="n">
        <v>7.5</v>
      </c>
      <c r="AA593" s="11" t="n">
        <f aca="false">SUM(U593:Z593)</f>
        <v>7.5</v>
      </c>
      <c r="AB593" s="11" t="n">
        <v>0</v>
      </c>
      <c r="AC593" s="11" t="n">
        <v>0</v>
      </c>
      <c r="AD593" s="11" t="n">
        <v>0</v>
      </c>
      <c r="AE593" s="11" t="n">
        <v>0</v>
      </c>
      <c r="AF593" s="11" t="n">
        <v>0</v>
      </c>
      <c r="AG593" s="11" t="n">
        <v>7.5</v>
      </c>
      <c r="AH593" s="11" t="n">
        <f aca="false">SUM(AB593:AG593)</f>
        <v>7.5</v>
      </c>
      <c r="AI593" s="12" t="s">
        <v>60</v>
      </c>
    </row>
    <row r="594" customFormat="false" ht="15" hidden="false" customHeight="false" outlineLevel="0" collapsed="false">
      <c r="A594" s="8" t="s">
        <v>1287</v>
      </c>
      <c r="B594" s="9" t="s">
        <v>1288</v>
      </c>
      <c r="C594" s="8" t="s">
        <v>1281</v>
      </c>
      <c r="D594" s="12" t="s">
        <v>1282</v>
      </c>
      <c r="E594" s="10" t="str">
        <f aca="true">IFERROR(IF(INDEX(INDIRECT("'"&amp;$AI594&amp;"'!$E$2:$E$118"),MATCH($A594,INDIRECT("'"&amp;$AI594&amp;"'!$A$2:$A$118"),0))="","",INDEX(INDIRECT("'"&amp;$AI594&amp;"'!$E$2:$E$118"),MATCH($A594,INDIRECT("'"&amp;$AI594&amp;"'!$A$2:$A$118"),0))),"")</f>
        <v/>
      </c>
      <c r="F594" s="9" t="str">
        <f aca="false">IF($E594="","",IFERROR(INDEX(担当者マスタ!$B$2:$B$101,MATCH($E594,担当者マスタ!$A$2:$A$101,0)),"※マスタ未登録"))</f>
        <v/>
      </c>
      <c r="G594" s="11" t="n">
        <v>18</v>
      </c>
      <c r="H594" s="11" t="n">
        <v>12</v>
      </c>
      <c r="I594" s="11" t="n">
        <v>0</v>
      </c>
      <c r="J594" s="11" t="n">
        <v>4</v>
      </c>
      <c r="K594" s="11" t="n">
        <v>4</v>
      </c>
      <c r="L594" s="11" t="n">
        <v>6</v>
      </c>
      <c r="M594" s="11" t="n">
        <f aca="false">SUM(G594:L594)</f>
        <v>44</v>
      </c>
      <c r="N594" s="11" t="n">
        <v>18</v>
      </c>
      <c r="O594" s="11" t="n">
        <v>12</v>
      </c>
      <c r="P594" s="11" t="n">
        <v>0</v>
      </c>
      <c r="Q594" s="11" t="n">
        <v>4</v>
      </c>
      <c r="R594" s="11" t="n">
        <v>4</v>
      </c>
      <c r="S594" s="11" t="n">
        <v>6</v>
      </c>
      <c r="T594" s="11" t="n">
        <f aca="false">SUM(N594:S594)</f>
        <v>44</v>
      </c>
      <c r="U594" s="11" t="n">
        <v>16</v>
      </c>
      <c r="V594" s="11" t="n">
        <v>20</v>
      </c>
      <c r="W594" s="11" t="n">
        <v>14</v>
      </c>
      <c r="X594" s="11" t="n">
        <v>4</v>
      </c>
      <c r="Y594" s="11" t="n">
        <v>6</v>
      </c>
      <c r="Z594" s="11" t="n">
        <v>10</v>
      </c>
      <c r="AA594" s="11" t="n">
        <f aca="false">SUM(U594:Z594)</f>
        <v>70</v>
      </c>
      <c r="AB594" s="11" t="n">
        <v>16</v>
      </c>
      <c r="AC594" s="11" t="n">
        <v>20</v>
      </c>
      <c r="AD594" s="11" t="n">
        <v>14</v>
      </c>
      <c r="AE594" s="11" t="n">
        <v>4</v>
      </c>
      <c r="AF594" s="11" t="n">
        <v>6</v>
      </c>
      <c r="AG594" s="11" t="n">
        <v>10</v>
      </c>
      <c r="AH594" s="11" t="n">
        <f aca="false">SUM(AB594:AG594)</f>
        <v>70</v>
      </c>
      <c r="AI594" s="12" t="s">
        <v>60</v>
      </c>
    </row>
    <row r="595" customFormat="false" ht="15" hidden="false" customHeight="false" outlineLevel="0" collapsed="false">
      <c r="A595" s="8" t="s">
        <v>1289</v>
      </c>
      <c r="B595" s="9" t="s">
        <v>1290</v>
      </c>
      <c r="C595" s="8" t="s">
        <v>1281</v>
      </c>
      <c r="D595" s="12" t="s">
        <v>1282</v>
      </c>
      <c r="E595" s="10" t="str">
        <f aca="true">IFERROR(IF(INDEX(INDIRECT("'"&amp;$AI595&amp;"'!$E$2:$E$118"),MATCH($A595,INDIRECT("'"&amp;$AI595&amp;"'!$A$2:$A$118"),0))="","",INDEX(INDIRECT("'"&amp;$AI595&amp;"'!$E$2:$E$118"),MATCH($A595,INDIRECT("'"&amp;$AI595&amp;"'!$A$2:$A$118"),0))),"")</f>
        <v/>
      </c>
      <c r="F595" s="9" t="str">
        <f aca="false">IF($E595="","",IFERROR(INDEX(担当者マスタ!$B$2:$B$101,MATCH($E595,担当者マスタ!$A$2:$A$101,0)),"※マスタ未登録"))</f>
        <v/>
      </c>
      <c r="G595" s="11" t="n">
        <v>1654.8</v>
      </c>
      <c r="H595" s="11" t="n">
        <v>1977.93</v>
      </c>
      <c r="I595" s="11" t="n">
        <v>798.6</v>
      </c>
      <c r="J595" s="11" t="n">
        <v>829.805</v>
      </c>
      <c r="K595" s="11" t="n">
        <v>987.265</v>
      </c>
      <c r="L595" s="11" t="n">
        <v>1251.6</v>
      </c>
      <c r="M595" s="11" t="n">
        <f aca="false">SUM(G595:L595)</f>
        <v>7500</v>
      </c>
      <c r="N595" s="11" t="n">
        <v>623.422</v>
      </c>
      <c r="O595" s="11" t="n">
        <v>1012.088</v>
      </c>
      <c r="P595" s="11" t="n">
        <v>321.716</v>
      </c>
      <c r="Q595" s="11" t="n">
        <v>248.59</v>
      </c>
      <c r="R595" s="11" t="n">
        <v>407.628</v>
      </c>
      <c r="S595" s="11" t="n">
        <v>526.832</v>
      </c>
      <c r="T595" s="11" t="n">
        <f aca="false">SUM(N595:S595)</f>
        <v>3140.276</v>
      </c>
      <c r="U595" s="11" t="n">
        <v>1741.14</v>
      </c>
      <c r="V595" s="11" t="n">
        <v>1939.56</v>
      </c>
      <c r="W595" s="11" t="n">
        <v>1147.86</v>
      </c>
      <c r="X595" s="11" t="n">
        <v>539.79</v>
      </c>
      <c r="Y595" s="11" t="n">
        <v>906.63</v>
      </c>
      <c r="Z595" s="11" t="n">
        <v>1817.76</v>
      </c>
      <c r="AA595" s="11" t="n">
        <f aca="false">SUM(U595:Z595)</f>
        <v>8092.74</v>
      </c>
      <c r="AB595" s="11" t="n">
        <v>740.934</v>
      </c>
      <c r="AC595" s="11" t="n">
        <v>833.579</v>
      </c>
      <c r="AD595" s="11" t="n">
        <v>453.841</v>
      </c>
      <c r="AE595" s="11" t="n">
        <v>111.646</v>
      </c>
      <c r="AF595" s="11" t="n">
        <v>307.637</v>
      </c>
      <c r="AG595" s="11" t="n">
        <v>742.098</v>
      </c>
      <c r="AH595" s="11" t="n">
        <f aca="false">SUM(AB595:AG595)</f>
        <v>3189.735</v>
      </c>
      <c r="AI595" s="12" t="s">
        <v>60</v>
      </c>
    </row>
    <row r="596" customFormat="false" ht="15" hidden="false" customHeight="false" outlineLevel="0" collapsed="false">
      <c r="A596" s="8" t="s">
        <v>1291</v>
      </c>
      <c r="B596" s="9" t="s">
        <v>1292</v>
      </c>
      <c r="C596" s="8" t="s">
        <v>1281</v>
      </c>
      <c r="D596" s="12" t="s">
        <v>1282</v>
      </c>
      <c r="E596" s="10" t="str">
        <f aca="true">IFERROR(IF(INDEX(INDIRECT("'"&amp;$AI596&amp;"'!$E$2:$E$118"),MATCH($A596,INDIRECT("'"&amp;$AI596&amp;"'!$A$2:$A$118"),0))="","",INDEX(INDIRECT("'"&amp;$AI596&amp;"'!$E$2:$E$118"),MATCH($A596,INDIRECT("'"&amp;$AI596&amp;"'!$A$2:$A$118"),0))),"")</f>
        <v/>
      </c>
      <c r="F596" s="9" t="str">
        <f aca="false">IF($E596="","",IFERROR(INDEX(担当者マスタ!$B$2:$B$101,MATCH($E596,担当者マスタ!$A$2:$A$101,0)),"※マスタ未登録"))</f>
        <v/>
      </c>
      <c r="G596" s="11" t="n">
        <v>324.02</v>
      </c>
      <c r="H596" s="11" t="n">
        <v>342.285</v>
      </c>
      <c r="I596" s="11" t="n">
        <v>126.905</v>
      </c>
      <c r="J596" s="11" t="n">
        <v>169.83</v>
      </c>
      <c r="K596" s="11" t="n">
        <v>194.395</v>
      </c>
      <c r="L596" s="11" t="n">
        <v>235.235</v>
      </c>
      <c r="M596" s="11" t="n">
        <f aca="false">SUM(G596:L596)</f>
        <v>1392.67</v>
      </c>
      <c r="N596" s="11" t="n">
        <v>324.02</v>
      </c>
      <c r="O596" s="11" t="n">
        <v>342.285</v>
      </c>
      <c r="P596" s="11" t="n">
        <v>126.905</v>
      </c>
      <c r="Q596" s="11" t="n">
        <v>169.83</v>
      </c>
      <c r="R596" s="11" t="n">
        <v>194.395</v>
      </c>
      <c r="S596" s="11" t="n">
        <v>235.235</v>
      </c>
      <c r="T596" s="11" t="n">
        <f aca="false">SUM(N596:S596)</f>
        <v>1392.67</v>
      </c>
      <c r="U596" s="11" t="n">
        <v>404.685</v>
      </c>
      <c r="V596" s="11" t="n">
        <v>382.16</v>
      </c>
      <c r="W596" s="11" t="n">
        <v>183.675</v>
      </c>
      <c r="X596" s="11" t="n">
        <v>98.515</v>
      </c>
      <c r="Y596" s="11" t="n">
        <v>161.67</v>
      </c>
      <c r="Z596" s="11" t="n">
        <v>260.95</v>
      </c>
      <c r="AA596" s="11" t="n">
        <f aca="false">SUM(U596:Z596)</f>
        <v>1491.655</v>
      </c>
      <c r="AB596" s="11" t="n">
        <v>404.685</v>
      </c>
      <c r="AC596" s="11" t="n">
        <v>382.16</v>
      </c>
      <c r="AD596" s="11" t="n">
        <v>183.675</v>
      </c>
      <c r="AE596" s="11" t="n">
        <v>98.515</v>
      </c>
      <c r="AF596" s="11" t="n">
        <v>161.67</v>
      </c>
      <c r="AG596" s="11" t="n">
        <v>260.95</v>
      </c>
      <c r="AH596" s="11" t="n">
        <f aca="false">SUM(AB596:AG596)</f>
        <v>1491.655</v>
      </c>
      <c r="AI596" s="12" t="s">
        <v>60</v>
      </c>
    </row>
    <row r="597" customFormat="false" ht="15" hidden="false" customHeight="false" outlineLevel="0" collapsed="false">
      <c r="A597" s="8" t="s">
        <v>1293</v>
      </c>
      <c r="B597" s="9" t="s">
        <v>1294</v>
      </c>
      <c r="C597" s="8" t="s">
        <v>1281</v>
      </c>
      <c r="D597" s="12" t="s">
        <v>1282</v>
      </c>
      <c r="E597" s="10" t="str">
        <f aca="true">IFERROR(IF(INDEX(INDIRECT("'"&amp;$AI597&amp;"'!$E$2:$E$118"),MATCH($A597,INDIRECT("'"&amp;$AI597&amp;"'!$A$2:$A$118"),0))="","",INDEX(INDIRECT("'"&amp;$AI597&amp;"'!$E$2:$E$118"),MATCH($A597,INDIRECT("'"&amp;$AI597&amp;"'!$A$2:$A$118"),0))),"")</f>
        <v/>
      </c>
      <c r="F597" s="9" t="str">
        <f aca="false">IF($E597="","",IFERROR(INDEX(担当者マスタ!$B$2:$B$101,MATCH($E597,担当者マスタ!$A$2:$A$101,0)),"※マスタ未登録"))</f>
        <v/>
      </c>
      <c r="G597" s="11" t="n">
        <v>208</v>
      </c>
      <c r="H597" s="11" t="n">
        <v>104</v>
      </c>
      <c r="I597" s="11" t="n">
        <v>96</v>
      </c>
      <c r="J597" s="11" t="n">
        <v>86</v>
      </c>
      <c r="K597" s="11" t="n">
        <v>72</v>
      </c>
      <c r="L597" s="11" t="n">
        <v>94</v>
      </c>
      <c r="M597" s="11" t="n">
        <f aca="false">SUM(G597:L597)</f>
        <v>660</v>
      </c>
      <c r="N597" s="11" t="n">
        <v>208</v>
      </c>
      <c r="O597" s="11" t="n">
        <v>104</v>
      </c>
      <c r="P597" s="11" t="n">
        <v>96</v>
      </c>
      <c r="Q597" s="11" t="n">
        <v>86</v>
      </c>
      <c r="R597" s="11" t="n">
        <v>72</v>
      </c>
      <c r="S597" s="11" t="n">
        <v>94</v>
      </c>
      <c r="T597" s="11" t="n">
        <f aca="false">SUM(N597:S597)</f>
        <v>660</v>
      </c>
      <c r="U597" s="11" t="n">
        <v>156</v>
      </c>
      <c r="V597" s="11" t="n">
        <v>151</v>
      </c>
      <c r="W597" s="11" t="n">
        <v>128</v>
      </c>
      <c r="X597" s="11" t="n">
        <v>64</v>
      </c>
      <c r="Y597" s="11" t="n">
        <v>99</v>
      </c>
      <c r="Z597" s="11" t="n">
        <v>162</v>
      </c>
      <c r="AA597" s="11" t="n">
        <f aca="false">SUM(U597:Z597)</f>
        <v>760</v>
      </c>
      <c r="AB597" s="11" t="n">
        <v>156</v>
      </c>
      <c r="AC597" s="11" t="n">
        <v>151</v>
      </c>
      <c r="AD597" s="11" t="n">
        <v>128</v>
      </c>
      <c r="AE597" s="11" t="n">
        <v>64</v>
      </c>
      <c r="AF597" s="11" t="n">
        <v>99</v>
      </c>
      <c r="AG597" s="11" t="n">
        <v>162</v>
      </c>
      <c r="AH597" s="11" t="n">
        <f aca="false">SUM(AB597:AG597)</f>
        <v>760</v>
      </c>
      <c r="AI597" s="12" t="s">
        <v>60</v>
      </c>
    </row>
    <row r="598" customFormat="false" ht="15" hidden="false" customHeight="false" outlineLevel="0" collapsed="false">
      <c r="A598" s="8" t="s">
        <v>1295</v>
      </c>
      <c r="B598" s="9" t="s">
        <v>1296</v>
      </c>
      <c r="C598" s="8" t="s">
        <v>1281</v>
      </c>
      <c r="D598" s="12" t="s">
        <v>1282</v>
      </c>
      <c r="E598" s="10" t="str">
        <f aca="true">IFERROR(IF(INDEX(INDIRECT("'"&amp;$AI598&amp;"'!$E$2:$E$118"),MATCH($A598,INDIRECT("'"&amp;$AI598&amp;"'!$A$2:$A$118"),0))="","",INDEX(INDIRECT("'"&amp;$AI598&amp;"'!$E$2:$E$118"),MATCH($A598,INDIRECT("'"&amp;$AI598&amp;"'!$A$2:$A$118"),0))),"")</f>
        <v/>
      </c>
      <c r="F598" s="9" t="str">
        <f aca="false">IF($E598="","",IFERROR(INDEX(担当者マスタ!$B$2:$B$101,MATCH($E598,担当者マスタ!$A$2:$A$101,0)),"※マスタ未登録"))</f>
        <v/>
      </c>
      <c r="G598" s="11" t="n">
        <v>299.1</v>
      </c>
      <c r="H598" s="11" t="n">
        <v>282</v>
      </c>
      <c r="I598" s="11" t="n">
        <v>145.5</v>
      </c>
      <c r="J598" s="11" t="n">
        <v>193.5</v>
      </c>
      <c r="K598" s="11" t="n">
        <v>184.2</v>
      </c>
      <c r="L598" s="11" t="n">
        <v>244.2</v>
      </c>
      <c r="M598" s="11" t="n">
        <f aca="false">SUM(G598:L598)</f>
        <v>1348.5</v>
      </c>
      <c r="N598" s="11" t="n">
        <v>299.1</v>
      </c>
      <c r="O598" s="11" t="n">
        <v>282</v>
      </c>
      <c r="P598" s="11" t="n">
        <v>145.5</v>
      </c>
      <c r="Q598" s="11" t="n">
        <v>193.5</v>
      </c>
      <c r="R598" s="11" t="n">
        <v>184.2</v>
      </c>
      <c r="S598" s="11" t="n">
        <v>244.2</v>
      </c>
      <c r="T598" s="11" t="n">
        <f aca="false">SUM(N598:S598)</f>
        <v>1348.5</v>
      </c>
      <c r="U598" s="11" t="n">
        <v>252.6</v>
      </c>
      <c r="V598" s="11" t="n">
        <v>299.4</v>
      </c>
      <c r="W598" s="11" t="n">
        <v>181.8</v>
      </c>
      <c r="X598" s="11" t="n">
        <v>130.5</v>
      </c>
      <c r="Y598" s="11" t="n">
        <v>170.4</v>
      </c>
      <c r="Z598" s="11" t="n">
        <v>323.1</v>
      </c>
      <c r="AA598" s="11" t="n">
        <f aca="false">SUM(U598:Z598)</f>
        <v>1357.8</v>
      </c>
      <c r="AB598" s="11" t="n">
        <v>252.6</v>
      </c>
      <c r="AC598" s="11" t="n">
        <v>299.4</v>
      </c>
      <c r="AD598" s="11" t="n">
        <v>181.8</v>
      </c>
      <c r="AE598" s="11" t="n">
        <v>130.5</v>
      </c>
      <c r="AF598" s="11" t="n">
        <v>170.4</v>
      </c>
      <c r="AG598" s="11" t="n">
        <v>323.1</v>
      </c>
      <c r="AH598" s="11" t="n">
        <f aca="false">SUM(AB598:AG598)</f>
        <v>1357.8</v>
      </c>
      <c r="AI598" s="12" t="s">
        <v>60</v>
      </c>
    </row>
    <row r="599" customFormat="false" ht="15" hidden="false" customHeight="false" outlineLevel="0" collapsed="false">
      <c r="A599" s="8" t="s">
        <v>1297</v>
      </c>
      <c r="B599" s="12" t="s">
        <v>1298</v>
      </c>
      <c r="C599" s="8" t="s">
        <v>1281</v>
      </c>
      <c r="D599" s="12" t="s">
        <v>1282</v>
      </c>
      <c r="E599" s="10" t="str">
        <f aca="true">IFERROR(IF(INDEX(INDIRECT("'"&amp;$AI599&amp;"'!$E$2:$E$118"),MATCH($A599,INDIRECT("'"&amp;$AI599&amp;"'!$A$2:$A$118"),0))="","",INDEX(INDIRECT("'"&amp;$AI599&amp;"'!$E$2:$E$118"),MATCH($A599,INDIRECT("'"&amp;$AI599&amp;"'!$A$2:$A$118"),0))),"")</f>
        <v/>
      </c>
      <c r="F599" s="9" t="str">
        <f aca="false">IF($E599="","",IFERROR(INDEX(担当者マスタ!$B$2:$B$101,MATCH($E599,担当者マスタ!$A$2:$A$101,0)),"※マスタ未登録"))</f>
        <v/>
      </c>
      <c r="G599" s="11" t="n">
        <v>90.695</v>
      </c>
      <c r="H599" s="11" t="n">
        <v>95.2</v>
      </c>
      <c r="I599" s="11" t="n">
        <v>47.855</v>
      </c>
      <c r="J599" s="11" t="n">
        <v>62.22</v>
      </c>
      <c r="K599" s="11" t="n">
        <v>41.395</v>
      </c>
      <c r="L599" s="11" t="n">
        <v>62.815</v>
      </c>
      <c r="M599" s="11" t="n">
        <f aca="false">SUM(G599:L599)</f>
        <v>400.18</v>
      </c>
      <c r="N599" s="11" t="n">
        <v>90.695</v>
      </c>
      <c r="O599" s="11" t="n">
        <v>95.2</v>
      </c>
      <c r="P599" s="11" t="n">
        <v>47.855</v>
      </c>
      <c r="Q599" s="11" t="n">
        <v>62.22</v>
      </c>
      <c r="R599" s="11" t="n">
        <v>41.395</v>
      </c>
      <c r="S599" s="11" t="n">
        <v>62.815</v>
      </c>
      <c r="T599" s="11" t="n">
        <f aca="false">SUM(N599:S599)</f>
        <v>400.18</v>
      </c>
      <c r="U599" s="11" t="n">
        <v>100.64</v>
      </c>
      <c r="V599" s="11" t="n">
        <v>120.87</v>
      </c>
      <c r="W599" s="11" t="n">
        <v>63.07</v>
      </c>
      <c r="X599" s="11" t="n">
        <v>20.825</v>
      </c>
      <c r="Y599" s="11" t="n">
        <v>33.83</v>
      </c>
      <c r="Z599" s="11" t="n">
        <v>110.245</v>
      </c>
      <c r="AA599" s="11" t="n">
        <f aca="false">SUM(U599:Z599)</f>
        <v>449.48</v>
      </c>
      <c r="AB599" s="11" t="n">
        <v>100.64</v>
      </c>
      <c r="AC599" s="11" t="n">
        <v>120.87</v>
      </c>
      <c r="AD599" s="11" t="n">
        <v>63.07</v>
      </c>
      <c r="AE599" s="11" t="n">
        <v>20.825</v>
      </c>
      <c r="AF599" s="11" t="n">
        <v>33.83</v>
      </c>
      <c r="AG599" s="11" t="n">
        <v>110.245</v>
      </c>
      <c r="AH599" s="11" t="n">
        <f aca="false">SUM(AB599:AG599)</f>
        <v>449.48</v>
      </c>
      <c r="AI599" s="12" t="s">
        <v>60</v>
      </c>
    </row>
    <row r="600" customFormat="false" ht="15" hidden="false" customHeight="false" outlineLevel="0" collapsed="false">
      <c r="A600" s="8" t="s">
        <v>1299</v>
      </c>
      <c r="B600" s="12" t="s">
        <v>1300</v>
      </c>
      <c r="C600" s="8" t="s">
        <v>1281</v>
      </c>
      <c r="D600" s="12" t="s">
        <v>1282</v>
      </c>
      <c r="E600" s="10" t="str">
        <f aca="true">IFERROR(IF(INDEX(INDIRECT("'"&amp;$AI600&amp;"'!$E$2:$E$118"),MATCH($A600,INDIRECT("'"&amp;$AI600&amp;"'!$A$2:$A$118"),0))="","",INDEX(INDIRECT("'"&amp;$AI600&amp;"'!$E$2:$E$118"),MATCH($A600,INDIRECT("'"&amp;$AI600&amp;"'!$A$2:$A$118"),0))),"")</f>
        <v/>
      </c>
      <c r="F600" s="9" t="str">
        <f aca="false">IF($E600="","",IFERROR(INDEX(担当者マスタ!$B$2:$B$101,MATCH($E600,担当者マスタ!$A$2:$A$101,0)),"※マスタ未登録"))</f>
        <v/>
      </c>
      <c r="G600" s="11" t="n">
        <v>10.115</v>
      </c>
      <c r="H600" s="11" t="n">
        <v>0</v>
      </c>
      <c r="I600" s="11" t="n">
        <v>0</v>
      </c>
      <c r="J600" s="11" t="n">
        <v>0</v>
      </c>
      <c r="K600" s="11" t="n">
        <v>0.85</v>
      </c>
      <c r="L600" s="11" t="n">
        <v>8.415</v>
      </c>
      <c r="M600" s="11" t="n">
        <f aca="false">SUM(G600:L600)</f>
        <v>19.38</v>
      </c>
      <c r="N600" s="11" t="n">
        <v>10.115</v>
      </c>
      <c r="O600" s="11" t="n">
        <v>0</v>
      </c>
      <c r="P600" s="11" t="n">
        <v>0</v>
      </c>
      <c r="Q600" s="11" t="n">
        <v>0</v>
      </c>
      <c r="R600" s="11" t="n">
        <v>0.85</v>
      </c>
      <c r="S600" s="11" t="n">
        <v>8.415</v>
      </c>
      <c r="T600" s="11" t="n">
        <f aca="false">SUM(N600:S600)</f>
        <v>19.38</v>
      </c>
      <c r="U600" s="11" t="n">
        <v>10.2</v>
      </c>
      <c r="V600" s="11" t="n">
        <v>0</v>
      </c>
      <c r="W600" s="11" t="n">
        <v>0</v>
      </c>
      <c r="X600" s="11" t="n">
        <v>0</v>
      </c>
      <c r="Y600" s="11" t="n">
        <v>0</v>
      </c>
      <c r="Z600" s="11" t="n">
        <v>9.52</v>
      </c>
      <c r="AA600" s="11" t="n">
        <f aca="false">SUM(U600:Z600)</f>
        <v>19.72</v>
      </c>
      <c r="AB600" s="11" t="n">
        <v>10.2</v>
      </c>
      <c r="AC600" s="11" t="n">
        <v>0</v>
      </c>
      <c r="AD600" s="11" t="n">
        <v>0</v>
      </c>
      <c r="AE600" s="11" t="n">
        <v>0</v>
      </c>
      <c r="AF600" s="11" t="n">
        <v>0</v>
      </c>
      <c r="AG600" s="11" t="n">
        <v>9.52</v>
      </c>
      <c r="AH600" s="11" t="n">
        <f aca="false">SUM(AB600:AG600)</f>
        <v>19.72</v>
      </c>
      <c r="AI600" s="12" t="s">
        <v>60</v>
      </c>
    </row>
    <row r="601" customFormat="false" ht="15" hidden="false" customHeight="false" outlineLevel="0" collapsed="false">
      <c r="A601" s="8" t="s">
        <v>1301</v>
      </c>
      <c r="B601" s="12" t="s">
        <v>1302</v>
      </c>
      <c r="C601" s="8" t="s">
        <v>1281</v>
      </c>
      <c r="D601" s="12" t="s">
        <v>1282</v>
      </c>
      <c r="E601" s="10" t="str">
        <f aca="true">IFERROR(IF(INDEX(INDIRECT("'"&amp;$AI601&amp;"'!$E$2:$E$118"),MATCH($A601,INDIRECT("'"&amp;$AI601&amp;"'!$A$2:$A$118"),0))="","",INDEX(INDIRECT("'"&amp;$AI601&amp;"'!$E$2:$E$118"),MATCH($A601,INDIRECT("'"&amp;$AI601&amp;"'!$A$2:$A$118"),0))),"")</f>
        <v/>
      </c>
      <c r="F601" s="9" t="str">
        <f aca="false">IF($E601="","",IFERROR(INDEX(担当者マスタ!$B$2:$B$101,MATCH($E601,担当者マスタ!$A$2:$A$101,0)),"※マスタ未登録"))</f>
        <v/>
      </c>
      <c r="G601" s="11" t="n">
        <v>94.35</v>
      </c>
      <c r="H601" s="11" t="n">
        <v>124.695</v>
      </c>
      <c r="I601" s="11" t="n">
        <v>64.855</v>
      </c>
      <c r="J601" s="11" t="n">
        <v>45.05</v>
      </c>
      <c r="K601" s="11" t="n">
        <v>87.975</v>
      </c>
      <c r="L601" s="11" t="n">
        <v>60.18</v>
      </c>
      <c r="M601" s="11" t="n">
        <f aca="false">SUM(G601:L601)</f>
        <v>477.105</v>
      </c>
      <c r="N601" s="11" t="n">
        <v>94.35</v>
      </c>
      <c r="O601" s="11" t="n">
        <v>124.695</v>
      </c>
      <c r="P601" s="11" t="n">
        <v>64.855</v>
      </c>
      <c r="Q601" s="11" t="n">
        <v>45.05</v>
      </c>
      <c r="R601" s="11" t="n">
        <v>87.975</v>
      </c>
      <c r="S601" s="11" t="n">
        <v>60.18</v>
      </c>
      <c r="T601" s="11" t="n">
        <f aca="false">SUM(N601:S601)</f>
        <v>477.105</v>
      </c>
      <c r="U601" s="11" t="n">
        <v>108.63</v>
      </c>
      <c r="V601" s="11" t="n">
        <v>117.555</v>
      </c>
      <c r="W601" s="11" t="n">
        <v>73.865</v>
      </c>
      <c r="X601" s="11" t="n">
        <v>25.84</v>
      </c>
      <c r="Y601" s="11" t="n">
        <v>73.695</v>
      </c>
      <c r="Z601" s="11" t="n">
        <v>88.655</v>
      </c>
      <c r="AA601" s="11" t="n">
        <f aca="false">SUM(U601:Z601)</f>
        <v>488.24</v>
      </c>
      <c r="AB601" s="11" t="n">
        <v>108.63</v>
      </c>
      <c r="AC601" s="11" t="n">
        <v>117.555</v>
      </c>
      <c r="AD601" s="11" t="n">
        <v>73.865</v>
      </c>
      <c r="AE601" s="11" t="n">
        <v>25.84</v>
      </c>
      <c r="AF601" s="11" t="n">
        <v>73.695</v>
      </c>
      <c r="AG601" s="11" t="n">
        <v>88.655</v>
      </c>
      <c r="AH601" s="11" t="n">
        <f aca="false">SUM(AB601:AG601)</f>
        <v>488.24</v>
      </c>
      <c r="AI601" s="12" t="s">
        <v>60</v>
      </c>
    </row>
    <row r="602" customFormat="false" ht="15" hidden="false" customHeight="false" outlineLevel="0" collapsed="false">
      <c r="A602" s="8" t="s">
        <v>1303</v>
      </c>
      <c r="B602" s="12" t="s">
        <v>1304</v>
      </c>
      <c r="C602" s="8" t="s">
        <v>1281</v>
      </c>
      <c r="D602" s="12" t="s">
        <v>1282</v>
      </c>
      <c r="E602" s="10" t="str">
        <f aca="true">IFERROR(IF(INDEX(INDIRECT("'"&amp;$AI602&amp;"'!$E$2:$E$118"),MATCH($A602,INDIRECT("'"&amp;$AI602&amp;"'!$A$2:$A$118"),0))="","",INDEX(INDIRECT("'"&amp;$AI602&amp;"'!$E$2:$E$118"),MATCH($A602,INDIRECT("'"&amp;$AI602&amp;"'!$A$2:$A$118"),0))),"")</f>
        <v/>
      </c>
      <c r="F602" s="9" t="str">
        <f aca="false">IF($E602="","",IFERROR(INDEX(担当者マスタ!$B$2:$B$101,MATCH($E602,担当者マスタ!$A$2:$A$101,0)),"※マスタ未登録"))</f>
        <v/>
      </c>
      <c r="G602" s="11" t="n">
        <v>65.875</v>
      </c>
      <c r="H602" s="11" t="n">
        <v>71.4</v>
      </c>
      <c r="I602" s="11" t="n">
        <v>42.755</v>
      </c>
      <c r="J602" s="11" t="n">
        <v>44.71</v>
      </c>
      <c r="K602" s="11" t="n">
        <v>58.65</v>
      </c>
      <c r="L602" s="11" t="n">
        <v>79.39</v>
      </c>
      <c r="M602" s="11" t="n">
        <f aca="false">SUM(G602:L602)</f>
        <v>362.78</v>
      </c>
      <c r="N602" s="11" t="n">
        <v>65.875</v>
      </c>
      <c r="O602" s="11" t="n">
        <v>71.4</v>
      </c>
      <c r="P602" s="11" t="n">
        <v>42.755</v>
      </c>
      <c r="Q602" s="11" t="n">
        <v>44.71</v>
      </c>
      <c r="R602" s="11" t="n">
        <v>58.65</v>
      </c>
      <c r="S602" s="11" t="n">
        <v>79.39</v>
      </c>
      <c r="T602" s="11" t="n">
        <f aca="false">SUM(N602:S602)</f>
        <v>362.78</v>
      </c>
      <c r="U602" s="11" t="n">
        <v>84.32</v>
      </c>
      <c r="V602" s="11" t="n">
        <v>91.375</v>
      </c>
      <c r="W602" s="11" t="n">
        <v>24.565</v>
      </c>
      <c r="X602" s="11" t="n">
        <v>19.04</v>
      </c>
      <c r="Y602" s="11" t="n">
        <v>68.425</v>
      </c>
      <c r="Z602" s="11" t="n">
        <v>107.695</v>
      </c>
      <c r="AA602" s="11" t="n">
        <f aca="false">SUM(U602:Z602)</f>
        <v>395.42</v>
      </c>
      <c r="AB602" s="11" t="n">
        <v>84.32</v>
      </c>
      <c r="AC602" s="11" t="n">
        <v>91.375</v>
      </c>
      <c r="AD602" s="11" t="n">
        <v>24.565</v>
      </c>
      <c r="AE602" s="11" t="n">
        <v>19.04</v>
      </c>
      <c r="AF602" s="11" t="n">
        <v>68.425</v>
      </c>
      <c r="AG602" s="11" t="n">
        <v>107.695</v>
      </c>
      <c r="AH602" s="11" t="n">
        <f aca="false">SUM(AB602:AG602)</f>
        <v>395.42</v>
      </c>
      <c r="AI602" s="12" t="s">
        <v>60</v>
      </c>
    </row>
    <row r="603" customFormat="false" ht="15" hidden="false" customHeight="false" outlineLevel="0" collapsed="false">
      <c r="A603" s="8" t="s">
        <v>1305</v>
      </c>
      <c r="B603" s="12" t="s">
        <v>1306</v>
      </c>
      <c r="C603" s="8" t="s">
        <v>1281</v>
      </c>
      <c r="D603" s="12" t="s">
        <v>1282</v>
      </c>
      <c r="E603" s="10" t="str">
        <f aca="true">IFERROR(IF(INDEX(INDIRECT("'"&amp;$AI603&amp;"'!$E$2:$E$118"),MATCH($A603,INDIRECT("'"&amp;$AI603&amp;"'!$A$2:$A$118"),0))="","",INDEX(INDIRECT("'"&amp;$AI603&amp;"'!$E$2:$E$118"),MATCH($A603,INDIRECT("'"&amp;$AI603&amp;"'!$A$2:$A$118"),0))),"")</f>
        <v/>
      </c>
      <c r="F603" s="9" t="str">
        <f aca="false">IF($E603="","",IFERROR(INDEX(担当者マスタ!$B$2:$B$101,MATCH($E603,担当者マスタ!$A$2:$A$101,0)),"※マスタ未登録"))</f>
        <v/>
      </c>
      <c r="G603" s="11" t="n">
        <v>74.97</v>
      </c>
      <c r="H603" s="11" t="n">
        <v>85.255</v>
      </c>
      <c r="I603" s="11" t="n">
        <v>30.345</v>
      </c>
      <c r="J603" s="11" t="n">
        <v>48.11</v>
      </c>
      <c r="K603" s="11" t="n">
        <v>52.87</v>
      </c>
      <c r="L603" s="11" t="n">
        <v>52.105</v>
      </c>
      <c r="M603" s="11" t="n">
        <f aca="false">SUM(G603:L603)</f>
        <v>343.655</v>
      </c>
      <c r="N603" s="11" t="n">
        <v>74.97</v>
      </c>
      <c r="O603" s="11" t="n">
        <v>85.255</v>
      </c>
      <c r="P603" s="11" t="n">
        <v>30.345</v>
      </c>
      <c r="Q603" s="11" t="n">
        <v>48.11</v>
      </c>
      <c r="R603" s="11" t="n">
        <v>52.87</v>
      </c>
      <c r="S603" s="11" t="n">
        <v>52.105</v>
      </c>
      <c r="T603" s="11" t="n">
        <f aca="false">SUM(N603:S603)</f>
        <v>343.655</v>
      </c>
      <c r="U603" s="11" t="n">
        <v>0</v>
      </c>
      <c r="V603" s="11" t="n">
        <v>0</v>
      </c>
      <c r="W603" s="11" t="n">
        <v>0</v>
      </c>
      <c r="X603" s="11" t="n">
        <v>0</v>
      </c>
      <c r="Y603" s="11" t="n">
        <v>0</v>
      </c>
      <c r="Z603" s="11" t="n">
        <v>0</v>
      </c>
      <c r="AA603" s="11" t="n">
        <f aca="false">SUM(U603:Z603)</f>
        <v>0</v>
      </c>
      <c r="AB603" s="11" t="n">
        <v>0</v>
      </c>
      <c r="AC603" s="11" t="n">
        <v>0</v>
      </c>
      <c r="AD603" s="11" t="n">
        <v>0</v>
      </c>
      <c r="AE603" s="11" t="n">
        <v>0</v>
      </c>
      <c r="AF603" s="11" t="n">
        <v>0</v>
      </c>
      <c r="AG603" s="11" t="n">
        <v>0</v>
      </c>
      <c r="AH603" s="11" t="n">
        <f aca="false">SUM(AB603:AG603)</f>
        <v>0</v>
      </c>
      <c r="AI603" s="12" t="s">
        <v>60</v>
      </c>
    </row>
    <row r="604" customFormat="false" ht="15" hidden="false" customHeight="false" outlineLevel="0" collapsed="false">
      <c r="A604" s="8" t="s">
        <v>1307</v>
      </c>
      <c r="B604" s="12" t="s">
        <v>1308</v>
      </c>
      <c r="C604" s="8" t="s">
        <v>1281</v>
      </c>
      <c r="D604" s="12" t="s">
        <v>1282</v>
      </c>
      <c r="E604" s="10" t="str">
        <f aca="true">IFERROR(IF(INDEX(INDIRECT("'"&amp;$AI604&amp;"'!$E$2:$E$118"),MATCH($A604,INDIRECT("'"&amp;$AI604&amp;"'!$A$2:$A$118"),0))="","",INDEX(INDIRECT("'"&amp;$AI604&amp;"'!$E$2:$E$118"),MATCH($A604,INDIRECT("'"&amp;$AI604&amp;"'!$A$2:$A$118"),0))),"")</f>
        <v/>
      </c>
      <c r="F604" s="9" t="str">
        <f aca="false">IF($E604="","",IFERROR(INDEX(担当者マスタ!$B$2:$B$101,MATCH($E604,担当者マスタ!$A$2:$A$101,0)),"※マスタ未登録"))</f>
        <v/>
      </c>
      <c r="G604" s="11" t="n">
        <v>290.54</v>
      </c>
      <c r="H604" s="11" t="n">
        <v>487.395</v>
      </c>
      <c r="I604" s="11" t="n">
        <v>116.1</v>
      </c>
      <c r="J604" s="11" t="n">
        <v>166.35</v>
      </c>
      <c r="K604" s="11" t="n">
        <v>63.495</v>
      </c>
      <c r="L604" s="11" t="n">
        <v>149.895</v>
      </c>
      <c r="M604" s="11" t="n">
        <f aca="false">SUM(G604:L604)</f>
        <v>1273.775</v>
      </c>
      <c r="N604" s="11" t="n">
        <v>290.54</v>
      </c>
      <c r="O604" s="11" t="n">
        <v>487.395</v>
      </c>
      <c r="P604" s="11" t="n">
        <v>116.1</v>
      </c>
      <c r="Q604" s="11" t="n">
        <v>166.35</v>
      </c>
      <c r="R604" s="11" t="n">
        <v>63.495</v>
      </c>
      <c r="S604" s="11" t="n">
        <v>149.895</v>
      </c>
      <c r="T604" s="11" t="n">
        <f aca="false">SUM(N604:S604)</f>
        <v>1273.775</v>
      </c>
      <c r="U604" s="11" t="n">
        <v>163.955</v>
      </c>
      <c r="V604" s="11" t="n">
        <v>619.15</v>
      </c>
      <c r="W604" s="11" t="n">
        <v>129.03</v>
      </c>
      <c r="X604" s="11" t="n">
        <v>148.1</v>
      </c>
      <c r="Y604" s="11" t="n">
        <v>139.745</v>
      </c>
      <c r="Z604" s="11" t="n">
        <v>530.5</v>
      </c>
      <c r="AA604" s="11" t="n">
        <f aca="false">SUM(U604:Z604)</f>
        <v>1730.48</v>
      </c>
      <c r="AB604" s="11" t="n">
        <v>163.955</v>
      </c>
      <c r="AC604" s="11" t="n">
        <v>619.15</v>
      </c>
      <c r="AD604" s="11" t="n">
        <v>129.03</v>
      </c>
      <c r="AE604" s="11" t="n">
        <v>148.1</v>
      </c>
      <c r="AF604" s="11" t="n">
        <v>139.745</v>
      </c>
      <c r="AG604" s="11" t="n">
        <v>530.5</v>
      </c>
      <c r="AH604" s="11" t="n">
        <f aca="false">SUM(AB604:AG604)</f>
        <v>1730.48</v>
      </c>
      <c r="AI604" s="12" t="s">
        <v>60</v>
      </c>
    </row>
    <row r="605" customFormat="false" ht="15" hidden="false" customHeight="false" outlineLevel="0" collapsed="false">
      <c r="A605" s="8" t="s">
        <v>1309</v>
      </c>
      <c r="B605" s="12" t="s">
        <v>1310</v>
      </c>
      <c r="C605" s="8" t="s">
        <v>1281</v>
      </c>
      <c r="D605" s="12" t="s">
        <v>1282</v>
      </c>
      <c r="E605" s="10" t="str">
        <f aca="true">IFERROR(IF(INDEX(INDIRECT("'"&amp;$AI605&amp;"'!$E$2:$E$118"),MATCH($A605,INDIRECT("'"&amp;$AI605&amp;"'!$A$2:$A$118"),0))="","",INDEX(INDIRECT("'"&amp;$AI605&amp;"'!$E$2:$E$118"),MATCH($A605,INDIRECT("'"&amp;$AI605&amp;"'!$A$2:$A$118"),0))),"")</f>
        <v/>
      </c>
      <c r="F605" s="9" t="str">
        <f aca="false">IF($E605="","",IFERROR(INDEX(担当者マスタ!$B$2:$B$101,MATCH($E605,担当者マスタ!$A$2:$A$101,0)),"※マスタ未登録"))</f>
        <v/>
      </c>
      <c r="G605" s="11" t="n">
        <v>0</v>
      </c>
      <c r="H605" s="11" t="n">
        <v>28.985</v>
      </c>
      <c r="I605" s="11" t="n">
        <v>0</v>
      </c>
      <c r="J605" s="11" t="n">
        <v>17.51</v>
      </c>
      <c r="K605" s="11" t="n">
        <v>0</v>
      </c>
      <c r="L605" s="11" t="n">
        <v>0</v>
      </c>
      <c r="M605" s="11" t="n">
        <f aca="false">SUM(G605:L605)</f>
        <v>46.495</v>
      </c>
      <c r="N605" s="11" t="n">
        <v>0</v>
      </c>
      <c r="O605" s="11" t="n">
        <v>28.985</v>
      </c>
      <c r="P605" s="11" t="n">
        <v>0</v>
      </c>
      <c r="Q605" s="11" t="n">
        <v>17.51</v>
      </c>
      <c r="R605" s="11" t="n">
        <v>0</v>
      </c>
      <c r="S605" s="11" t="n">
        <v>0</v>
      </c>
      <c r="T605" s="11" t="n">
        <f aca="false">SUM(N605:S605)</f>
        <v>46.495</v>
      </c>
      <c r="U605" s="11" t="n">
        <v>0</v>
      </c>
      <c r="V605" s="11" t="n">
        <v>0</v>
      </c>
      <c r="W605" s="11" t="n">
        <v>0</v>
      </c>
      <c r="X605" s="11" t="n">
        <v>0</v>
      </c>
      <c r="Y605" s="11" t="n">
        <v>0</v>
      </c>
      <c r="Z605" s="11" t="n">
        <v>0</v>
      </c>
      <c r="AA605" s="11" t="n">
        <f aca="false">SUM(U605:Z605)</f>
        <v>0</v>
      </c>
      <c r="AB605" s="11" t="n">
        <v>0</v>
      </c>
      <c r="AC605" s="11" t="n">
        <v>0</v>
      </c>
      <c r="AD605" s="11" t="n">
        <v>0</v>
      </c>
      <c r="AE605" s="11" t="n">
        <v>0</v>
      </c>
      <c r="AF605" s="11" t="n">
        <v>0</v>
      </c>
      <c r="AG605" s="11" t="n">
        <v>0</v>
      </c>
      <c r="AH605" s="11" t="n">
        <f aca="false">SUM(AB605:AG605)</f>
        <v>0</v>
      </c>
      <c r="AI605" s="12" t="s">
        <v>60</v>
      </c>
    </row>
    <row r="606" customFormat="false" ht="15" hidden="false" customHeight="false" outlineLevel="0" collapsed="false">
      <c r="A606" s="8" t="s">
        <v>1311</v>
      </c>
      <c r="B606" s="12" t="s">
        <v>1312</v>
      </c>
      <c r="C606" s="8" t="s">
        <v>1281</v>
      </c>
      <c r="D606" s="12" t="s">
        <v>1282</v>
      </c>
      <c r="E606" s="10" t="str">
        <f aca="true">IFERROR(IF(INDEX(INDIRECT("'"&amp;$AI606&amp;"'!$E$2:$E$118"),MATCH($A606,INDIRECT("'"&amp;$AI606&amp;"'!$A$2:$A$118"),0))="","",INDEX(INDIRECT("'"&amp;$AI606&amp;"'!$E$2:$E$118"),MATCH($A606,INDIRECT("'"&amp;$AI606&amp;"'!$A$2:$A$118"),0))),"")</f>
        <v/>
      </c>
      <c r="F606" s="9" t="str">
        <f aca="false">IF($E606="","",IFERROR(INDEX(担当者マスタ!$B$2:$B$101,MATCH($E606,担当者マスタ!$A$2:$A$101,0)),"※マスタ未登録"))</f>
        <v/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f aca="false">SUM(G606:L606)</f>
        <v>0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1" t="n">
        <f aca="false">SUM(N606:S606)</f>
        <v>0</v>
      </c>
      <c r="U606" s="11" t="n">
        <v>0</v>
      </c>
      <c r="V606" s="11" t="n">
        <v>9</v>
      </c>
      <c r="W606" s="11" t="n">
        <v>28</v>
      </c>
      <c r="X606" s="11" t="n">
        <v>23</v>
      </c>
      <c r="Y606" s="11" t="n">
        <v>30</v>
      </c>
      <c r="Z606" s="11" t="n">
        <v>53</v>
      </c>
      <c r="AA606" s="11" t="n">
        <f aca="false">SUM(U606:Z606)</f>
        <v>143</v>
      </c>
      <c r="AB606" s="11" t="n">
        <v>0</v>
      </c>
      <c r="AC606" s="11" t="n">
        <v>9</v>
      </c>
      <c r="AD606" s="11" t="n">
        <v>28</v>
      </c>
      <c r="AE606" s="11" t="n">
        <v>23</v>
      </c>
      <c r="AF606" s="11" t="n">
        <v>30</v>
      </c>
      <c r="AG606" s="11" t="n">
        <v>53</v>
      </c>
      <c r="AH606" s="11" t="n">
        <f aca="false">SUM(AB606:AG606)</f>
        <v>143</v>
      </c>
      <c r="AI606" s="12" t="s">
        <v>60</v>
      </c>
    </row>
    <row r="607" customFormat="false" ht="15" hidden="false" customHeight="false" outlineLevel="0" collapsed="false">
      <c r="A607" s="8" t="s">
        <v>1313</v>
      </c>
      <c r="B607" s="9" t="s">
        <v>1314</v>
      </c>
      <c r="C607" s="8" t="s">
        <v>1281</v>
      </c>
      <c r="D607" s="12" t="s">
        <v>1282</v>
      </c>
      <c r="E607" s="10" t="str">
        <f aca="true">IFERROR(IF(INDEX(INDIRECT("'"&amp;$AI607&amp;"'!$E$2:$E$118"),MATCH($A607,INDIRECT("'"&amp;$AI607&amp;"'!$A$2:$A$118"),0))="","",INDEX(INDIRECT("'"&amp;$AI607&amp;"'!$E$2:$E$118"),MATCH($A607,INDIRECT("'"&amp;$AI607&amp;"'!$A$2:$A$118"),0))),"")</f>
        <v/>
      </c>
      <c r="F607" s="9" t="str">
        <f aca="false">IF($E607="","",IFERROR(INDEX(担当者マスタ!$B$2:$B$101,MATCH($E607,担当者マスタ!$A$2:$A$101,0)),"※マスタ未登録"))</f>
        <v/>
      </c>
      <c r="G607" s="11" t="n">
        <v>9.52</v>
      </c>
      <c r="H607" s="11" t="n">
        <v>0</v>
      </c>
      <c r="I607" s="11" t="n">
        <v>0</v>
      </c>
      <c r="J607" s="11" t="n">
        <v>13.6</v>
      </c>
      <c r="K607" s="11" t="n">
        <v>26.945</v>
      </c>
      <c r="L607" s="11" t="n">
        <v>0</v>
      </c>
      <c r="M607" s="11" t="n">
        <f aca="false">SUM(G607:L607)</f>
        <v>50.065</v>
      </c>
      <c r="N607" s="11" t="n">
        <v>9.52</v>
      </c>
      <c r="O607" s="11" t="n">
        <v>0</v>
      </c>
      <c r="P607" s="11" t="n">
        <v>0</v>
      </c>
      <c r="Q607" s="11" t="n">
        <v>13.6</v>
      </c>
      <c r="R607" s="11" t="n">
        <v>26.945</v>
      </c>
      <c r="S607" s="11" t="n">
        <v>0</v>
      </c>
      <c r="T607" s="11" t="n">
        <f aca="false">SUM(N607:S607)</f>
        <v>50.065</v>
      </c>
      <c r="U607" s="11" t="n">
        <v>11.985</v>
      </c>
      <c r="V607" s="11" t="n">
        <v>11.815</v>
      </c>
      <c r="W607" s="11" t="n">
        <v>0</v>
      </c>
      <c r="X607" s="11" t="n">
        <v>0</v>
      </c>
      <c r="Y607" s="11" t="n">
        <v>0</v>
      </c>
      <c r="Z607" s="11" t="n">
        <v>0</v>
      </c>
      <c r="AA607" s="11" t="n">
        <f aca="false">SUM(U607:Z607)</f>
        <v>23.8</v>
      </c>
      <c r="AB607" s="11" t="n">
        <v>11.985</v>
      </c>
      <c r="AC607" s="11" t="n">
        <v>11.815</v>
      </c>
      <c r="AD607" s="11" t="n">
        <v>0</v>
      </c>
      <c r="AE607" s="11" t="n">
        <v>0</v>
      </c>
      <c r="AF607" s="11" t="n">
        <v>0</v>
      </c>
      <c r="AG607" s="11" t="n">
        <v>0</v>
      </c>
      <c r="AH607" s="11" t="n">
        <f aca="false">SUM(AB607:AG607)</f>
        <v>23.8</v>
      </c>
      <c r="AI607" s="12" t="s">
        <v>60</v>
      </c>
    </row>
    <row r="608" customFormat="false" ht="15" hidden="false" customHeight="false" outlineLevel="0" collapsed="false">
      <c r="A608" s="8" t="s">
        <v>1315</v>
      </c>
      <c r="B608" s="12" t="s">
        <v>1316</v>
      </c>
      <c r="C608" s="8" t="s">
        <v>1281</v>
      </c>
      <c r="D608" s="12" t="s">
        <v>1282</v>
      </c>
      <c r="E608" s="10" t="str">
        <f aca="true">IFERROR(IF(INDEX(INDIRECT("'"&amp;$AI608&amp;"'!$E$2:$E$118"),MATCH($A608,INDIRECT("'"&amp;$AI608&amp;"'!$A$2:$A$118"),0))="","",INDEX(INDIRECT("'"&amp;$AI608&amp;"'!$E$2:$E$118"),MATCH($A608,INDIRECT("'"&amp;$AI608&amp;"'!$A$2:$A$118"),0))),"")</f>
        <v/>
      </c>
      <c r="F608" s="9" t="str">
        <f aca="false">IF($E608="","",IFERROR(INDEX(担当者マスタ!$B$2:$B$101,MATCH($E608,担当者マスタ!$A$2:$A$101,0)),"※マスタ未登録"))</f>
        <v/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f aca="false">SUM(G608:L608)</f>
        <v>0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f aca="false">SUM(N608:S608)</f>
        <v>0</v>
      </c>
      <c r="U608" s="11" t="n">
        <v>200</v>
      </c>
      <c r="V608" s="11" t="n">
        <v>160</v>
      </c>
      <c r="W608" s="11" t="n">
        <v>160</v>
      </c>
      <c r="X608" s="11" t="n">
        <v>160</v>
      </c>
      <c r="Y608" s="11" t="n">
        <v>160</v>
      </c>
      <c r="Z608" s="11" t="n">
        <v>160</v>
      </c>
      <c r="AA608" s="11" t="n">
        <f aca="false">SUM(U608:Z608)</f>
        <v>1000</v>
      </c>
      <c r="AB608" s="11" t="n">
        <v>200</v>
      </c>
      <c r="AC608" s="11" t="n">
        <v>160</v>
      </c>
      <c r="AD608" s="11" t="n">
        <v>160</v>
      </c>
      <c r="AE608" s="11" t="n">
        <v>160</v>
      </c>
      <c r="AF608" s="11" t="n">
        <v>160</v>
      </c>
      <c r="AG608" s="11" t="n">
        <v>160</v>
      </c>
      <c r="AH608" s="11" t="n">
        <f aca="false">SUM(AB608:AG608)</f>
        <v>1000</v>
      </c>
      <c r="AI608" s="12" t="s">
        <v>60</v>
      </c>
    </row>
    <row r="609" customFormat="false" ht="15" hidden="false" customHeight="false" outlineLevel="0" collapsed="false">
      <c r="A609" s="8" t="s">
        <v>1317</v>
      </c>
      <c r="B609" s="9" t="s">
        <v>1318</v>
      </c>
      <c r="C609" s="8" t="s">
        <v>1319</v>
      </c>
      <c r="D609" s="12" t="s">
        <v>1320</v>
      </c>
      <c r="E609" s="10" t="str">
        <f aca="true">IFERROR(IF(INDEX(INDIRECT("'"&amp;$AI609&amp;"'!$E$2:$E$118"),MATCH($A609,INDIRECT("'"&amp;$AI609&amp;"'!$A$2:$A$118"),0))="","",INDEX(INDIRECT("'"&amp;$AI609&amp;"'!$E$2:$E$118"),MATCH($A609,INDIRECT("'"&amp;$AI609&amp;"'!$A$2:$A$118"),0))),"")</f>
        <v/>
      </c>
      <c r="F609" s="9" t="str">
        <f aca="false">IF($E609="","",IFERROR(INDEX(担当者マスタ!$B$2:$B$101,MATCH($E609,担当者マスタ!$A$2:$A$101,0)),"※マスタ未登録"))</f>
        <v/>
      </c>
      <c r="G609" s="11" t="n">
        <v>601.85</v>
      </c>
      <c r="H609" s="11" t="n">
        <v>504.56</v>
      </c>
      <c r="I609" s="11" t="n">
        <v>497.71</v>
      </c>
      <c r="J609" s="11" t="n">
        <v>815.24</v>
      </c>
      <c r="K609" s="11" t="n">
        <v>665.8</v>
      </c>
      <c r="L609" s="11" t="n">
        <v>528.65</v>
      </c>
      <c r="M609" s="11" t="n">
        <f aca="false">SUM(G609:L609)</f>
        <v>3613.81</v>
      </c>
      <c r="N609" s="11" t="n">
        <v>201.35</v>
      </c>
      <c r="O609" s="11" t="n">
        <v>176.077</v>
      </c>
      <c r="P609" s="11" t="n">
        <v>199.912</v>
      </c>
      <c r="Q609" s="11" t="n">
        <v>427.699</v>
      </c>
      <c r="R609" s="11" t="n">
        <v>319.403</v>
      </c>
      <c r="S609" s="11" t="n">
        <v>183.618</v>
      </c>
      <c r="T609" s="11" t="n">
        <f aca="false">SUM(N609:S609)</f>
        <v>1508.059</v>
      </c>
      <c r="U609" s="11" t="n">
        <v>907.04</v>
      </c>
      <c r="V609" s="11" t="n">
        <v>998.405</v>
      </c>
      <c r="W609" s="11" t="n">
        <v>1589.864</v>
      </c>
      <c r="X609" s="11" t="n">
        <v>676.25</v>
      </c>
      <c r="Y609" s="11" t="n">
        <v>518.45</v>
      </c>
      <c r="Z609" s="11" t="n">
        <v>736.25</v>
      </c>
      <c r="AA609" s="11" t="n">
        <f aca="false">SUM(U609:Z609)</f>
        <v>5426.259</v>
      </c>
      <c r="AB609" s="11" t="n">
        <v>547.938</v>
      </c>
      <c r="AC609" s="11" t="n">
        <v>661.597</v>
      </c>
      <c r="AD609" s="11" t="n">
        <v>854.845</v>
      </c>
      <c r="AE609" s="11" t="n">
        <v>376.682</v>
      </c>
      <c r="AF609" s="11" t="n">
        <v>273.077</v>
      </c>
      <c r="AG609" s="11" t="n">
        <v>382.053</v>
      </c>
      <c r="AH609" s="11" t="n">
        <f aca="false">SUM(AB609:AG609)</f>
        <v>3096.192</v>
      </c>
      <c r="AI609" s="12" t="s">
        <v>60</v>
      </c>
    </row>
    <row r="610" customFormat="false" ht="15" hidden="false" customHeight="false" outlineLevel="0" collapsed="false">
      <c r="A610" s="8" t="s">
        <v>1321</v>
      </c>
      <c r="B610" s="12" t="s">
        <v>1322</v>
      </c>
      <c r="C610" s="8" t="s">
        <v>1319</v>
      </c>
      <c r="D610" s="12" t="s">
        <v>1320</v>
      </c>
      <c r="E610" s="10" t="str">
        <f aca="true">IFERROR(IF(INDEX(INDIRECT("'"&amp;$AI610&amp;"'!$E$2:$E$118"),MATCH($A610,INDIRECT("'"&amp;$AI610&amp;"'!$A$2:$A$118"),0))="","",INDEX(INDIRECT("'"&amp;$AI610&amp;"'!$E$2:$E$118"),MATCH($A610,INDIRECT("'"&amp;$AI610&amp;"'!$A$2:$A$118"),0))),"")</f>
        <v/>
      </c>
      <c r="F610" s="9" t="str">
        <f aca="false">IF($E610="","",IFERROR(INDEX(担当者マスタ!$B$2:$B$101,MATCH($E610,担当者マスタ!$A$2:$A$101,0)),"※マスタ未登録"))</f>
        <v/>
      </c>
      <c r="G610" s="11" t="n">
        <v>0</v>
      </c>
      <c r="H610" s="11" t="n">
        <v>0</v>
      </c>
      <c r="I610" s="11" t="n">
        <v>0</v>
      </c>
      <c r="J610" s="11" t="n">
        <v>0.2</v>
      </c>
      <c r="K610" s="11" t="n">
        <v>0</v>
      </c>
      <c r="L610" s="11" t="n">
        <v>0</v>
      </c>
      <c r="M610" s="11" t="n">
        <f aca="false">SUM(G610:L610)</f>
        <v>0.2</v>
      </c>
      <c r="N610" s="11" t="n">
        <v>0</v>
      </c>
      <c r="O610" s="11" t="n">
        <v>0</v>
      </c>
      <c r="P610" s="11" t="n">
        <v>0</v>
      </c>
      <c r="Q610" s="11" t="n">
        <v>0.2</v>
      </c>
      <c r="R610" s="11" t="n">
        <v>0</v>
      </c>
      <c r="S610" s="11" t="n">
        <v>0</v>
      </c>
      <c r="T610" s="11" t="n">
        <f aca="false">SUM(N610:S610)</f>
        <v>0.2</v>
      </c>
      <c r="U610" s="11" t="n">
        <v>0</v>
      </c>
      <c r="V610" s="11" t="n">
        <v>0</v>
      </c>
      <c r="W610" s="11" t="n">
        <v>0</v>
      </c>
      <c r="X610" s="11" t="n">
        <v>0</v>
      </c>
      <c r="Y610" s="11" t="n">
        <v>0</v>
      </c>
      <c r="Z610" s="11" t="n">
        <v>0</v>
      </c>
      <c r="AA610" s="11" t="n">
        <f aca="false">SUM(U610:Z610)</f>
        <v>0</v>
      </c>
      <c r="AB610" s="11" t="n">
        <v>0</v>
      </c>
      <c r="AC610" s="11" t="n">
        <v>0</v>
      </c>
      <c r="AD610" s="11" t="n">
        <v>0</v>
      </c>
      <c r="AE610" s="11" t="n">
        <v>0</v>
      </c>
      <c r="AF610" s="11" t="n">
        <v>0</v>
      </c>
      <c r="AG610" s="11" t="n">
        <v>0</v>
      </c>
      <c r="AH610" s="11" t="n">
        <f aca="false">SUM(AB610:AG610)</f>
        <v>0</v>
      </c>
      <c r="AI610" s="12" t="s">
        <v>60</v>
      </c>
    </row>
    <row r="611" customFormat="false" ht="15" hidden="false" customHeight="false" outlineLevel="0" collapsed="false">
      <c r="A611" s="8" t="s">
        <v>1323</v>
      </c>
      <c r="B611" s="9" t="s">
        <v>1324</v>
      </c>
      <c r="C611" s="8" t="s">
        <v>1319</v>
      </c>
      <c r="D611" s="12" t="s">
        <v>1320</v>
      </c>
      <c r="E611" s="10" t="str">
        <f aca="true">IFERROR(IF(INDEX(INDIRECT("'"&amp;$AI611&amp;"'!$E$2:$E$118"),MATCH($A611,INDIRECT("'"&amp;$AI611&amp;"'!$A$2:$A$118"),0))="","",INDEX(INDIRECT("'"&amp;$AI611&amp;"'!$E$2:$E$118"),MATCH($A611,INDIRECT("'"&amp;$AI611&amp;"'!$A$2:$A$118"),0))),"")</f>
        <v/>
      </c>
      <c r="F611" s="9" t="str">
        <f aca="false">IF($E611="","",IFERROR(INDEX(担当者マスタ!$B$2:$B$101,MATCH($E611,担当者マスタ!$A$2:$A$101,0)),"※マスタ未登録"))</f>
        <v/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f aca="false">SUM(G611:L611)</f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1" t="n">
        <f aca="false">SUM(N611:S611)</f>
        <v>0</v>
      </c>
      <c r="U611" s="11" t="n">
        <v>7.2</v>
      </c>
      <c r="V611" s="11" t="n">
        <v>0</v>
      </c>
      <c r="W611" s="11" t="n">
        <v>0</v>
      </c>
      <c r="X611" s="11" t="n">
        <v>0</v>
      </c>
      <c r="Y611" s="11" t="n">
        <v>0</v>
      </c>
      <c r="Z611" s="11" t="n">
        <v>0</v>
      </c>
      <c r="AA611" s="11" t="n">
        <f aca="false">SUM(U611:Z611)</f>
        <v>7.2</v>
      </c>
      <c r="AB611" s="11" t="n">
        <v>7.2</v>
      </c>
      <c r="AC611" s="11" t="n">
        <v>0</v>
      </c>
      <c r="AD611" s="11" t="n">
        <v>0</v>
      </c>
      <c r="AE611" s="11" t="n">
        <v>0</v>
      </c>
      <c r="AF611" s="11" t="n">
        <v>0</v>
      </c>
      <c r="AG611" s="11" t="n">
        <v>0</v>
      </c>
      <c r="AH611" s="11" t="n">
        <f aca="false">SUM(AB611:AG611)</f>
        <v>7.2</v>
      </c>
      <c r="AI611" s="12" t="s">
        <v>60</v>
      </c>
    </row>
    <row r="612" customFormat="false" ht="15" hidden="false" customHeight="false" outlineLevel="0" collapsed="false">
      <c r="A612" s="8" t="s">
        <v>1325</v>
      </c>
      <c r="B612" s="9" t="s">
        <v>1326</v>
      </c>
      <c r="C612" s="8" t="s">
        <v>1319</v>
      </c>
      <c r="D612" s="12" t="s">
        <v>1320</v>
      </c>
      <c r="E612" s="10" t="str">
        <f aca="true">IFERROR(IF(INDEX(INDIRECT("'"&amp;$AI612&amp;"'!$E$2:$E$118"),MATCH($A612,INDIRECT("'"&amp;$AI612&amp;"'!$A$2:$A$118"),0))="","",INDEX(INDIRECT("'"&amp;$AI612&amp;"'!$E$2:$E$118"),MATCH($A612,INDIRECT("'"&amp;$AI612&amp;"'!$A$2:$A$118"),0))),"")</f>
        <v/>
      </c>
      <c r="F612" s="9" t="str">
        <f aca="false">IF($E612="","",IFERROR(INDEX(担当者マスタ!$B$2:$B$101,MATCH($E612,担当者マスタ!$A$2:$A$101,0)),"※マスタ未登録"))</f>
        <v/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f aca="false">SUM(G612:L612)</f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1" t="n">
        <f aca="false">SUM(N612:S612)</f>
        <v>0</v>
      </c>
      <c r="U612" s="11" t="n">
        <v>0</v>
      </c>
      <c r="V612" s="11" t="n">
        <v>0</v>
      </c>
      <c r="W612" s="11" t="n">
        <v>0</v>
      </c>
      <c r="X612" s="11" t="n">
        <v>469.65</v>
      </c>
      <c r="Y612" s="11" t="n">
        <v>0</v>
      </c>
      <c r="Z612" s="11" t="n">
        <v>186</v>
      </c>
      <c r="AA612" s="11" t="n">
        <f aca="false">SUM(U612:Z612)</f>
        <v>655.65</v>
      </c>
      <c r="AB612" s="11" t="n">
        <v>0</v>
      </c>
      <c r="AC612" s="11" t="n">
        <v>0</v>
      </c>
      <c r="AD612" s="11" t="n">
        <v>0</v>
      </c>
      <c r="AE612" s="11" t="n">
        <v>236.749</v>
      </c>
      <c r="AF612" s="11" t="n">
        <v>0</v>
      </c>
      <c r="AG612" s="11" t="n">
        <v>86.832</v>
      </c>
      <c r="AH612" s="11" t="n">
        <f aca="false">SUM(AB612:AG612)</f>
        <v>323.581</v>
      </c>
      <c r="AI612" s="12" t="s">
        <v>60</v>
      </c>
    </row>
    <row r="613" customFormat="false" ht="15" hidden="false" customHeight="false" outlineLevel="0" collapsed="false">
      <c r="A613" s="8" t="s">
        <v>1327</v>
      </c>
      <c r="B613" s="12" t="s">
        <v>1328</v>
      </c>
      <c r="C613" s="8" t="s">
        <v>1319</v>
      </c>
      <c r="D613" s="12" t="s">
        <v>1320</v>
      </c>
      <c r="E613" s="10" t="str">
        <f aca="true">IFERROR(IF(INDEX(INDIRECT("'"&amp;$AI613&amp;"'!$E$2:$E$118"),MATCH($A613,INDIRECT("'"&amp;$AI613&amp;"'!$A$2:$A$118"),0))="","",INDEX(INDIRECT("'"&amp;$AI613&amp;"'!$E$2:$E$118"),MATCH($A613,INDIRECT("'"&amp;$AI613&amp;"'!$A$2:$A$118"),0))),"")</f>
        <v/>
      </c>
      <c r="F613" s="9" t="str">
        <f aca="false">IF($E613="","",IFERROR(INDEX(担当者マスタ!$B$2:$B$101,MATCH($E613,担当者マスタ!$A$2:$A$101,0)),"※マスタ未登録"))</f>
        <v/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f aca="false">SUM(G613:L613)</f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1" t="n">
        <f aca="false">SUM(N613:S613)</f>
        <v>0</v>
      </c>
      <c r="U613" s="11" t="n">
        <v>0</v>
      </c>
      <c r="V613" s="11" t="n">
        <v>0</v>
      </c>
      <c r="W613" s="11" t="n">
        <v>0</v>
      </c>
      <c r="X613" s="11" t="n">
        <v>0</v>
      </c>
      <c r="Y613" s="11" t="n">
        <v>0</v>
      </c>
      <c r="Z613" s="11" t="n">
        <v>189.876</v>
      </c>
      <c r="AA613" s="11" t="n">
        <f aca="false">SUM(U613:Z613)</f>
        <v>189.876</v>
      </c>
      <c r="AB613" s="11" t="n">
        <v>0</v>
      </c>
      <c r="AC613" s="11" t="n">
        <v>0</v>
      </c>
      <c r="AD613" s="11" t="n">
        <v>0</v>
      </c>
      <c r="AE613" s="11" t="n">
        <v>0</v>
      </c>
      <c r="AF613" s="11" t="n">
        <v>0</v>
      </c>
      <c r="AG613" s="11" t="n">
        <v>85.012</v>
      </c>
      <c r="AH613" s="11" t="n">
        <f aca="false">SUM(AB613:AG613)</f>
        <v>85.012</v>
      </c>
      <c r="AI613" s="12" t="s">
        <v>60</v>
      </c>
    </row>
    <row r="614" customFormat="false" ht="15" hidden="false" customHeight="false" outlineLevel="0" collapsed="false">
      <c r="A614" s="8" t="s">
        <v>1329</v>
      </c>
      <c r="B614" s="12" t="s">
        <v>1330</v>
      </c>
      <c r="C614" s="8" t="s">
        <v>1319</v>
      </c>
      <c r="D614" s="12" t="s">
        <v>1320</v>
      </c>
      <c r="E614" s="10" t="str">
        <f aca="true">IFERROR(IF(INDEX(INDIRECT("'"&amp;$AI614&amp;"'!$E$2:$E$118"),MATCH($A614,INDIRECT("'"&amp;$AI614&amp;"'!$A$2:$A$118"),0))="","",INDEX(INDIRECT("'"&amp;$AI614&amp;"'!$E$2:$E$118"),MATCH($A614,INDIRECT("'"&amp;$AI614&amp;"'!$A$2:$A$118"),0))),"")</f>
        <v/>
      </c>
      <c r="F614" s="9" t="str">
        <f aca="false">IF($E614="","",IFERROR(INDEX(担当者マスタ!$B$2:$B$101,MATCH($E614,担当者マスタ!$A$2:$A$101,0)),"※マスタ未登録"))</f>
        <v/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f aca="false">SUM(G614:L614)</f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f aca="false">SUM(N614:S614)</f>
        <v>0</v>
      </c>
      <c r="U614" s="11" t="n">
        <v>0</v>
      </c>
      <c r="V614" s="11" t="n">
        <v>147</v>
      </c>
      <c r="W614" s="11" t="n">
        <v>0</v>
      </c>
      <c r="X614" s="11" t="n">
        <v>0</v>
      </c>
      <c r="Y614" s="11" t="n">
        <v>0</v>
      </c>
      <c r="Z614" s="11" t="n">
        <v>20.928</v>
      </c>
      <c r="AA614" s="11" t="n">
        <f aca="false">SUM(U614:Z614)</f>
        <v>167.928</v>
      </c>
      <c r="AB614" s="11" t="n">
        <v>0</v>
      </c>
      <c r="AC614" s="11" t="n">
        <v>72.5</v>
      </c>
      <c r="AD614" s="11" t="n">
        <v>0</v>
      </c>
      <c r="AE614" s="11" t="n">
        <v>0</v>
      </c>
      <c r="AF614" s="11" t="n">
        <v>0</v>
      </c>
      <c r="AG614" s="11" t="n">
        <v>20.928</v>
      </c>
      <c r="AH614" s="11" t="n">
        <f aca="false">SUM(AB614:AG614)</f>
        <v>93.428</v>
      </c>
      <c r="AI614" s="12" t="s">
        <v>60</v>
      </c>
    </row>
    <row r="615" customFormat="false" ht="15" hidden="false" customHeight="false" outlineLevel="0" collapsed="false">
      <c r="A615" s="8" t="s">
        <v>1331</v>
      </c>
      <c r="B615" s="12" t="s">
        <v>1332</v>
      </c>
      <c r="C615" s="8" t="s">
        <v>1319</v>
      </c>
      <c r="D615" s="12" t="s">
        <v>1320</v>
      </c>
      <c r="E615" s="10" t="str">
        <f aca="true">IFERROR(IF(INDEX(INDIRECT("'"&amp;$AI615&amp;"'!$E$2:$E$118"),MATCH($A615,INDIRECT("'"&amp;$AI615&amp;"'!$A$2:$A$118"),0))="","",INDEX(INDIRECT("'"&amp;$AI615&amp;"'!$E$2:$E$118"),MATCH($A615,INDIRECT("'"&amp;$AI615&amp;"'!$A$2:$A$118"),0))),"")</f>
        <v/>
      </c>
      <c r="F615" s="9" t="str">
        <f aca="false">IF($E615="","",IFERROR(INDEX(担当者マスタ!$B$2:$B$101,MATCH($E615,担当者マスタ!$A$2:$A$101,0)),"※マスタ未登録"))</f>
        <v/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f aca="false">SUM(G615:L615)</f>
        <v>0</v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1" t="n">
        <f aca="false">SUM(N615:S615)</f>
        <v>0</v>
      </c>
      <c r="U615" s="11" t="n">
        <v>0</v>
      </c>
      <c r="V615" s="11" t="n">
        <v>0</v>
      </c>
      <c r="W615" s="11" t="n">
        <v>170.5</v>
      </c>
      <c r="X615" s="11" t="n">
        <v>0</v>
      </c>
      <c r="Y615" s="11" t="n">
        <v>696.726</v>
      </c>
      <c r="Z615" s="11" t="n">
        <v>0</v>
      </c>
      <c r="AA615" s="11" t="n">
        <f aca="false">SUM(U615:Z615)</f>
        <v>867.226</v>
      </c>
      <c r="AB615" s="11" t="n">
        <v>0</v>
      </c>
      <c r="AC615" s="11" t="n">
        <v>0</v>
      </c>
      <c r="AD615" s="11" t="n">
        <v>84.745</v>
      </c>
      <c r="AE615" s="11" t="n">
        <v>0</v>
      </c>
      <c r="AF615" s="11" t="n">
        <v>355.627</v>
      </c>
      <c r="AG615" s="11" t="n">
        <v>0</v>
      </c>
      <c r="AH615" s="11" t="n">
        <f aca="false">SUM(AB615:AG615)</f>
        <v>440.372</v>
      </c>
      <c r="AI615" s="12" t="s">
        <v>60</v>
      </c>
    </row>
    <row r="616" customFormat="false" ht="15" hidden="false" customHeight="false" outlineLevel="0" collapsed="false">
      <c r="A616" s="8" t="s">
        <v>1333</v>
      </c>
      <c r="B616" s="9" t="s">
        <v>1334</v>
      </c>
      <c r="C616" s="8" t="s">
        <v>1319</v>
      </c>
      <c r="D616" s="12" t="s">
        <v>1320</v>
      </c>
      <c r="E616" s="10" t="str">
        <f aca="true">IFERROR(IF(INDEX(INDIRECT("'"&amp;$AI616&amp;"'!$E$2:$E$118"),MATCH($A616,INDIRECT("'"&amp;$AI616&amp;"'!$A$2:$A$118"),0))="","",INDEX(INDIRECT("'"&amp;$AI616&amp;"'!$E$2:$E$118"),MATCH($A616,INDIRECT("'"&amp;$AI616&amp;"'!$A$2:$A$118"),0))),"")</f>
        <v/>
      </c>
      <c r="F616" s="9" t="str">
        <f aca="false">IF($E616="","",IFERROR(INDEX(担当者マスタ!$B$2:$B$101,MATCH($E616,担当者マスタ!$A$2:$A$101,0)),"※マスタ未登録"))</f>
        <v/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f aca="false">SUM(G616:L616)</f>
        <v>0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f aca="false">SUM(N616:S616)</f>
        <v>0</v>
      </c>
      <c r="U616" s="11" t="n">
        <v>19.3</v>
      </c>
      <c r="V616" s="11" t="n">
        <v>0</v>
      </c>
      <c r="W616" s="11" t="n">
        <v>0</v>
      </c>
      <c r="X616" s="11" t="n">
        <v>0</v>
      </c>
      <c r="Y616" s="11" t="n">
        <v>0</v>
      </c>
      <c r="Z616" s="11" t="n">
        <v>0</v>
      </c>
      <c r="AA616" s="11" t="n">
        <f aca="false">SUM(U616:Z616)</f>
        <v>19.3</v>
      </c>
      <c r="AB616" s="11" t="n">
        <v>19.3</v>
      </c>
      <c r="AC616" s="11" t="n">
        <v>0</v>
      </c>
      <c r="AD616" s="11" t="n">
        <v>0</v>
      </c>
      <c r="AE616" s="11" t="n">
        <v>0</v>
      </c>
      <c r="AF616" s="11" t="n">
        <v>0</v>
      </c>
      <c r="AG616" s="11" t="n">
        <v>0</v>
      </c>
      <c r="AH616" s="11" t="n">
        <f aca="false">SUM(AB616:AG616)</f>
        <v>19.3</v>
      </c>
      <c r="AI616" s="12" t="s">
        <v>60</v>
      </c>
    </row>
    <row r="617" customFormat="false" ht="15" hidden="false" customHeight="false" outlineLevel="0" collapsed="false">
      <c r="A617" s="8" t="s">
        <v>1335</v>
      </c>
      <c r="B617" s="9" t="s">
        <v>1336</v>
      </c>
      <c r="C617" s="8" t="s">
        <v>1319</v>
      </c>
      <c r="D617" s="12" t="s">
        <v>1320</v>
      </c>
      <c r="E617" s="10" t="str">
        <f aca="true">IFERROR(IF(INDEX(INDIRECT("'"&amp;$AI617&amp;"'!$E$2:$E$118"),MATCH($A617,INDIRECT("'"&amp;$AI617&amp;"'!$A$2:$A$118"),0))="","",INDEX(INDIRECT("'"&amp;$AI617&amp;"'!$E$2:$E$118"),MATCH($A617,INDIRECT("'"&amp;$AI617&amp;"'!$A$2:$A$118"),0))),"")</f>
        <v/>
      </c>
      <c r="F617" s="9" t="str">
        <f aca="false">IF($E617="","",IFERROR(INDEX(担当者マスタ!$B$2:$B$101,MATCH($E617,担当者マスタ!$A$2:$A$101,0)),"※マスタ未登録"))</f>
        <v/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f aca="false">SUM(G617:L617)</f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1" t="n">
        <f aca="false">SUM(N617:S617)</f>
        <v>0</v>
      </c>
      <c r="U617" s="11" t="n">
        <v>4.5</v>
      </c>
      <c r="V617" s="11" t="n">
        <v>0</v>
      </c>
      <c r="W617" s="11" t="n">
        <v>0</v>
      </c>
      <c r="X617" s="11" t="n">
        <v>0</v>
      </c>
      <c r="Y617" s="11" t="n">
        <v>0</v>
      </c>
      <c r="Z617" s="11" t="n">
        <v>0</v>
      </c>
      <c r="AA617" s="11" t="n">
        <f aca="false">SUM(U617:Z617)</f>
        <v>4.5</v>
      </c>
      <c r="AB617" s="11" t="n">
        <v>4.5</v>
      </c>
      <c r="AC617" s="11" t="n">
        <v>0</v>
      </c>
      <c r="AD617" s="11" t="n">
        <v>0</v>
      </c>
      <c r="AE617" s="11" t="n">
        <v>0</v>
      </c>
      <c r="AF617" s="11" t="n">
        <v>0</v>
      </c>
      <c r="AG617" s="11" t="n">
        <v>0</v>
      </c>
      <c r="AH617" s="11" t="n">
        <f aca="false">SUM(AB617:AG617)</f>
        <v>4.5</v>
      </c>
      <c r="AI617" s="12" t="s">
        <v>60</v>
      </c>
    </row>
    <row r="618" customFormat="false" ht="15" hidden="false" customHeight="false" outlineLevel="0" collapsed="false">
      <c r="A618" s="8" t="s">
        <v>1337</v>
      </c>
      <c r="B618" s="12" t="s">
        <v>1338</v>
      </c>
      <c r="C618" s="8" t="s">
        <v>1319</v>
      </c>
      <c r="D618" s="12" t="s">
        <v>1320</v>
      </c>
      <c r="E618" s="10" t="str">
        <f aca="true">IFERROR(IF(INDEX(INDIRECT("'"&amp;$AI618&amp;"'!$E$2:$E$118"),MATCH($A618,INDIRECT("'"&amp;$AI618&amp;"'!$A$2:$A$118"),0))="","",INDEX(INDIRECT("'"&amp;$AI618&amp;"'!$E$2:$E$118"),MATCH($A618,INDIRECT("'"&amp;$AI618&amp;"'!$A$2:$A$118"),0))),"")</f>
        <v/>
      </c>
      <c r="F618" s="9" t="str">
        <f aca="false">IF($E618="","",IFERROR(INDEX(担当者マスタ!$B$2:$B$101,MATCH($E618,担当者マスタ!$A$2:$A$101,0)),"※マスタ未登録"))</f>
        <v/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f aca="false">SUM(G618:L618)</f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1" t="n">
        <f aca="false">SUM(N618:S618)</f>
        <v>0</v>
      </c>
      <c r="U618" s="11" t="n">
        <v>604.5</v>
      </c>
      <c r="V618" s="11" t="n">
        <v>694.126</v>
      </c>
      <c r="W618" s="11" t="n">
        <v>0</v>
      </c>
      <c r="X618" s="11" t="n">
        <v>0</v>
      </c>
      <c r="Y618" s="11" t="n">
        <v>0</v>
      </c>
      <c r="Z618" s="11" t="n">
        <v>0</v>
      </c>
      <c r="AA618" s="11" t="n">
        <f aca="false">SUM(U618:Z618)</f>
        <v>1298.626</v>
      </c>
      <c r="AB618" s="11" t="n">
        <v>284.25</v>
      </c>
      <c r="AC618" s="11" t="n">
        <v>376.38</v>
      </c>
      <c r="AD618" s="11" t="n">
        <v>0</v>
      </c>
      <c r="AE618" s="11" t="n">
        <v>0</v>
      </c>
      <c r="AF618" s="11" t="n">
        <v>0</v>
      </c>
      <c r="AG618" s="11" t="n">
        <v>0</v>
      </c>
      <c r="AH618" s="11" t="n">
        <f aca="false">SUM(AB618:AG618)</f>
        <v>660.63</v>
      </c>
      <c r="AI618" s="12" t="s">
        <v>60</v>
      </c>
    </row>
    <row r="619" customFormat="false" ht="15" hidden="false" customHeight="false" outlineLevel="0" collapsed="false">
      <c r="A619" s="8" t="s">
        <v>1339</v>
      </c>
      <c r="B619" s="9" t="s">
        <v>1340</v>
      </c>
      <c r="C619" s="8" t="s">
        <v>1319</v>
      </c>
      <c r="D619" s="12" t="s">
        <v>1320</v>
      </c>
      <c r="E619" s="10" t="str">
        <f aca="true">IFERROR(IF(INDEX(INDIRECT("'"&amp;$AI619&amp;"'!$E$2:$E$118"),MATCH($A619,INDIRECT("'"&amp;$AI619&amp;"'!$A$2:$A$118"),0))="","",INDEX(INDIRECT("'"&amp;$AI619&amp;"'!$E$2:$E$118"),MATCH($A619,INDIRECT("'"&amp;$AI619&amp;"'!$A$2:$A$118"),0))),"")</f>
        <v/>
      </c>
      <c r="F619" s="9" t="str">
        <f aca="false">IF($E619="","",IFERROR(INDEX(担当者マスタ!$B$2:$B$101,MATCH($E619,担当者マスタ!$A$2:$A$101,0)),"※マスタ未登録"))</f>
        <v/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f aca="false">SUM(G619:L619)</f>
        <v>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  <c r="T619" s="11" t="n">
        <f aca="false">SUM(N619:S619)</f>
        <v>0</v>
      </c>
      <c r="U619" s="11" t="n">
        <v>21.55</v>
      </c>
      <c r="V619" s="11" t="n">
        <v>0</v>
      </c>
      <c r="W619" s="11" t="n">
        <v>0</v>
      </c>
      <c r="X619" s="11" t="n">
        <v>0</v>
      </c>
      <c r="Y619" s="11" t="n">
        <v>0</v>
      </c>
      <c r="Z619" s="11" t="n">
        <v>0</v>
      </c>
      <c r="AA619" s="11" t="n">
        <f aca="false">SUM(U619:Z619)</f>
        <v>21.55</v>
      </c>
      <c r="AB619" s="11" t="n">
        <v>21.55</v>
      </c>
      <c r="AC619" s="11" t="n">
        <v>0</v>
      </c>
      <c r="AD619" s="11" t="n">
        <v>0</v>
      </c>
      <c r="AE619" s="11" t="n">
        <v>0</v>
      </c>
      <c r="AF619" s="11" t="n">
        <v>0</v>
      </c>
      <c r="AG619" s="11" t="n">
        <v>0</v>
      </c>
      <c r="AH619" s="11" t="n">
        <f aca="false">SUM(AB619:AG619)</f>
        <v>21.55</v>
      </c>
      <c r="AI619" s="12" t="s">
        <v>60</v>
      </c>
    </row>
    <row r="620" customFormat="false" ht="15" hidden="false" customHeight="false" outlineLevel="0" collapsed="false">
      <c r="A620" s="8" t="s">
        <v>1341</v>
      </c>
      <c r="B620" s="9" t="s">
        <v>1342</v>
      </c>
      <c r="C620" s="8" t="s">
        <v>1319</v>
      </c>
      <c r="D620" s="12" t="s">
        <v>1320</v>
      </c>
      <c r="E620" s="10" t="str">
        <f aca="true">IFERROR(IF(INDEX(INDIRECT("'"&amp;$AI620&amp;"'!$E$2:$E$118"),MATCH($A620,INDIRECT("'"&amp;$AI620&amp;"'!$A$2:$A$118"),0))="","",INDEX(INDIRECT("'"&amp;$AI620&amp;"'!$E$2:$E$118"),MATCH($A620,INDIRECT("'"&amp;$AI620&amp;"'!$A$2:$A$118"),0))),"")</f>
        <v/>
      </c>
      <c r="F620" s="9" t="str">
        <f aca="false">IF($E620="","",IFERROR(INDEX(担当者マスタ!$B$2:$B$101,MATCH($E620,担当者マスタ!$A$2:$A$101,0)),"※マスタ未登録"))</f>
        <v/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f aca="false">SUM(G620:L620)</f>
        <v>0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1" t="n">
        <f aca="false">SUM(N620:S620)</f>
        <v>0</v>
      </c>
      <c r="U620" s="11" t="n">
        <v>8.85</v>
      </c>
      <c r="V620" s="11" t="n">
        <v>0</v>
      </c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f aca="false">SUM(U620:Z620)</f>
        <v>8.85</v>
      </c>
      <c r="AB620" s="11" t="n">
        <v>8.85</v>
      </c>
      <c r="AC620" s="11" t="n">
        <v>0</v>
      </c>
      <c r="AD620" s="11" t="n">
        <v>0</v>
      </c>
      <c r="AE620" s="11" t="n">
        <v>0</v>
      </c>
      <c r="AF620" s="11" t="n">
        <v>0</v>
      </c>
      <c r="AG620" s="11" t="n">
        <v>0</v>
      </c>
      <c r="AH620" s="11" t="n">
        <f aca="false">SUM(AB620:AG620)</f>
        <v>8.85</v>
      </c>
      <c r="AI620" s="12" t="s">
        <v>60</v>
      </c>
    </row>
    <row r="621" customFormat="false" ht="15" hidden="false" customHeight="false" outlineLevel="0" collapsed="false">
      <c r="A621" s="8" t="s">
        <v>1343</v>
      </c>
      <c r="B621" s="12" t="s">
        <v>1344</v>
      </c>
      <c r="C621" s="8" t="s">
        <v>1319</v>
      </c>
      <c r="D621" s="12" t="s">
        <v>1320</v>
      </c>
      <c r="E621" s="10" t="str">
        <f aca="true">IFERROR(IF(INDEX(INDIRECT("'"&amp;$AI621&amp;"'!$E$2:$E$118"),MATCH($A621,INDIRECT("'"&amp;$AI621&amp;"'!$A$2:$A$118"),0))="","",INDEX(INDIRECT("'"&amp;$AI621&amp;"'!$E$2:$E$118"),MATCH($A621,INDIRECT("'"&amp;$AI621&amp;"'!$A$2:$A$118"),0))),"")</f>
        <v/>
      </c>
      <c r="F621" s="9" t="str">
        <f aca="false">IF($E621="","",IFERROR(INDEX(担当者マスタ!$B$2:$B$101,MATCH($E621,担当者マスタ!$A$2:$A$101,0)),"※マスタ未登録"))</f>
        <v/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f aca="false">SUM(G621:L621)</f>
        <v>0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1" t="n">
        <f aca="false">SUM(N621:S621)</f>
        <v>0</v>
      </c>
      <c r="U621" s="11" t="n">
        <v>60.75</v>
      </c>
      <c r="V621" s="11" t="n">
        <v>0</v>
      </c>
      <c r="W621" s="11" t="n">
        <v>0</v>
      </c>
      <c r="X621" s="11" t="n">
        <v>0</v>
      </c>
      <c r="Y621" s="11" t="n">
        <v>0</v>
      </c>
      <c r="Z621" s="11" t="n">
        <v>0</v>
      </c>
      <c r="AA621" s="11" t="n">
        <f aca="false">SUM(U621:Z621)</f>
        <v>60.75</v>
      </c>
      <c r="AB621" s="11" t="n">
        <v>26.25</v>
      </c>
      <c r="AC621" s="11" t="n">
        <v>0</v>
      </c>
      <c r="AD621" s="11" t="n">
        <v>0</v>
      </c>
      <c r="AE621" s="11" t="n">
        <v>0</v>
      </c>
      <c r="AF621" s="11" t="n">
        <v>0</v>
      </c>
      <c r="AG621" s="11" t="n">
        <v>0</v>
      </c>
      <c r="AH621" s="11" t="n">
        <f aca="false">SUM(AB621:AG621)</f>
        <v>26.25</v>
      </c>
      <c r="AI621" s="12" t="s">
        <v>60</v>
      </c>
    </row>
    <row r="622" customFormat="false" ht="15" hidden="false" customHeight="false" outlineLevel="0" collapsed="false">
      <c r="A622" s="8" t="s">
        <v>1345</v>
      </c>
      <c r="B622" s="9" t="s">
        <v>1346</v>
      </c>
      <c r="C622" s="8" t="s">
        <v>1319</v>
      </c>
      <c r="D622" s="12" t="s">
        <v>1320</v>
      </c>
      <c r="E622" s="10" t="str">
        <f aca="true">IFERROR(IF(INDEX(INDIRECT("'"&amp;$AI622&amp;"'!$E$2:$E$118"),MATCH($A622,INDIRECT("'"&amp;$AI622&amp;"'!$A$2:$A$118"),0))="","",INDEX(INDIRECT("'"&amp;$AI622&amp;"'!$E$2:$E$118"),MATCH($A622,INDIRECT("'"&amp;$AI622&amp;"'!$A$2:$A$118"),0))),"")</f>
        <v/>
      </c>
      <c r="F622" s="9" t="str">
        <f aca="false">IF($E622="","",IFERROR(INDEX(担当者マスタ!$B$2:$B$101,MATCH($E622,担当者マスタ!$A$2:$A$101,0)),"※マスタ未登録"))</f>
        <v/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f aca="false">SUM(G622:L622)</f>
        <v>0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f aca="false">SUM(N622:S622)</f>
        <v>0</v>
      </c>
      <c r="U622" s="11" t="n">
        <v>0.55</v>
      </c>
      <c r="V622" s="11" t="n">
        <v>0</v>
      </c>
      <c r="W622" s="11" t="n">
        <v>0</v>
      </c>
      <c r="X622" s="11" t="n">
        <v>0</v>
      </c>
      <c r="Y622" s="11" t="n">
        <v>0</v>
      </c>
      <c r="Z622" s="11" t="n">
        <v>0</v>
      </c>
      <c r="AA622" s="11" t="n">
        <f aca="false">SUM(U622:Z622)</f>
        <v>0.55</v>
      </c>
      <c r="AB622" s="11" t="n">
        <v>0.55</v>
      </c>
      <c r="AC622" s="11" t="n">
        <v>0</v>
      </c>
      <c r="AD622" s="11" t="n">
        <v>0</v>
      </c>
      <c r="AE622" s="11" t="n">
        <v>0</v>
      </c>
      <c r="AF622" s="11" t="n">
        <v>0</v>
      </c>
      <c r="AG622" s="11" t="n">
        <v>0</v>
      </c>
      <c r="AH622" s="11" t="n">
        <f aca="false">SUM(AB622:AG622)</f>
        <v>0.55</v>
      </c>
      <c r="AI622" s="12" t="s">
        <v>60</v>
      </c>
    </row>
    <row r="623" customFormat="false" ht="15" hidden="false" customHeight="false" outlineLevel="0" collapsed="false">
      <c r="A623" s="8" t="s">
        <v>1347</v>
      </c>
      <c r="B623" s="12" t="s">
        <v>1348</v>
      </c>
      <c r="C623" s="8" t="s">
        <v>1319</v>
      </c>
      <c r="D623" s="12" t="s">
        <v>1320</v>
      </c>
      <c r="E623" s="10" t="str">
        <f aca="true">IFERROR(IF(INDEX(INDIRECT("'"&amp;$AI623&amp;"'!$E$2:$E$118"),MATCH($A623,INDIRECT("'"&amp;$AI623&amp;"'!$A$2:$A$118"),0))="","",INDEX(INDIRECT("'"&amp;$AI623&amp;"'!$E$2:$E$118"),MATCH($A623,INDIRECT("'"&amp;$AI623&amp;"'!$A$2:$A$118"),0))),"")</f>
        <v/>
      </c>
      <c r="F623" s="9" t="str">
        <f aca="false">IF($E623="","",IFERROR(INDEX(担当者マスタ!$B$2:$B$101,MATCH($E623,担当者マスタ!$A$2:$A$101,0)),"※マスタ未登録"))</f>
        <v/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f aca="false">SUM(G623:L623)</f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f aca="false">SUM(N623:S623)</f>
        <v>0</v>
      </c>
      <c r="U623" s="11" t="n">
        <v>0</v>
      </c>
      <c r="V623" s="11" t="n">
        <v>7.77</v>
      </c>
      <c r="W623" s="11" t="n">
        <v>0</v>
      </c>
      <c r="X623" s="11" t="n">
        <v>0</v>
      </c>
      <c r="Y623" s="11" t="n">
        <v>0</v>
      </c>
      <c r="Z623" s="11" t="n">
        <v>0</v>
      </c>
      <c r="AA623" s="11" t="n">
        <f aca="false">SUM(U623:Z623)</f>
        <v>7.77</v>
      </c>
      <c r="AB623" s="11" t="n">
        <v>0</v>
      </c>
      <c r="AC623" s="11" t="n">
        <v>7.77</v>
      </c>
      <c r="AD623" s="11" t="n">
        <v>0</v>
      </c>
      <c r="AE623" s="11" t="n">
        <v>0</v>
      </c>
      <c r="AF623" s="11" t="n">
        <v>0</v>
      </c>
      <c r="AG623" s="11" t="n">
        <v>0</v>
      </c>
      <c r="AH623" s="11" t="n">
        <f aca="false">SUM(AB623:AG623)</f>
        <v>7.77</v>
      </c>
      <c r="AI623" s="12" t="s">
        <v>60</v>
      </c>
    </row>
    <row r="624" customFormat="false" ht="15" hidden="false" customHeight="false" outlineLevel="0" collapsed="false">
      <c r="A624" s="8" t="s">
        <v>1349</v>
      </c>
      <c r="B624" s="12" t="s">
        <v>1350</v>
      </c>
      <c r="C624" s="8" t="s">
        <v>1319</v>
      </c>
      <c r="D624" s="12" t="s">
        <v>1320</v>
      </c>
      <c r="E624" s="10" t="str">
        <f aca="true">IFERROR(IF(INDEX(INDIRECT("'"&amp;$AI624&amp;"'!$E$2:$E$118"),MATCH($A624,INDIRECT("'"&amp;$AI624&amp;"'!$A$2:$A$118"),0))="","",INDEX(INDIRECT("'"&amp;$AI624&amp;"'!$E$2:$E$118"),MATCH($A624,INDIRECT("'"&amp;$AI624&amp;"'!$A$2:$A$118"),0))),"")</f>
        <v/>
      </c>
      <c r="F624" s="9" t="str">
        <f aca="false">IF($E624="","",IFERROR(INDEX(担当者マスタ!$B$2:$B$101,MATCH($E624,担当者マスタ!$A$2:$A$101,0)),"※マスタ未登録"))</f>
        <v/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f aca="false">SUM(G624:L624)</f>
        <v>0</v>
      </c>
      <c r="N624" s="11" t="n">
        <v>0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1" t="n">
        <f aca="false">SUM(N624:S624)</f>
        <v>0</v>
      </c>
      <c r="U624" s="11" t="n">
        <v>0</v>
      </c>
      <c r="V624" s="11" t="n">
        <v>2.95</v>
      </c>
      <c r="W624" s="11" t="n">
        <v>0</v>
      </c>
      <c r="X624" s="11" t="n">
        <v>0</v>
      </c>
      <c r="Y624" s="11" t="n">
        <v>0</v>
      </c>
      <c r="Z624" s="11" t="n">
        <v>0</v>
      </c>
      <c r="AA624" s="11" t="n">
        <f aca="false">SUM(U624:Z624)</f>
        <v>2.95</v>
      </c>
      <c r="AB624" s="11" t="n">
        <v>0</v>
      </c>
      <c r="AC624" s="11" t="n">
        <v>2.95</v>
      </c>
      <c r="AD624" s="11" t="n">
        <v>0</v>
      </c>
      <c r="AE624" s="11" t="n">
        <v>0</v>
      </c>
      <c r="AF624" s="11" t="n">
        <v>0</v>
      </c>
      <c r="AG624" s="11" t="n">
        <v>0</v>
      </c>
      <c r="AH624" s="11" t="n">
        <f aca="false">SUM(AB624:AG624)</f>
        <v>2.95</v>
      </c>
      <c r="AI624" s="12" t="s">
        <v>60</v>
      </c>
    </row>
    <row r="625" customFormat="false" ht="15" hidden="false" customHeight="false" outlineLevel="0" collapsed="false">
      <c r="A625" s="8" t="s">
        <v>1351</v>
      </c>
      <c r="B625" s="12" t="s">
        <v>1352</v>
      </c>
      <c r="C625" s="8" t="s">
        <v>1319</v>
      </c>
      <c r="D625" s="12" t="s">
        <v>1320</v>
      </c>
      <c r="E625" s="10" t="str">
        <f aca="true">IFERROR(IF(INDEX(INDIRECT("'"&amp;$AI625&amp;"'!$E$2:$E$118"),MATCH($A625,INDIRECT("'"&amp;$AI625&amp;"'!$A$2:$A$118"),0))="","",INDEX(INDIRECT("'"&amp;$AI625&amp;"'!$E$2:$E$118"),MATCH($A625,INDIRECT("'"&amp;$AI625&amp;"'!$A$2:$A$118"),0))),"")</f>
        <v/>
      </c>
      <c r="F625" s="9" t="str">
        <f aca="false">IF($E625="","",IFERROR(INDEX(担当者マスタ!$B$2:$B$101,MATCH($E625,担当者マスタ!$A$2:$A$101,0)),"※マスタ未登録"))</f>
        <v/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f aca="false">SUM(G625:L625)</f>
        <v>0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f aca="false">SUM(N625:S625)</f>
        <v>0</v>
      </c>
      <c r="U625" s="11" t="n">
        <v>0</v>
      </c>
      <c r="V625" s="11" t="n">
        <v>195.3</v>
      </c>
      <c r="W625" s="11" t="n">
        <v>0</v>
      </c>
      <c r="X625" s="11" t="n">
        <v>0</v>
      </c>
      <c r="Y625" s="11" t="n">
        <v>0</v>
      </c>
      <c r="Z625" s="11" t="n">
        <v>0</v>
      </c>
      <c r="AA625" s="11" t="n">
        <f aca="false">SUM(U625:Z625)</f>
        <v>195.3</v>
      </c>
      <c r="AB625" s="11" t="n">
        <v>0</v>
      </c>
      <c r="AC625" s="11" t="n">
        <v>105.945</v>
      </c>
      <c r="AD625" s="11" t="n">
        <v>0</v>
      </c>
      <c r="AE625" s="11" t="n">
        <v>0</v>
      </c>
      <c r="AF625" s="11" t="n">
        <v>0</v>
      </c>
      <c r="AG625" s="11" t="n">
        <v>0</v>
      </c>
      <c r="AH625" s="11" t="n">
        <f aca="false">SUM(AB625:AG625)</f>
        <v>105.945</v>
      </c>
      <c r="AI625" s="12" t="s">
        <v>60</v>
      </c>
    </row>
    <row r="626" customFormat="false" ht="15" hidden="false" customHeight="false" outlineLevel="0" collapsed="false">
      <c r="A626" s="8" t="s">
        <v>1353</v>
      </c>
      <c r="B626" s="12" t="s">
        <v>1354</v>
      </c>
      <c r="C626" s="8" t="s">
        <v>1319</v>
      </c>
      <c r="D626" s="12" t="s">
        <v>1320</v>
      </c>
      <c r="E626" s="10" t="str">
        <f aca="true">IFERROR(IF(INDEX(INDIRECT("'"&amp;$AI626&amp;"'!$E$2:$E$118"),MATCH($A626,INDIRECT("'"&amp;$AI626&amp;"'!$A$2:$A$118"),0))="","",INDEX(INDIRECT("'"&amp;$AI626&amp;"'!$E$2:$E$118"),MATCH($A626,INDIRECT("'"&amp;$AI626&amp;"'!$A$2:$A$118"),0))),"")</f>
        <v/>
      </c>
      <c r="F626" s="9" t="str">
        <f aca="false">IF($E626="","",IFERROR(INDEX(担当者マスタ!$B$2:$B$101,MATCH($E626,担当者マスタ!$A$2:$A$101,0)),"※マスタ未登録"))</f>
        <v/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f aca="false">SUM(G626:L626)</f>
        <v>0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1" t="n">
        <f aca="false">SUM(N626:S626)</f>
        <v>0</v>
      </c>
      <c r="U626" s="11" t="n">
        <v>0</v>
      </c>
      <c r="V626" s="11" t="n">
        <v>0.05</v>
      </c>
      <c r="W626" s="11" t="n">
        <v>0</v>
      </c>
      <c r="X626" s="11" t="n">
        <v>0</v>
      </c>
      <c r="Y626" s="11" t="n">
        <v>0</v>
      </c>
      <c r="Z626" s="11" t="n">
        <v>0</v>
      </c>
      <c r="AA626" s="11" t="n">
        <f aca="false">SUM(U626:Z626)</f>
        <v>0.05</v>
      </c>
      <c r="AB626" s="11" t="n">
        <v>0</v>
      </c>
      <c r="AC626" s="11" t="n">
        <v>0.05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f aca="false">SUM(AB626:AG626)</f>
        <v>0.05</v>
      </c>
      <c r="AI626" s="12" t="s">
        <v>60</v>
      </c>
    </row>
    <row r="627" customFormat="false" ht="15" hidden="false" customHeight="false" outlineLevel="0" collapsed="false">
      <c r="A627" s="8" t="s">
        <v>1355</v>
      </c>
      <c r="B627" s="12" t="s">
        <v>1356</v>
      </c>
      <c r="C627" s="8" t="s">
        <v>1319</v>
      </c>
      <c r="D627" s="12" t="s">
        <v>1320</v>
      </c>
      <c r="E627" s="10" t="str">
        <f aca="true">IFERROR(IF(INDEX(INDIRECT("'"&amp;$AI627&amp;"'!$E$2:$E$118"),MATCH($A627,INDIRECT("'"&amp;$AI627&amp;"'!$A$2:$A$118"),0))="","",INDEX(INDIRECT("'"&amp;$AI627&amp;"'!$E$2:$E$118"),MATCH($A627,INDIRECT("'"&amp;$AI627&amp;"'!$A$2:$A$118"),0))),"")</f>
        <v/>
      </c>
      <c r="F627" s="9" t="str">
        <f aca="false">IF($E627="","",IFERROR(INDEX(担当者マスタ!$B$2:$B$101,MATCH($E627,担当者マスタ!$A$2:$A$101,0)),"※マスタ未登録"))</f>
        <v/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f aca="false">SUM(G627:L627)</f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1" t="n">
        <f aca="false">SUM(N627:S627)</f>
        <v>0</v>
      </c>
      <c r="U627" s="11" t="n">
        <v>0</v>
      </c>
      <c r="V627" s="11" t="n">
        <v>0</v>
      </c>
      <c r="W627" s="11" t="n">
        <v>302.25</v>
      </c>
      <c r="X627" s="11" t="n">
        <v>0</v>
      </c>
      <c r="Y627" s="11" t="n">
        <v>0</v>
      </c>
      <c r="Z627" s="11" t="n">
        <v>0</v>
      </c>
      <c r="AA627" s="11" t="n">
        <f aca="false">SUM(U627:Z627)</f>
        <v>302.25</v>
      </c>
      <c r="AB627" s="11" t="n">
        <v>0</v>
      </c>
      <c r="AC627" s="11" t="n">
        <v>0</v>
      </c>
      <c r="AD627" s="11" t="n">
        <v>161.234</v>
      </c>
      <c r="AE627" s="11" t="n">
        <v>0</v>
      </c>
      <c r="AF627" s="11" t="n">
        <v>0</v>
      </c>
      <c r="AG627" s="11" t="n">
        <v>0</v>
      </c>
      <c r="AH627" s="11" t="n">
        <f aca="false">SUM(AB627:AG627)</f>
        <v>161.234</v>
      </c>
      <c r="AI627" s="12" t="s">
        <v>60</v>
      </c>
    </row>
    <row r="628" customFormat="false" ht="15" hidden="false" customHeight="false" outlineLevel="0" collapsed="false">
      <c r="A628" s="8" t="s">
        <v>1357</v>
      </c>
      <c r="B628" s="12" t="s">
        <v>1358</v>
      </c>
      <c r="C628" s="8" t="s">
        <v>1319</v>
      </c>
      <c r="D628" s="12" t="s">
        <v>1320</v>
      </c>
      <c r="E628" s="10" t="str">
        <f aca="true">IFERROR(IF(INDEX(INDIRECT("'"&amp;$AI628&amp;"'!$E$2:$E$118"),MATCH($A628,INDIRECT("'"&amp;$AI628&amp;"'!$A$2:$A$118"),0))="","",INDEX(INDIRECT("'"&amp;$AI628&amp;"'!$E$2:$E$118"),MATCH($A628,INDIRECT("'"&amp;$AI628&amp;"'!$A$2:$A$118"),0))),"")</f>
        <v/>
      </c>
      <c r="F628" s="9" t="str">
        <f aca="false">IF($E628="","",IFERROR(INDEX(担当者マスタ!$B$2:$B$101,MATCH($E628,担当者マスタ!$A$2:$A$101,0)),"※マスタ未登録"))</f>
        <v/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f aca="false">SUM(G628:L628)</f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f aca="false">SUM(N628:S628)</f>
        <v>0</v>
      </c>
      <c r="U628" s="11" t="n">
        <v>0</v>
      </c>
      <c r="V628" s="11" t="n">
        <v>0</v>
      </c>
      <c r="W628" s="11" t="n">
        <v>362.7</v>
      </c>
      <c r="X628" s="11" t="n">
        <v>0</v>
      </c>
      <c r="Y628" s="11" t="n">
        <v>0</v>
      </c>
      <c r="Z628" s="11" t="n">
        <v>0</v>
      </c>
      <c r="AA628" s="11" t="n">
        <f aca="false">SUM(U628:Z628)</f>
        <v>362.7</v>
      </c>
      <c r="AB628" s="11" t="n">
        <v>0</v>
      </c>
      <c r="AC628" s="11" t="n">
        <v>0</v>
      </c>
      <c r="AD628" s="11" t="n">
        <v>203.352</v>
      </c>
      <c r="AE628" s="11" t="n">
        <v>0</v>
      </c>
      <c r="AF628" s="11" t="n">
        <v>0</v>
      </c>
      <c r="AG628" s="11" t="n">
        <v>0</v>
      </c>
      <c r="AH628" s="11" t="n">
        <f aca="false">SUM(AB628:AG628)</f>
        <v>203.352</v>
      </c>
      <c r="AI628" s="12" t="s">
        <v>60</v>
      </c>
    </row>
    <row r="629" customFormat="false" ht="15" hidden="false" customHeight="false" outlineLevel="0" collapsed="false">
      <c r="A629" s="8" t="s">
        <v>1359</v>
      </c>
      <c r="B629" s="12" t="s">
        <v>1360</v>
      </c>
      <c r="C629" s="8" t="s">
        <v>1319</v>
      </c>
      <c r="D629" s="12" t="s">
        <v>1320</v>
      </c>
      <c r="E629" s="10" t="str">
        <f aca="true">IFERROR(IF(INDEX(INDIRECT("'"&amp;$AI629&amp;"'!$E$2:$E$118"),MATCH($A629,INDIRECT("'"&amp;$AI629&amp;"'!$A$2:$A$118"),0))="","",INDEX(INDIRECT("'"&amp;$AI629&amp;"'!$E$2:$E$118"),MATCH($A629,INDIRECT("'"&amp;$AI629&amp;"'!$A$2:$A$118"),0))),"")</f>
        <v/>
      </c>
      <c r="F629" s="9" t="str">
        <f aca="false">IF($E629="","",IFERROR(INDEX(担当者マスタ!$B$2:$B$101,MATCH($E629,担当者マスタ!$A$2:$A$101,0)),"※マスタ未登録"))</f>
        <v/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f aca="false">SUM(G629:L629)</f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1" t="n">
        <f aca="false">SUM(N629:S629)</f>
        <v>0</v>
      </c>
      <c r="U629" s="11" t="n">
        <v>0</v>
      </c>
      <c r="V629" s="11" t="n">
        <v>0</v>
      </c>
      <c r="W629" s="11" t="n">
        <v>430.9</v>
      </c>
      <c r="X629" s="11" t="n">
        <v>0</v>
      </c>
      <c r="Y629" s="11" t="n">
        <v>116.25</v>
      </c>
      <c r="Z629" s="11" t="n">
        <v>0</v>
      </c>
      <c r="AA629" s="11" t="n">
        <f aca="false">SUM(U629:Z629)</f>
        <v>547.15</v>
      </c>
      <c r="AB629" s="11" t="n">
        <v>0</v>
      </c>
      <c r="AC629" s="11" t="n">
        <v>0</v>
      </c>
      <c r="AD629" s="11" t="n">
        <v>206.464</v>
      </c>
      <c r="AE629" s="11" t="n">
        <v>0</v>
      </c>
      <c r="AF629" s="11" t="n">
        <v>65.122</v>
      </c>
      <c r="AG629" s="11" t="n">
        <v>0</v>
      </c>
      <c r="AH629" s="11" t="n">
        <f aca="false">SUM(AB629:AG629)</f>
        <v>271.586</v>
      </c>
      <c r="AI629" s="12" t="s">
        <v>60</v>
      </c>
    </row>
    <row r="630" customFormat="false" ht="15" hidden="false" customHeight="false" outlineLevel="0" collapsed="false">
      <c r="A630" s="8" t="s">
        <v>1361</v>
      </c>
      <c r="B630" s="9" t="s">
        <v>1362</v>
      </c>
      <c r="C630" s="8" t="s">
        <v>1319</v>
      </c>
      <c r="D630" s="12" t="s">
        <v>1320</v>
      </c>
      <c r="E630" s="10" t="str">
        <f aca="true">IFERROR(IF(INDEX(INDIRECT("'"&amp;$AI630&amp;"'!$E$2:$E$118"),MATCH($A630,INDIRECT("'"&amp;$AI630&amp;"'!$A$2:$A$118"),0))="","",INDEX(INDIRECT("'"&amp;$AI630&amp;"'!$E$2:$E$118"),MATCH($A630,INDIRECT("'"&amp;$AI630&amp;"'!$A$2:$A$118"),0))),"")</f>
        <v/>
      </c>
      <c r="F630" s="9" t="str">
        <f aca="false">IF($E630="","",IFERROR(INDEX(担当者マスタ!$B$2:$B$101,MATCH($E630,担当者マスタ!$A$2:$A$101,0)),"※マスタ未登録"))</f>
        <v/>
      </c>
      <c r="G630" s="11" t="n">
        <v>0</v>
      </c>
      <c r="H630" s="11" t="n">
        <v>0</v>
      </c>
      <c r="I630" s="11" t="n">
        <v>0</v>
      </c>
      <c r="J630" s="11" t="n">
        <v>3.16</v>
      </c>
      <c r="K630" s="11" t="n">
        <v>0</v>
      </c>
      <c r="L630" s="11" t="n">
        <v>0</v>
      </c>
      <c r="M630" s="11" t="n">
        <f aca="false">SUM(G630:L630)</f>
        <v>3.16</v>
      </c>
      <c r="N630" s="11" t="n">
        <v>0</v>
      </c>
      <c r="O630" s="11" t="n">
        <v>0</v>
      </c>
      <c r="P630" s="11" t="n">
        <v>0</v>
      </c>
      <c r="Q630" s="11" t="n">
        <v>3.16</v>
      </c>
      <c r="R630" s="11" t="n">
        <v>0</v>
      </c>
      <c r="S630" s="11" t="n">
        <v>0</v>
      </c>
      <c r="T630" s="11" t="n">
        <f aca="false">SUM(N630:S630)</f>
        <v>3.16</v>
      </c>
      <c r="U630" s="11" t="n">
        <v>0</v>
      </c>
      <c r="V630" s="11" t="n">
        <v>0</v>
      </c>
      <c r="W630" s="11" t="n">
        <v>0</v>
      </c>
      <c r="X630" s="11" t="n">
        <v>3.2</v>
      </c>
      <c r="Y630" s="11" t="n">
        <v>0</v>
      </c>
      <c r="Z630" s="11" t="n">
        <v>0</v>
      </c>
      <c r="AA630" s="11" t="n">
        <f aca="false">SUM(U630:Z630)</f>
        <v>3.2</v>
      </c>
      <c r="AB630" s="11" t="n">
        <v>0</v>
      </c>
      <c r="AC630" s="11" t="n">
        <v>0</v>
      </c>
      <c r="AD630" s="11" t="n">
        <v>0</v>
      </c>
      <c r="AE630" s="11" t="n">
        <v>3.2</v>
      </c>
      <c r="AF630" s="11" t="n">
        <v>0</v>
      </c>
      <c r="AG630" s="11" t="n">
        <v>0</v>
      </c>
      <c r="AH630" s="11" t="n">
        <f aca="false">SUM(AB630:AG630)</f>
        <v>3.2</v>
      </c>
      <c r="AI630" s="12" t="s">
        <v>60</v>
      </c>
    </row>
    <row r="631" customFormat="false" ht="15" hidden="false" customHeight="false" outlineLevel="0" collapsed="false">
      <c r="A631" s="8" t="s">
        <v>1363</v>
      </c>
      <c r="B631" s="12" t="s">
        <v>1364</v>
      </c>
      <c r="C631" s="8" t="s">
        <v>1319</v>
      </c>
      <c r="D631" s="12" t="s">
        <v>1320</v>
      </c>
      <c r="E631" s="10" t="str">
        <f aca="true">IFERROR(IF(INDEX(INDIRECT("'"&amp;$AI631&amp;"'!$E$2:$E$118"),MATCH($A631,INDIRECT("'"&amp;$AI631&amp;"'!$A$2:$A$118"),0))="","",INDEX(INDIRECT("'"&amp;$AI631&amp;"'!$E$2:$E$118"),MATCH($A631,INDIRECT("'"&amp;$AI631&amp;"'!$A$2:$A$118"),0))),"")</f>
        <v/>
      </c>
      <c r="F631" s="9" t="str">
        <f aca="false">IF($E631="","",IFERROR(INDEX(担当者マスタ!$B$2:$B$101,MATCH($E631,担当者マスタ!$A$2:$A$101,0)),"※マスタ未登録"))</f>
        <v/>
      </c>
      <c r="G631" s="11" t="n">
        <v>370.876</v>
      </c>
      <c r="H631" s="11" t="n">
        <v>364.876</v>
      </c>
      <c r="I631" s="11" t="n">
        <v>154.126</v>
      </c>
      <c r="J631" s="11" t="n">
        <v>555</v>
      </c>
      <c r="K631" s="11" t="n">
        <v>0</v>
      </c>
      <c r="L631" s="11" t="n">
        <v>309</v>
      </c>
      <c r="M631" s="11" t="n">
        <f aca="false">SUM(G631:L631)</f>
        <v>1753.878</v>
      </c>
      <c r="N631" s="11" t="n">
        <v>138.126</v>
      </c>
      <c r="O631" s="11" t="n">
        <v>132.626</v>
      </c>
      <c r="P631" s="11" t="n">
        <v>58.126</v>
      </c>
      <c r="Q631" s="11" t="n">
        <v>221.75</v>
      </c>
      <c r="R631" s="11" t="n">
        <v>0</v>
      </c>
      <c r="S631" s="11" t="n">
        <v>96.75</v>
      </c>
      <c r="T631" s="11" t="n">
        <f aca="false">SUM(N631:S631)</f>
        <v>647.378</v>
      </c>
      <c r="U631" s="11" t="n">
        <v>765.378</v>
      </c>
      <c r="V631" s="11" t="n">
        <v>847.652</v>
      </c>
      <c r="W631" s="11" t="n">
        <v>524.951</v>
      </c>
      <c r="X631" s="11" t="n">
        <v>313.1</v>
      </c>
      <c r="Y631" s="11" t="n">
        <v>0</v>
      </c>
      <c r="Z631" s="11" t="n">
        <v>0</v>
      </c>
      <c r="AA631" s="11" t="n">
        <f aca="false">SUM(U631:Z631)</f>
        <v>2451.081</v>
      </c>
      <c r="AB631" s="11" t="n">
        <v>283.078</v>
      </c>
      <c r="AC631" s="11" t="n">
        <v>323.51</v>
      </c>
      <c r="AD631" s="11" t="n">
        <v>199.293</v>
      </c>
      <c r="AE631" s="11" t="n">
        <v>112.181</v>
      </c>
      <c r="AF631" s="11" t="n">
        <v>0</v>
      </c>
      <c r="AG631" s="11" t="n">
        <v>0</v>
      </c>
      <c r="AH631" s="11" t="n">
        <f aca="false">SUM(AB631:AG631)</f>
        <v>918.062</v>
      </c>
      <c r="AI631" s="12" t="s">
        <v>60</v>
      </c>
    </row>
    <row r="632" customFormat="false" ht="15" hidden="false" customHeight="false" outlineLevel="0" collapsed="false">
      <c r="A632" s="8" t="s">
        <v>1365</v>
      </c>
      <c r="B632" s="9" t="s">
        <v>1366</v>
      </c>
      <c r="C632" s="8" t="s">
        <v>1319</v>
      </c>
      <c r="D632" s="12" t="s">
        <v>1320</v>
      </c>
      <c r="E632" s="10" t="str">
        <f aca="true">IFERROR(IF(INDEX(INDIRECT("'"&amp;$AI632&amp;"'!$E$2:$E$118"),MATCH($A632,INDIRECT("'"&amp;$AI632&amp;"'!$A$2:$A$118"),0))="","",INDEX(INDIRECT("'"&amp;$AI632&amp;"'!$E$2:$E$118"),MATCH($A632,INDIRECT("'"&amp;$AI632&amp;"'!$A$2:$A$118"),0))),"")</f>
        <v/>
      </c>
      <c r="F632" s="9" t="str">
        <f aca="false">IF($E632="","",IFERROR(INDEX(担当者マスタ!$B$2:$B$101,MATCH($E632,担当者マスタ!$A$2:$A$101,0)),"※マスタ未登録"))</f>
        <v/>
      </c>
      <c r="G632" s="11" t="n">
        <v>58.5</v>
      </c>
      <c r="H632" s="11" t="n">
        <v>58.5</v>
      </c>
      <c r="I632" s="11" t="n">
        <v>65</v>
      </c>
      <c r="J632" s="11" t="n">
        <v>65</v>
      </c>
      <c r="K632" s="11" t="n">
        <v>71.5</v>
      </c>
      <c r="L632" s="11" t="n">
        <v>32.5</v>
      </c>
      <c r="M632" s="11" t="n">
        <f aca="false">SUM(G632:L632)</f>
        <v>351</v>
      </c>
      <c r="N632" s="11" t="n">
        <v>4.5</v>
      </c>
      <c r="O632" s="11" t="n">
        <v>4.5</v>
      </c>
      <c r="P632" s="11" t="n">
        <v>5</v>
      </c>
      <c r="Q632" s="11" t="n">
        <v>5</v>
      </c>
      <c r="R632" s="11" t="n">
        <v>5.5</v>
      </c>
      <c r="S632" s="11" t="n">
        <v>2.5</v>
      </c>
      <c r="T632" s="11" t="n">
        <f aca="false">SUM(N632:S632)</f>
        <v>27</v>
      </c>
      <c r="U632" s="11" t="n">
        <v>84.5</v>
      </c>
      <c r="V632" s="11" t="n">
        <v>65</v>
      </c>
      <c r="W632" s="11" t="n">
        <v>91</v>
      </c>
      <c r="X632" s="11" t="n">
        <v>58.5</v>
      </c>
      <c r="Y632" s="11" t="n">
        <v>84.5</v>
      </c>
      <c r="Z632" s="11" t="n">
        <v>78</v>
      </c>
      <c r="AA632" s="11" t="n">
        <f aca="false">SUM(U632:Z632)</f>
        <v>461.5</v>
      </c>
      <c r="AB632" s="11" t="n">
        <v>6.5</v>
      </c>
      <c r="AC632" s="11" t="n">
        <v>5</v>
      </c>
      <c r="AD632" s="11" t="n">
        <v>7</v>
      </c>
      <c r="AE632" s="11" t="n">
        <v>4.5</v>
      </c>
      <c r="AF632" s="11" t="n">
        <v>6.5</v>
      </c>
      <c r="AG632" s="11" t="n">
        <v>6</v>
      </c>
      <c r="AH632" s="11" t="n">
        <f aca="false">SUM(AB632:AG632)</f>
        <v>35.5</v>
      </c>
      <c r="AI632" s="12" t="s">
        <v>60</v>
      </c>
    </row>
    <row r="633" customFormat="false" ht="15" hidden="false" customHeight="false" outlineLevel="0" collapsed="false">
      <c r="A633" s="8" t="s">
        <v>1367</v>
      </c>
      <c r="B633" s="12" t="s">
        <v>1368</v>
      </c>
      <c r="C633" s="8" t="s">
        <v>1319</v>
      </c>
      <c r="D633" s="12" t="s">
        <v>1320</v>
      </c>
      <c r="E633" s="10" t="str">
        <f aca="true">IFERROR(IF(INDEX(INDIRECT("'"&amp;$AI633&amp;"'!$E$2:$E$118"),MATCH($A633,INDIRECT("'"&amp;$AI633&amp;"'!$A$2:$A$118"),0))="","",INDEX(INDIRECT("'"&amp;$AI633&amp;"'!$E$2:$E$118"),MATCH($A633,INDIRECT("'"&amp;$AI633&amp;"'!$A$2:$A$118"),0))),"")</f>
        <v/>
      </c>
      <c r="F633" s="9" t="str">
        <f aca="false">IF($E633="","",IFERROR(INDEX(担当者マスタ!$B$2:$B$101,MATCH($E633,担当者マスタ!$A$2:$A$101,0)),"※マスタ未登録"))</f>
        <v/>
      </c>
      <c r="G633" s="11" t="n">
        <v>19.5</v>
      </c>
      <c r="H633" s="11" t="n">
        <v>13</v>
      </c>
      <c r="I633" s="11" t="n">
        <v>26</v>
      </c>
      <c r="J633" s="11" t="n">
        <v>19.5</v>
      </c>
      <c r="K633" s="11" t="n">
        <v>19.5</v>
      </c>
      <c r="L633" s="11" t="n">
        <v>26</v>
      </c>
      <c r="M633" s="11" t="n">
        <f aca="false">SUM(G633:L633)</f>
        <v>123.5</v>
      </c>
      <c r="N633" s="11" t="n">
        <v>1.5</v>
      </c>
      <c r="O633" s="11" t="n">
        <v>1</v>
      </c>
      <c r="P633" s="11" t="n">
        <v>2</v>
      </c>
      <c r="Q633" s="11" t="n">
        <v>1.5</v>
      </c>
      <c r="R633" s="11" t="n">
        <v>1.5</v>
      </c>
      <c r="S633" s="11" t="n">
        <v>2</v>
      </c>
      <c r="T633" s="11" t="n">
        <f aca="false">SUM(N633:S633)</f>
        <v>9.5</v>
      </c>
      <c r="U633" s="11" t="n">
        <v>0</v>
      </c>
      <c r="V633" s="11" t="n">
        <v>0</v>
      </c>
      <c r="W633" s="11" t="n">
        <v>0</v>
      </c>
      <c r="X633" s="11" t="n">
        <v>0</v>
      </c>
      <c r="Y633" s="11" t="n">
        <v>0</v>
      </c>
      <c r="Z633" s="11" t="n">
        <v>0</v>
      </c>
      <c r="AA633" s="11" t="n">
        <f aca="false">SUM(U633:Z633)</f>
        <v>0</v>
      </c>
      <c r="AB633" s="11" t="n">
        <v>0</v>
      </c>
      <c r="AC633" s="11" t="n">
        <v>0</v>
      </c>
      <c r="AD633" s="11" t="n">
        <v>0</v>
      </c>
      <c r="AE633" s="11" t="n">
        <v>0</v>
      </c>
      <c r="AF633" s="11" t="n">
        <v>0</v>
      </c>
      <c r="AG633" s="11" t="n">
        <v>0</v>
      </c>
      <c r="AH633" s="11" t="n">
        <f aca="false">SUM(AB633:AG633)</f>
        <v>0</v>
      </c>
      <c r="AI633" s="12" t="s">
        <v>60</v>
      </c>
    </row>
    <row r="634" customFormat="false" ht="15" hidden="false" customHeight="false" outlineLevel="0" collapsed="false">
      <c r="A634" s="8" t="s">
        <v>1369</v>
      </c>
      <c r="B634" s="12" t="s">
        <v>1370</v>
      </c>
      <c r="C634" s="8" t="s">
        <v>1319</v>
      </c>
      <c r="D634" s="12" t="s">
        <v>1320</v>
      </c>
      <c r="E634" s="10" t="str">
        <f aca="true">IFERROR(IF(INDEX(INDIRECT("'"&amp;$AI634&amp;"'!$E$2:$E$118"),MATCH($A634,INDIRECT("'"&amp;$AI634&amp;"'!$A$2:$A$118"),0))="","",INDEX(INDIRECT("'"&amp;$AI634&amp;"'!$E$2:$E$118"),MATCH($A634,INDIRECT("'"&amp;$AI634&amp;"'!$A$2:$A$118"),0))),"")</f>
        <v/>
      </c>
      <c r="F634" s="9" t="str">
        <f aca="false">IF($E634="","",IFERROR(INDEX(担当者マスタ!$B$2:$B$101,MATCH($E634,担当者マスタ!$A$2:$A$101,0)),"※マスタ未登録"))</f>
        <v/>
      </c>
      <c r="G634" s="11" t="n">
        <v>19</v>
      </c>
      <c r="H634" s="11" t="n">
        <v>14.44</v>
      </c>
      <c r="I634" s="11" t="n">
        <v>7.24</v>
      </c>
      <c r="J634" s="11" t="n">
        <v>13.88</v>
      </c>
      <c r="K634" s="11" t="n">
        <v>23.04</v>
      </c>
      <c r="L634" s="11" t="n">
        <v>6.32</v>
      </c>
      <c r="M634" s="11" t="n">
        <f aca="false">SUM(G634:L634)</f>
        <v>83.92</v>
      </c>
      <c r="N634" s="11" t="n">
        <v>19</v>
      </c>
      <c r="O634" s="11" t="n">
        <v>14.44</v>
      </c>
      <c r="P634" s="11" t="n">
        <v>7.24</v>
      </c>
      <c r="Q634" s="11" t="n">
        <v>13.88</v>
      </c>
      <c r="R634" s="11" t="n">
        <v>23.04</v>
      </c>
      <c r="S634" s="11" t="n">
        <v>6.32</v>
      </c>
      <c r="T634" s="11" t="n">
        <f aca="false">SUM(N634:S634)</f>
        <v>83.92</v>
      </c>
      <c r="U634" s="11" t="n">
        <v>15.64</v>
      </c>
      <c r="V634" s="11" t="n">
        <v>19.92</v>
      </c>
      <c r="W634" s="11" t="n">
        <v>8.08</v>
      </c>
      <c r="X634" s="11" t="n">
        <v>1.2</v>
      </c>
      <c r="Y634" s="11" t="n">
        <v>3.96</v>
      </c>
      <c r="Z634" s="11" t="n">
        <v>8.76</v>
      </c>
      <c r="AA634" s="11" t="n">
        <f aca="false">SUM(U634:Z634)</f>
        <v>57.56</v>
      </c>
      <c r="AB634" s="11" t="n">
        <v>15.64</v>
      </c>
      <c r="AC634" s="11" t="n">
        <v>19.92</v>
      </c>
      <c r="AD634" s="11" t="n">
        <v>8.08</v>
      </c>
      <c r="AE634" s="11" t="n">
        <v>1.2</v>
      </c>
      <c r="AF634" s="11" t="n">
        <v>3.96</v>
      </c>
      <c r="AG634" s="11" t="n">
        <v>8.76</v>
      </c>
      <c r="AH634" s="11" t="n">
        <f aca="false">SUM(AB634:AG634)</f>
        <v>57.56</v>
      </c>
      <c r="AI634" s="12" t="s">
        <v>60</v>
      </c>
    </row>
    <row r="635" customFormat="false" ht="15" hidden="false" customHeight="false" outlineLevel="0" collapsed="false">
      <c r="A635" s="8" t="s">
        <v>1371</v>
      </c>
      <c r="B635" s="9" t="s">
        <v>1372</v>
      </c>
      <c r="C635" s="8" t="s">
        <v>1319</v>
      </c>
      <c r="D635" s="12" t="s">
        <v>1320</v>
      </c>
      <c r="E635" s="10" t="str">
        <f aca="true">IFERROR(IF(INDEX(INDIRECT("'"&amp;$AI635&amp;"'!$E$2:$E$118"),MATCH($A635,INDIRECT("'"&amp;$AI635&amp;"'!$A$2:$A$118"),0))="","",INDEX(INDIRECT("'"&amp;$AI635&amp;"'!$E$2:$E$118"),MATCH($A635,INDIRECT("'"&amp;$AI635&amp;"'!$A$2:$A$118"),0))),"")</f>
        <v/>
      </c>
      <c r="F635" s="9" t="str">
        <f aca="false">IF($E635="","",IFERROR(INDEX(担当者マスタ!$B$2:$B$101,MATCH($E635,担当者マスタ!$A$2:$A$101,0)),"※マスタ未登録"))</f>
        <v/>
      </c>
      <c r="G635" s="11" t="n">
        <v>52</v>
      </c>
      <c r="H635" s="11" t="n">
        <v>58.5</v>
      </c>
      <c r="I635" s="11" t="n">
        <v>58.5</v>
      </c>
      <c r="J635" s="11" t="n">
        <v>58.5</v>
      </c>
      <c r="K635" s="11" t="n">
        <v>52</v>
      </c>
      <c r="L635" s="11" t="n">
        <v>58.5</v>
      </c>
      <c r="M635" s="11" t="n">
        <f aca="false">SUM(G635:L635)</f>
        <v>338</v>
      </c>
      <c r="N635" s="11" t="n">
        <v>4</v>
      </c>
      <c r="O635" s="11" t="n">
        <v>4.5</v>
      </c>
      <c r="P635" s="11" t="n">
        <v>4.5</v>
      </c>
      <c r="Q635" s="11" t="n">
        <v>4.5</v>
      </c>
      <c r="R635" s="11" t="n">
        <v>4</v>
      </c>
      <c r="S635" s="11" t="n">
        <v>4.5</v>
      </c>
      <c r="T635" s="11" t="n">
        <f aca="false">SUM(N635:S635)</f>
        <v>26</v>
      </c>
      <c r="U635" s="11" t="n">
        <v>65</v>
      </c>
      <c r="V635" s="11" t="n">
        <v>78</v>
      </c>
      <c r="W635" s="11" t="n">
        <v>78</v>
      </c>
      <c r="X635" s="11" t="n">
        <v>58.5</v>
      </c>
      <c r="Y635" s="11" t="n">
        <v>91</v>
      </c>
      <c r="Z635" s="11" t="n">
        <v>78</v>
      </c>
      <c r="AA635" s="11" t="n">
        <f aca="false">SUM(U635:Z635)</f>
        <v>448.5</v>
      </c>
      <c r="AB635" s="11" t="n">
        <v>5</v>
      </c>
      <c r="AC635" s="11" t="n">
        <v>6</v>
      </c>
      <c r="AD635" s="11" t="n">
        <v>6</v>
      </c>
      <c r="AE635" s="11" t="n">
        <v>4.5</v>
      </c>
      <c r="AF635" s="11" t="n">
        <v>7</v>
      </c>
      <c r="AG635" s="11" t="n">
        <v>6</v>
      </c>
      <c r="AH635" s="11" t="n">
        <f aca="false">SUM(AB635:AG635)</f>
        <v>34.5</v>
      </c>
      <c r="AI635" s="12" t="s">
        <v>60</v>
      </c>
    </row>
    <row r="636" customFormat="false" ht="15" hidden="false" customHeight="false" outlineLevel="0" collapsed="false">
      <c r="A636" s="8" t="s">
        <v>1373</v>
      </c>
      <c r="B636" s="12" t="s">
        <v>1374</v>
      </c>
      <c r="C636" s="8" t="s">
        <v>1319</v>
      </c>
      <c r="D636" s="12" t="s">
        <v>1320</v>
      </c>
      <c r="E636" s="10" t="str">
        <f aca="true">IFERROR(IF(INDEX(INDIRECT("'"&amp;$AI636&amp;"'!$E$2:$E$118"),MATCH($A636,INDIRECT("'"&amp;$AI636&amp;"'!$A$2:$A$118"),0))="","",INDEX(INDIRECT("'"&amp;$AI636&amp;"'!$E$2:$E$118"),MATCH($A636,INDIRECT("'"&amp;$AI636&amp;"'!$A$2:$A$118"),0))),"")</f>
        <v/>
      </c>
      <c r="F636" s="9" t="str">
        <f aca="false">IF($E636="","",IFERROR(INDEX(担当者マスタ!$B$2:$B$101,MATCH($E636,担当者マスタ!$A$2:$A$101,0)),"※マスタ未登録"))</f>
        <v/>
      </c>
      <c r="G636" s="11" t="n">
        <v>556.58</v>
      </c>
      <c r="H636" s="11" t="n">
        <v>31.56</v>
      </c>
      <c r="I636" s="11" t="n">
        <v>5.96</v>
      </c>
      <c r="J636" s="11" t="n">
        <v>1.44</v>
      </c>
      <c r="K636" s="11" t="n">
        <v>0</v>
      </c>
      <c r="L636" s="11" t="n">
        <v>11.28</v>
      </c>
      <c r="M636" s="11" t="n">
        <f aca="false">SUM(G636:L636)</f>
        <v>606.82</v>
      </c>
      <c r="N636" s="11" t="n">
        <v>335.33</v>
      </c>
      <c r="O636" s="11" t="n">
        <v>31.56</v>
      </c>
      <c r="P636" s="11" t="n">
        <v>5.96</v>
      </c>
      <c r="Q636" s="11" t="n">
        <v>1.44</v>
      </c>
      <c r="R636" s="11" t="n">
        <v>0</v>
      </c>
      <c r="S636" s="11" t="n">
        <v>11.28</v>
      </c>
      <c r="T636" s="11" t="n">
        <f aca="false">SUM(N636:S636)</f>
        <v>385.57</v>
      </c>
      <c r="U636" s="11" t="n">
        <v>280.94</v>
      </c>
      <c r="V636" s="11" t="n">
        <v>31.64</v>
      </c>
      <c r="W636" s="11" t="n">
        <v>15.28</v>
      </c>
      <c r="X636" s="11" t="n">
        <v>0</v>
      </c>
      <c r="Y636" s="11" t="n">
        <v>0</v>
      </c>
      <c r="Z636" s="11" t="n">
        <v>7.12</v>
      </c>
      <c r="AA636" s="11" t="n">
        <f aca="false">SUM(U636:Z636)</f>
        <v>334.98</v>
      </c>
      <c r="AB636" s="11" t="n">
        <v>170.19</v>
      </c>
      <c r="AC636" s="11" t="n">
        <v>31.64</v>
      </c>
      <c r="AD636" s="11" t="n">
        <v>15.28</v>
      </c>
      <c r="AE636" s="11" t="n">
        <v>0</v>
      </c>
      <c r="AF636" s="11" t="n">
        <v>0</v>
      </c>
      <c r="AG636" s="11" t="n">
        <v>7.12</v>
      </c>
      <c r="AH636" s="11" t="n">
        <f aca="false">SUM(AB636:AG636)</f>
        <v>224.23</v>
      </c>
      <c r="AI636" s="12" t="s">
        <v>60</v>
      </c>
    </row>
    <row r="637" customFormat="false" ht="15" hidden="false" customHeight="false" outlineLevel="0" collapsed="false">
      <c r="A637" s="8" t="s">
        <v>1375</v>
      </c>
      <c r="B637" s="9" t="s">
        <v>1376</v>
      </c>
      <c r="C637" s="8" t="s">
        <v>1319</v>
      </c>
      <c r="D637" s="12" t="s">
        <v>1320</v>
      </c>
      <c r="E637" s="10" t="str">
        <f aca="true">IFERROR(IF(INDEX(INDIRECT("'"&amp;$AI637&amp;"'!$E$2:$E$118"),MATCH($A637,INDIRECT("'"&amp;$AI637&amp;"'!$A$2:$A$118"),0))="","",INDEX(INDIRECT("'"&amp;$AI637&amp;"'!$E$2:$E$118"),MATCH($A637,INDIRECT("'"&amp;$AI637&amp;"'!$A$2:$A$118"),0))),"")</f>
        <v/>
      </c>
      <c r="F637" s="9" t="str">
        <f aca="false">IF($E637="","",IFERROR(INDEX(担当者マスタ!$B$2:$B$101,MATCH($E637,担当者マスタ!$A$2:$A$101,0)),"※マスタ未登録"))</f>
        <v/>
      </c>
      <c r="G637" s="11" t="n">
        <v>33.48</v>
      </c>
      <c r="H637" s="11" t="n">
        <v>24.32</v>
      </c>
      <c r="I637" s="11" t="n">
        <v>30.4</v>
      </c>
      <c r="J637" s="11" t="n">
        <v>12.28</v>
      </c>
      <c r="K637" s="11" t="n">
        <v>13.36</v>
      </c>
      <c r="L637" s="11" t="n">
        <v>22.24</v>
      </c>
      <c r="M637" s="11" t="n">
        <f aca="false">SUM(G637:L637)</f>
        <v>136.08</v>
      </c>
      <c r="N637" s="11" t="n">
        <v>33.48</v>
      </c>
      <c r="O637" s="11" t="n">
        <v>24.32</v>
      </c>
      <c r="P637" s="11" t="n">
        <v>30.4</v>
      </c>
      <c r="Q637" s="11" t="n">
        <v>12.28</v>
      </c>
      <c r="R637" s="11" t="n">
        <v>13.36</v>
      </c>
      <c r="S637" s="11" t="n">
        <v>22.24</v>
      </c>
      <c r="T637" s="11" t="n">
        <f aca="false">SUM(N637:S637)</f>
        <v>136.08</v>
      </c>
      <c r="U637" s="11" t="n">
        <v>17.84</v>
      </c>
      <c r="V637" s="11" t="n">
        <v>27.64</v>
      </c>
      <c r="W637" s="11" t="n">
        <v>9.2</v>
      </c>
      <c r="X637" s="11" t="n">
        <v>3.48</v>
      </c>
      <c r="Y637" s="11" t="n">
        <v>10.68</v>
      </c>
      <c r="Z637" s="11" t="n">
        <v>7.68</v>
      </c>
      <c r="AA637" s="11" t="n">
        <f aca="false">SUM(U637:Z637)</f>
        <v>76.52</v>
      </c>
      <c r="AB637" s="11" t="n">
        <v>17.84</v>
      </c>
      <c r="AC637" s="11" t="n">
        <v>27.64</v>
      </c>
      <c r="AD637" s="11" t="n">
        <v>9.2</v>
      </c>
      <c r="AE637" s="11" t="n">
        <v>3.48</v>
      </c>
      <c r="AF637" s="11" t="n">
        <v>10.68</v>
      </c>
      <c r="AG637" s="11" t="n">
        <v>7.68</v>
      </c>
      <c r="AH637" s="11" t="n">
        <f aca="false">SUM(AB637:AG637)</f>
        <v>76.52</v>
      </c>
      <c r="AI637" s="12" t="s">
        <v>60</v>
      </c>
    </row>
    <row r="638" customFormat="false" ht="15" hidden="false" customHeight="false" outlineLevel="0" collapsed="false">
      <c r="A638" s="8" t="s">
        <v>1377</v>
      </c>
      <c r="B638" s="12" t="s">
        <v>1378</v>
      </c>
      <c r="C638" s="8" t="s">
        <v>1319</v>
      </c>
      <c r="D638" s="12" t="s">
        <v>1320</v>
      </c>
      <c r="E638" s="10" t="str">
        <f aca="true">IFERROR(IF(INDEX(INDIRECT("'"&amp;$AI638&amp;"'!$E$2:$E$118"),MATCH($A638,INDIRECT("'"&amp;$AI638&amp;"'!$A$2:$A$118"),0))="","",INDEX(INDIRECT("'"&amp;$AI638&amp;"'!$E$2:$E$118"),MATCH($A638,INDIRECT("'"&amp;$AI638&amp;"'!$A$2:$A$118"),0))),"")</f>
        <v/>
      </c>
      <c r="F638" s="9" t="str">
        <f aca="false">IF($E638="","",IFERROR(INDEX(担当者マスタ!$B$2:$B$101,MATCH($E638,担当者マスタ!$A$2:$A$101,0)),"※マスタ未登録"))</f>
        <v/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f aca="false">SUM(G638:L638)</f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1" t="n">
        <f aca="false">SUM(N638:S638)</f>
        <v>0</v>
      </c>
      <c r="U638" s="11" t="n">
        <v>314.25</v>
      </c>
      <c r="V638" s="11" t="n">
        <v>139.5</v>
      </c>
      <c r="W638" s="11" t="n">
        <v>0</v>
      </c>
      <c r="X638" s="11" t="n">
        <v>0</v>
      </c>
      <c r="Y638" s="11" t="n">
        <v>0</v>
      </c>
      <c r="Z638" s="11" t="n">
        <v>0</v>
      </c>
      <c r="AA638" s="11" t="n">
        <f aca="false">SUM(U638:Z638)</f>
        <v>453.75</v>
      </c>
      <c r="AB638" s="11" t="n">
        <v>173.25</v>
      </c>
      <c r="AC638" s="11" t="n">
        <v>76.25</v>
      </c>
      <c r="AD638" s="11" t="n">
        <v>0</v>
      </c>
      <c r="AE638" s="11" t="n">
        <v>0</v>
      </c>
      <c r="AF638" s="11" t="n">
        <v>0</v>
      </c>
      <c r="AG638" s="11" t="n">
        <v>0</v>
      </c>
      <c r="AH638" s="11" t="n">
        <f aca="false">SUM(AB638:AG638)</f>
        <v>249.5</v>
      </c>
      <c r="AI638" s="12" t="s">
        <v>60</v>
      </c>
    </row>
    <row r="639" customFormat="false" ht="15" hidden="false" customHeight="false" outlineLevel="0" collapsed="false">
      <c r="A639" s="8" t="s">
        <v>1379</v>
      </c>
      <c r="B639" s="12" t="s">
        <v>1380</v>
      </c>
      <c r="C639" s="8" t="s">
        <v>1319</v>
      </c>
      <c r="D639" s="12" t="s">
        <v>1320</v>
      </c>
      <c r="E639" s="10" t="str">
        <f aca="true">IFERROR(IF(INDEX(INDIRECT("'"&amp;$AI639&amp;"'!$E$2:$E$118"),MATCH($A639,INDIRECT("'"&amp;$AI639&amp;"'!$A$2:$A$118"),0))="","",INDEX(INDIRECT("'"&amp;$AI639&amp;"'!$E$2:$E$118"),MATCH($A639,INDIRECT("'"&amp;$AI639&amp;"'!$A$2:$A$118"),0))),"")</f>
        <v/>
      </c>
      <c r="F639" s="9" t="str">
        <f aca="false">IF($E639="","",IFERROR(INDEX(担当者マスタ!$B$2:$B$101,MATCH($E639,担当者マスタ!$A$2:$A$101,0)),"※マスタ未登録"))</f>
        <v/>
      </c>
      <c r="G639" s="11" t="n">
        <v>18.08</v>
      </c>
      <c r="H639" s="11" t="n">
        <v>2.88</v>
      </c>
      <c r="I639" s="11" t="n">
        <v>1.16</v>
      </c>
      <c r="J639" s="11" t="n">
        <v>6.68</v>
      </c>
      <c r="K639" s="11" t="n">
        <v>4.68</v>
      </c>
      <c r="L639" s="11" t="n">
        <v>11.72</v>
      </c>
      <c r="M639" s="11" t="n">
        <f aca="false">SUM(G639:L639)</f>
        <v>45.2</v>
      </c>
      <c r="N639" s="11" t="n">
        <v>18.08</v>
      </c>
      <c r="O639" s="11" t="n">
        <v>2.88</v>
      </c>
      <c r="P639" s="11" t="n">
        <v>1.16</v>
      </c>
      <c r="Q639" s="11" t="n">
        <v>6.68</v>
      </c>
      <c r="R639" s="11" t="n">
        <v>4.68</v>
      </c>
      <c r="S639" s="11" t="n">
        <v>11.72</v>
      </c>
      <c r="T639" s="11" t="n">
        <f aca="false">SUM(N639:S639)</f>
        <v>45.2</v>
      </c>
      <c r="U639" s="11" t="n">
        <v>109.39</v>
      </c>
      <c r="V639" s="11" t="n">
        <v>103.52</v>
      </c>
      <c r="W639" s="11" t="n">
        <v>10.36</v>
      </c>
      <c r="X639" s="11" t="n">
        <v>0</v>
      </c>
      <c r="Y639" s="11" t="n">
        <v>0</v>
      </c>
      <c r="Z639" s="11" t="n">
        <v>9.96</v>
      </c>
      <c r="AA639" s="11" t="n">
        <f aca="false">SUM(U639:Z639)</f>
        <v>233.23</v>
      </c>
      <c r="AB639" s="11" t="n">
        <v>69.64</v>
      </c>
      <c r="AC639" s="11" t="n">
        <v>51.52</v>
      </c>
      <c r="AD639" s="11" t="n">
        <v>10.36</v>
      </c>
      <c r="AE639" s="11" t="n">
        <v>0</v>
      </c>
      <c r="AF639" s="11" t="n">
        <v>0</v>
      </c>
      <c r="AG639" s="11" t="n">
        <v>9.96</v>
      </c>
      <c r="AH639" s="11" t="n">
        <f aca="false">SUM(AB639:AG639)</f>
        <v>141.48</v>
      </c>
      <c r="AI639" s="12" t="s">
        <v>60</v>
      </c>
    </row>
    <row r="640" customFormat="false" ht="15" hidden="false" customHeight="false" outlineLevel="0" collapsed="false">
      <c r="A640" s="8" t="s">
        <v>1381</v>
      </c>
      <c r="B640" s="12" t="s">
        <v>1382</v>
      </c>
      <c r="C640" s="8" t="s">
        <v>1319</v>
      </c>
      <c r="D640" s="12" t="s">
        <v>1320</v>
      </c>
      <c r="E640" s="10" t="str">
        <f aca="true">IFERROR(IF(INDEX(INDIRECT("'"&amp;$AI640&amp;"'!$E$2:$E$118"),MATCH($A640,INDIRECT("'"&amp;$AI640&amp;"'!$A$2:$A$118"),0))="","",INDEX(INDIRECT("'"&amp;$AI640&amp;"'!$E$2:$E$118"),MATCH($A640,INDIRECT("'"&amp;$AI640&amp;"'!$A$2:$A$118"),0))),"")</f>
        <v/>
      </c>
      <c r="F640" s="9" t="str">
        <f aca="false">IF($E640="","",IFERROR(INDEX(担当者マスタ!$B$2:$B$101,MATCH($E640,担当者マスタ!$A$2:$A$101,0)),"※マスタ未登録"))</f>
        <v/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f aca="false">SUM(G640:L640)</f>
        <v>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1" t="n">
        <f aca="false">SUM(N640:S640)</f>
        <v>0</v>
      </c>
      <c r="U640" s="11" t="n">
        <v>0.45</v>
      </c>
      <c r="V640" s="11" t="n">
        <v>4.37</v>
      </c>
      <c r="W640" s="11" t="n">
        <v>0</v>
      </c>
      <c r="X640" s="11" t="n">
        <v>0</v>
      </c>
      <c r="Y640" s="11" t="n">
        <v>0</v>
      </c>
      <c r="Z640" s="11" t="n">
        <v>0</v>
      </c>
      <c r="AA640" s="11" t="n">
        <f aca="false">SUM(U640:Z640)</f>
        <v>4.82</v>
      </c>
      <c r="AB640" s="11" t="n">
        <v>0.45</v>
      </c>
      <c r="AC640" s="11" t="n">
        <v>4.37</v>
      </c>
      <c r="AD640" s="11" t="n">
        <v>0</v>
      </c>
      <c r="AE640" s="11" t="n">
        <v>0</v>
      </c>
      <c r="AF640" s="11" t="n">
        <v>0</v>
      </c>
      <c r="AG640" s="11" t="n">
        <v>0</v>
      </c>
      <c r="AH640" s="11" t="n">
        <f aca="false">SUM(AB640:AG640)</f>
        <v>4.82</v>
      </c>
      <c r="AI640" s="12" t="s">
        <v>60</v>
      </c>
    </row>
    <row r="641" customFormat="false" ht="15" hidden="false" customHeight="false" outlineLevel="0" collapsed="false">
      <c r="A641" s="8" t="s">
        <v>1383</v>
      </c>
      <c r="B641" s="9" t="s">
        <v>1384</v>
      </c>
      <c r="C641" s="8" t="s">
        <v>1319</v>
      </c>
      <c r="D641" s="12" t="s">
        <v>1320</v>
      </c>
      <c r="E641" s="10" t="str">
        <f aca="true">IFERROR(IF(INDEX(INDIRECT("'"&amp;$AI641&amp;"'!$E$2:$E$118"),MATCH($A641,INDIRECT("'"&amp;$AI641&amp;"'!$A$2:$A$118"),0))="","",INDEX(INDIRECT("'"&amp;$AI641&amp;"'!$E$2:$E$118"),MATCH($A641,INDIRECT("'"&amp;$AI641&amp;"'!$A$2:$A$118"),0))),"")</f>
        <v/>
      </c>
      <c r="F641" s="9" t="str">
        <f aca="false">IF($E641="","",IFERROR(INDEX(担当者マスタ!$B$2:$B$101,MATCH($E641,担当者マスタ!$A$2:$A$101,0)),"※マスタ未登録"))</f>
        <v/>
      </c>
      <c r="G641" s="11" t="n">
        <v>1.9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f aca="false">SUM(G641:L641)</f>
        <v>1.9</v>
      </c>
      <c r="N641" s="11" t="n">
        <v>1.9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f aca="false">SUM(N641:S641)</f>
        <v>1.9</v>
      </c>
      <c r="U641" s="11" t="n">
        <v>6.1</v>
      </c>
      <c r="V641" s="11" t="n">
        <v>0</v>
      </c>
      <c r="W641" s="11" t="n">
        <v>0</v>
      </c>
      <c r="X641" s="11" t="n">
        <v>0</v>
      </c>
      <c r="Y641" s="11" t="n">
        <v>0</v>
      </c>
      <c r="Z641" s="11" t="n">
        <v>0</v>
      </c>
      <c r="AA641" s="11" t="n">
        <f aca="false">SUM(U641:Z641)</f>
        <v>6.1</v>
      </c>
      <c r="AB641" s="11" t="n">
        <v>6.1</v>
      </c>
      <c r="AC641" s="11" t="n">
        <v>0</v>
      </c>
      <c r="AD641" s="11" t="n">
        <v>0</v>
      </c>
      <c r="AE641" s="11" t="n">
        <v>0</v>
      </c>
      <c r="AF641" s="11" t="n">
        <v>0</v>
      </c>
      <c r="AG641" s="11" t="n">
        <v>0</v>
      </c>
      <c r="AH641" s="11" t="n">
        <f aca="false">SUM(AB641:AG641)</f>
        <v>6.1</v>
      </c>
      <c r="AI641" s="12" t="s">
        <v>60</v>
      </c>
    </row>
    <row r="642" customFormat="false" ht="15" hidden="false" customHeight="false" outlineLevel="0" collapsed="false">
      <c r="A642" s="8" t="s">
        <v>1385</v>
      </c>
      <c r="B642" s="9" t="s">
        <v>1386</v>
      </c>
      <c r="C642" s="8" t="s">
        <v>1319</v>
      </c>
      <c r="D642" s="12" t="s">
        <v>1320</v>
      </c>
      <c r="E642" s="10" t="str">
        <f aca="true">IFERROR(IF(INDEX(INDIRECT("'"&amp;$AI642&amp;"'!$E$2:$E$118"),MATCH($A642,INDIRECT("'"&amp;$AI642&amp;"'!$A$2:$A$118"),0))="","",INDEX(INDIRECT("'"&amp;$AI642&amp;"'!$E$2:$E$118"),MATCH($A642,INDIRECT("'"&amp;$AI642&amp;"'!$A$2:$A$118"),0))),"")</f>
        <v/>
      </c>
      <c r="F642" s="9" t="str">
        <f aca="false">IF($E642="","",IFERROR(INDEX(担当者マスタ!$B$2:$B$101,MATCH($E642,担当者マスタ!$A$2:$A$101,0)),"※マスタ未登録"))</f>
        <v/>
      </c>
      <c r="G642" s="11" t="n">
        <v>4.74</v>
      </c>
      <c r="H642" s="11" t="n">
        <v>0.9</v>
      </c>
      <c r="I642" s="11" t="n">
        <v>0.15</v>
      </c>
      <c r="J642" s="11" t="n">
        <v>0</v>
      </c>
      <c r="K642" s="11" t="n">
        <v>0</v>
      </c>
      <c r="L642" s="11" t="n">
        <v>0</v>
      </c>
      <c r="M642" s="11" t="n">
        <f aca="false">SUM(G642:L642)</f>
        <v>5.79</v>
      </c>
      <c r="N642" s="11" t="n">
        <v>4.74</v>
      </c>
      <c r="O642" s="11" t="n">
        <v>0.9</v>
      </c>
      <c r="P642" s="11" t="n">
        <v>0.15</v>
      </c>
      <c r="Q642" s="11" t="n">
        <v>0</v>
      </c>
      <c r="R642" s="11" t="n">
        <v>0</v>
      </c>
      <c r="S642" s="11" t="n">
        <v>0</v>
      </c>
      <c r="T642" s="11" t="n">
        <f aca="false">SUM(N642:S642)</f>
        <v>5.79</v>
      </c>
      <c r="U642" s="11" t="n">
        <v>0</v>
      </c>
      <c r="V642" s="11" t="n">
        <v>0</v>
      </c>
      <c r="W642" s="11" t="n">
        <v>0</v>
      </c>
      <c r="X642" s="11" t="n">
        <v>0</v>
      </c>
      <c r="Y642" s="11" t="n">
        <v>0</v>
      </c>
      <c r="Z642" s="11" t="n">
        <v>0</v>
      </c>
      <c r="AA642" s="11" t="n">
        <f aca="false">SUM(U642:Z642)</f>
        <v>0</v>
      </c>
      <c r="AB642" s="11" t="n">
        <v>0</v>
      </c>
      <c r="AC642" s="11" t="n">
        <v>0</v>
      </c>
      <c r="AD642" s="11" t="n">
        <v>0</v>
      </c>
      <c r="AE642" s="11" t="n">
        <v>0</v>
      </c>
      <c r="AF642" s="11" t="n">
        <v>0</v>
      </c>
      <c r="AG642" s="11" t="n">
        <v>0</v>
      </c>
      <c r="AH642" s="11" t="n">
        <f aca="false">SUM(AB642:AG642)</f>
        <v>0</v>
      </c>
      <c r="AI642" s="12" t="s">
        <v>60</v>
      </c>
    </row>
    <row r="643" customFormat="false" ht="15" hidden="false" customHeight="false" outlineLevel="0" collapsed="false">
      <c r="A643" s="8" t="s">
        <v>1387</v>
      </c>
      <c r="B643" s="9" t="s">
        <v>1388</v>
      </c>
      <c r="C643" s="8" t="s">
        <v>1319</v>
      </c>
      <c r="D643" s="12" t="s">
        <v>1320</v>
      </c>
      <c r="E643" s="10" t="str">
        <f aca="true">IFERROR(IF(INDEX(INDIRECT("'"&amp;$AI643&amp;"'!$E$2:$E$118"),MATCH($A643,INDIRECT("'"&amp;$AI643&amp;"'!$A$2:$A$118"),0))="","",INDEX(INDIRECT("'"&amp;$AI643&amp;"'!$E$2:$E$118"),MATCH($A643,INDIRECT("'"&amp;$AI643&amp;"'!$A$2:$A$118"),0))),"")</f>
        <v/>
      </c>
      <c r="F643" s="9" t="str">
        <f aca="false">IF($E643="","",IFERROR(INDEX(担当者マスタ!$B$2:$B$101,MATCH($E643,担当者マスタ!$A$2:$A$101,0)),"※マスタ未登録"))</f>
        <v/>
      </c>
      <c r="G643" s="11" t="n">
        <v>9.03</v>
      </c>
      <c r="H643" s="11" t="n">
        <v>0.55</v>
      </c>
      <c r="I643" s="11" t="n">
        <v>0.3</v>
      </c>
      <c r="J643" s="11" t="n">
        <v>0</v>
      </c>
      <c r="K643" s="11" t="n">
        <v>0</v>
      </c>
      <c r="L643" s="11" t="n">
        <v>0</v>
      </c>
      <c r="M643" s="11" t="n">
        <f aca="false">SUM(G643:L643)</f>
        <v>9.88</v>
      </c>
      <c r="N643" s="11" t="n">
        <v>9.03</v>
      </c>
      <c r="O643" s="11" t="n">
        <v>0.55</v>
      </c>
      <c r="P643" s="11" t="n">
        <v>0.3</v>
      </c>
      <c r="Q643" s="11" t="n">
        <v>0</v>
      </c>
      <c r="R643" s="11" t="n">
        <v>0</v>
      </c>
      <c r="S643" s="11" t="n">
        <v>0</v>
      </c>
      <c r="T643" s="11" t="n">
        <f aca="false">SUM(N643:S643)</f>
        <v>9.88</v>
      </c>
      <c r="U643" s="11" t="n">
        <v>14.43</v>
      </c>
      <c r="V643" s="11" t="n">
        <v>4.53</v>
      </c>
      <c r="W643" s="11" t="n">
        <v>0</v>
      </c>
      <c r="X643" s="11" t="n">
        <v>0</v>
      </c>
      <c r="Y643" s="11" t="n">
        <v>0</v>
      </c>
      <c r="Z643" s="11" t="n">
        <v>0</v>
      </c>
      <c r="AA643" s="11" t="n">
        <f aca="false">SUM(U643:Z643)</f>
        <v>18.96</v>
      </c>
      <c r="AB643" s="11" t="n">
        <v>14.43</v>
      </c>
      <c r="AC643" s="11" t="n">
        <v>4.53</v>
      </c>
      <c r="AD643" s="11" t="n">
        <v>0</v>
      </c>
      <c r="AE643" s="11" t="n">
        <v>0</v>
      </c>
      <c r="AF643" s="11" t="n">
        <v>0</v>
      </c>
      <c r="AG643" s="11" t="n">
        <v>0</v>
      </c>
      <c r="AH643" s="11" t="n">
        <f aca="false">SUM(AB643:AG643)</f>
        <v>18.96</v>
      </c>
      <c r="AI643" s="12" t="s">
        <v>60</v>
      </c>
    </row>
    <row r="644" customFormat="false" ht="15" hidden="false" customHeight="false" outlineLevel="0" collapsed="false">
      <c r="A644" s="8" t="s">
        <v>1389</v>
      </c>
      <c r="B644" s="12" t="s">
        <v>1390</v>
      </c>
      <c r="C644" s="8" t="s">
        <v>1319</v>
      </c>
      <c r="D644" s="12" t="s">
        <v>1320</v>
      </c>
      <c r="E644" s="10" t="str">
        <f aca="true">IFERROR(IF(INDEX(INDIRECT("'"&amp;$AI644&amp;"'!$E$2:$E$118"),MATCH($A644,INDIRECT("'"&amp;$AI644&amp;"'!$A$2:$A$118"),0))="","",INDEX(INDIRECT("'"&amp;$AI644&amp;"'!$E$2:$E$118"),MATCH($A644,INDIRECT("'"&amp;$AI644&amp;"'!$A$2:$A$118"),0))),"")</f>
        <v/>
      </c>
      <c r="F644" s="9" t="str">
        <f aca="false">IF($E644="","",IFERROR(INDEX(担当者マスタ!$B$2:$B$101,MATCH($E644,担当者マスタ!$A$2:$A$101,0)),"※マスタ未登録"))</f>
        <v/>
      </c>
      <c r="G644" s="11" t="n">
        <v>5.75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f aca="false">SUM(G644:L644)</f>
        <v>5.75</v>
      </c>
      <c r="N644" s="11" t="n">
        <v>5.75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f aca="false">SUM(N644:S644)</f>
        <v>5.75</v>
      </c>
      <c r="U644" s="11" t="n">
        <v>33.36</v>
      </c>
      <c r="V644" s="11" t="n">
        <v>7.85</v>
      </c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f aca="false">SUM(U644:Z644)</f>
        <v>41.21</v>
      </c>
      <c r="AB644" s="11" t="n">
        <v>33.36</v>
      </c>
      <c r="AC644" s="11" t="n">
        <v>7.85</v>
      </c>
      <c r="AD644" s="11" t="n">
        <v>0</v>
      </c>
      <c r="AE644" s="11" t="n">
        <v>0</v>
      </c>
      <c r="AF644" s="11" t="n">
        <v>0</v>
      </c>
      <c r="AG644" s="11" t="n">
        <v>0</v>
      </c>
      <c r="AH644" s="11" t="n">
        <f aca="false">SUM(AB644:AG644)</f>
        <v>41.21</v>
      </c>
      <c r="AI644" s="12" t="s">
        <v>60</v>
      </c>
    </row>
    <row r="645" customFormat="false" ht="15" hidden="false" customHeight="false" outlineLevel="0" collapsed="false">
      <c r="A645" s="8" t="s">
        <v>1391</v>
      </c>
      <c r="B645" s="9" t="s">
        <v>1392</v>
      </c>
      <c r="C645" s="8" t="s">
        <v>1319</v>
      </c>
      <c r="D645" s="12" t="s">
        <v>1320</v>
      </c>
      <c r="E645" s="10" t="str">
        <f aca="true">IFERROR(IF(INDEX(INDIRECT("'"&amp;$AI645&amp;"'!$E$2:$E$118"),MATCH($A645,INDIRECT("'"&amp;$AI645&amp;"'!$A$2:$A$118"),0))="","",INDEX(INDIRECT("'"&amp;$AI645&amp;"'!$E$2:$E$118"),MATCH($A645,INDIRECT("'"&amp;$AI645&amp;"'!$A$2:$A$118"),0))),"")</f>
        <v/>
      </c>
      <c r="F645" s="9" t="str">
        <f aca="false">IF($E645="","",IFERROR(INDEX(担当者マスタ!$B$2:$B$101,MATCH($E645,担当者マスタ!$A$2:$A$101,0)),"※マスタ未登録"))</f>
        <v/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f aca="false">SUM(G645:L645)</f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1" t="n">
        <f aca="false">SUM(N645:S645)</f>
        <v>0</v>
      </c>
      <c r="U645" s="11" t="n">
        <v>18.39</v>
      </c>
      <c r="V645" s="11" t="n">
        <v>3.75</v>
      </c>
      <c r="W645" s="11" t="n">
        <v>0</v>
      </c>
      <c r="X645" s="11" t="n">
        <v>0</v>
      </c>
      <c r="Y645" s="11" t="n">
        <v>0</v>
      </c>
      <c r="Z645" s="11" t="n">
        <v>0</v>
      </c>
      <c r="AA645" s="11" t="n">
        <f aca="false">SUM(U645:Z645)</f>
        <v>22.14</v>
      </c>
      <c r="AB645" s="11" t="n">
        <v>18.39</v>
      </c>
      <c r="AC645" s="11" t="n">
        <v>3.75</v>
      </c>
      <c r="AD645" s="11" t="n">
        <v>0</v>
      </c>
      <c r="AE645" s="11" t="n">
        <v>0</v>
      </c>
      <c r="AF645" s="11" t="n">
        <v>0</v>
      </c>
      <c r="AG645" s="11" t="n">
        <v>0</v>
      </c>
      <c r="AH645" s="11" t="n">
        <f aca="false">SUM(AB645:AG645)</f>
        <v>22.14</v>
      </c>
      <c r="AI645" s="12" t="s">
        <v>60</v>
      </c>
    </row>
    <row r="646" customFormat="false" ht="15" hidden="false" customHeight="false" outlineLevel="0" collapsed="false">
      <c r="A646" s="8" t="s">
        <v>1393</v>
      </c>
      <c r="B646" s="12" t="s">
        <v>1394</v>
      </c>
      <c r="C646" s="8" t="s">
        <v>1319</v>
      </c>
      <c r="D646" s="12" t="s">
        <v>1320</v>
      </c>
      <c r="E646" s="10" t="str">
        <f aca="true">IFERROR(IF(INDEX(INDIRECT("'"&amp;$AI646&amp;"'!$E$2:$E$118"),MATCH($A646,INDIRECT("'"&amp;$AI646&amp;"'!$A$2:$A$118"),0))="","",INDEX(INDIRECT("'"&amp;$AI646&amp;"'!$E$2:$E$118"),MATCH($A646,INDIRECT("'"&amp;$AI646&amp;"'!$A$2:$A$118"),0))),"")</f>
        <v/>
      </c>
      <c r="F646" s="9" t="str">
        <f aca="false">IF($E646="","",IFERROR(INDEX(担当者マスタ!$B$2:$B$101,MATCH($E646,担当者マスタ!$A$2:$A$101,0)),"※マスタ未登録"))</f>
        <v/>
      </c>
      <c r="G646" s="11" t="n">
        <v>0</v>
      </c>
      <c r="H646" s="11" t="n">
        <v>0</v>
      </c>
      <c r="I646" s="11" t="n">
        <v>240</v>
      </c>
      <c r="J646" s="11" t="n">
        <v>162</v>
      </c>
      <c r="K646" s="11" t="n">
        <v>0</v>
      </c>
      <c r="L646" s="11" t="n">
        <v>0</v>
      </c>
      <c r="M646" s="11" t="n">
        <f aca="false">SUM(G646:L646)</f>
        <v>402</v>
      </c>
      <c r="N646" s="11" t="n">
        <v>0</v>
      </c>
      <c r="O646" s="11" t="n">
        <v>0</v>
      </c>
      <c r="P646" s="11" t="n">
        <v>145.75</v>
      </c>
      <c r="Q646" s="11" t="n">
        <v>97.5</v>
      </c>
      <c r="R646" s="11" t="n">
        <v>0</v>
      </c>
      <c r="S646" s="11" t="n">
        <v>0</v>
      </c>
      <c r="T646" s="11" t="n">
        <f aca="false">SUM(N646:S646)</f>
        <v>243.25</v>
      </c>
      <c r="U646" s="11" t="n">
        <v>0</v>
      </c>
      <c r="V646" s="11" t="n">
        <v>0</v>
      </c>
      <c r="W646" s="11" t="n">
        <v>0</v>
      </c>
      <c r="X646" s="11" t="n">
        <v>907.526</v>
      </c>
      <c r="Y646" s="11" t="n">
        <v>255.75</v>
      </c>
      <c r="Z646" s="11" t="n">
        <v>0</v>
      </c>
      <c r="AA646" s="11" t="n">
        <f aca="false">SUM(U646:Z646)</f>
        <v>1163.276</v>
      </c>
      <c r="AB646" s="11" t="n">
        <v>0</v>
      </c>
      <c r="AC646" s="11" t="n">
        <v>0</v>
      </c>
      <c r="AD646" s="11" t="n">
        <v>0</v>
      </c>
      <c r="AE646" s="11" t="n">
        <v>484.25</v>
      </c>
      <c r="AF646" s="11" t="n">
        <v>128.281</v>
      </c>
      <c r="AG646" s="11" t="n">
        <v>0</v>
      </c>
      <c r="AH646" s="11" t="n">
        <f aca="false">SUM(AB646:AG646)</f>
        <v>612.531</v>
      </c>
      <c r="AI646" s="12" t="s">
        <v>60</v>
      </c>
    </row>
    <row r="647" customFormat="false" ht="15" hidden="false" customHeight="false" outlineLevel="0" collapsed="false">
      <c r="A647" s="8" t="s">
        <v>1395</v>
      </c>
      <c r="B647" s="12" t="s">
        <v>1396</v>
      </c>
      <c r="C647" s="8" t="s">
        <v>1319</v>
      </c>
      <c r="D647" s="12" t="s">
        <v>1320</v>
      </c>
      <c r="E647" s="10" t="str">
        <f aca="true">IFERROR(IF(INDEX(INDIRECT("'"&amp;$AI647&amp;"'!$E$2:$E$118"),MATCH($A647,INDIRECT("'"&amp;$AI647&amp;"'!$A$2:$A$118"),0))="","",INDEX(INDIRECT("'"&amp;$AI647&amp;"'!$E$2:$E$118"),MATCH($A647,INDIRECT("'"&amp;$AI647&amp;"'!$A$2:$A$118"),0))),"")</f>
        <v/>
      </c>
      <c r="F647" s="9" t="str">
        <f aca="false">IF($E647="","",IFERROR(INDEX(担当者マスタ!$B$2:$B$101,MATCH($E647,担当者マスタ!$A$2:$A$101,0)),"※マスタ未登録"))</f>
        <v/>
      </c>
      <c r="G647" s="11" t="n">
        <v>2160</v>
      </c>
      <c r="H647" s="11" t="n">
        <v>699.75</v>
      </c>
      <c r="I647" s="11" t="n">
        <v>0</v>
      </c>
      <c r="J647" s="11" t="n">
        <v>0</v>
      </c>
      <c r="K647" s="11" t="n">
        <v>78.75</v>
      </c>
      <c r="L647" s="11" t="n">
        <v>0</v>
      </c>
      <c r="M647" s="11" t="n">
        <f aca="false">SUM(G647:L647)</f>
        <v>2938.5</v>
      </c>
      <c r="N647" s="11" t="n">
        <v>1100.75</v>
      </c>
      <c r="O647" s="11" t="n">
        <v>390.5</v>
      </c>
      <c r="P647" s="11" t="n">
        <v>0</v>
      </c>
      <c r="Q647" s="11" t="n">
        <v>0</v>
      </c>
      <c r="R647" s="11" t="n">
        <v>38.75</v>
      </c>
      <c r="S647" s="11" t="n">
        <v>0</v>
      </c>
      <c r="T647" s="11" t="n">
        <f aca="false">SUM(N647:S647)</f>
        <v>1530</v>
      </c>
      <c r="U647" s="11" t="n">
        <v>0</v>
      </c>
      <c r="V647" s="11" t="n">
        <v>0</v>
      </c>
      <c r="W647" s="11" t="n">
        <v>0</v>
      </c>
      <c r="X647" s="11" t="n">
        <v>0</v>
      </c>
      <c r="Y647" s="11" t="n">
        <v>446.4</v>
      </c>
      <c r="Z647" s="11" t="n">
        <v>711.45</v>
      </c>
      <c r="AA647" s="11" t="n">
        <f aca="false">SUM(U647:Z647)</f>
        <v>1157.85</v>
      </c>
      <c r="AB647" s="11" t="n">
        <v>0</v>
      </c>
      <c r="AC647" s="11" t="n">
        <v>0</v>
      </c>
      <c r="AD647" s="11" t="n">
        <v>0</v>
      </c>
      <c r="AE647" s="11" t="n">
        <v>0</v>
      </c>
      <c r="AF647" s="11" t="n">
        <v>225.355</v>
      </c>
      <c r="AG647" s="11" t="n">
        <v>343.96</v>
      </c>
      <c r="AH647" s="11" t="n">
        <f aca="false">SUM(AB647:AG647)</f>
        <v>569.315</v>
      </c>
      <c r="AI647" s="12" t="s">
        <v>60</v>
      </c>
    </row>
    <row r="648" customFormat="false" ht="15" hidden="false" customHeight="false" outlineLevel="0" collapsed="false">
      <c r="A648" s="8" t="s">
        <v>1397</v>
      </c>
      <c r="B648" s="12" t="s">
        <v>1398</v>
      </c>
      <c r="C648" s="8" t="s">
        <v>1319</v>
      </c>
      <c r="D648" s="12" t="s">
        <v>1320</v>
      </c>
      <c r="E648" s="10" t="str">
        <f aca="true">IFERROR(IF(INDEX(INDIRECT("'"&amp;$AI648&amp;"'!$E$2:$E$118"),MATCH($A648,INDIRECT("'"&amp;$AI648&amp;"'!$A$2:$A$118"),0))="","",INDEX(INDIRECT("'"&amp;$AI648&amp;"'!$E$2:$E$118"),MATCH($A648,INDIRECT("'"&amp;$AI648&amp;"'!$A$2:$A$118"),0))),"")</f>
        <v/>
      </c>
      <c r="F648" s="9" t="str">
        <f aca="false">IF($E648="","",IFERROR(INDEX(担当者マスタ!$B$2:$B$101,MATCH($E648,担当者マスタ!$A$2:$A$101,0)),"※マスタ未登録"))</f>
        <v/>
      </c>
      <c r="G648" s="11" t="n">
        <v>0</v>
      </c>
      <c r="H648" s="11" t="n">
        <v>0</v>
      </c>
      <c r="I648" s="11" t="n">
        <v>0.25</v>
      </c>
      <c r="J648" s="11" t="n">
        <v>0</v>
      </c>
      <c r="K648" s="11" t="n">
        <v>0.44</v>
      </c>
      <c r="L648" s="11" t="n">
        <v>0</v>
      </c>
      <c r="M648" s="11" t="n">
        <f aca="false">SUM(G648:L648)</f>
        <v>0.69</v>
      </c>
      <c r="N648" s="11" t="n">
        <v>0</v>
      </c>
      <c r="O648" s="11" t="n">
        <v>0</v>
      </c>
      <c r="P648" s="11" t="n">
        <v>0.25</v>
      </c>
      <c r="Q648" s="11" t="n">
        <v>0</v>
      </c>
      <c r="R648" s="11" t="n">
        <v>0.44</v>
      </c>
      <c r="S648" s="11" t="n">
        <v>0</v>
      </c>
      <c r="T648" s="11" t="n">
        <f aca="false">SUM(N648:S648)</f>
        <v>0.69</v>
      </c>
      <c r="U648" s="11" t="n">
        <v>0</v>
      </c>
      <c r="V648" s="11" t="n">
        <v>0</v>
      </c>
      <c r="W648" s="11" t="n">
        <v>0</v>
      </c>
      <c r="X648" s="11" t="n">
        <v>0</v>
      </c>
      <c r="Y648" s="11" t="n">
        <v>0</v>
      </c>
      <c r="Z648" s="11" t="n">
        <v>0</v>
      </c>
      <c r="AA648" s="11" t="n">
        <f aca="false">SUM(U648:Z648)</f>
        <v>0</v>
      </c>
      <c r="AB648" s="11" t="n">
        <v>0</v>
      </c>
      <c r="AC648" s="11" t="n">
        <v>0</v>
      </c>
      <c r="AD648" s="11" t="n">
        <v>0</v>
      </c>
      <c r="AE648" s="11" t="n">
        <v>0</v>
      </c>
      <c r="AF648" s="11" t="n">
        <v>0</v>
      </c>
      <c r="AG648" s="11" t="n">
        <v>0</v>
      </c>
      <c r="AH648" s="11" t="n">
        <f aca="false">SUM(AB648:AG648)</f>
        <v>0</v>
      </c>
      <c r="AI648" s="12" t="s">
        <v>60</v>
      </c>
    </row>
    <row r="649" customFormat="false" ht="15" hidden="false" customHeight="false" outlineLevel="0" collapsed="false">
      <c r="A649" s="8" t="s">
        <v>1399</v>
      </c>
      <c r="B649" s="12" t="s">
        <v>1400</v>
      </c>
      <c r="C649" s="8" t="s">
        <v>1319</v>
      </c>
      <c r="D649" s="12" t="s">
        <v>1320</v>
      </c>
      <c r="E649" s="10" t="str">
        <f aca="true">IFERROR(IF(INDEX(INDIRECT("'"&amp;$AI649&amp;"'!$E$2:$E$118"),MATCH($A649,INDIRECT("'"&amp;$AI649&amp;"'!$A$2:$A$118"),0))="","",INDEX(INDIRECT("'"&amp;$AI649&amp;"'!$E$2:$E$118"),MATCH($A649,INDIRECT("'"&amp;$AI649&amp;"'!$A$2:$A$118"),0))),"")</f>
        <v/>
      </c>
      <c r="F649" s="9" t="str">
        <f aca="false">IF($E649="","",IFERROR(INDEX(担当者マスタ!$B$2:$B$101,MATCH($E649,担当者マスタ!$A$2:$A$101,0)),"※マスタ未登録"))</f>
        <v/>
      </c>
      <c r="G649" s="11" t="n">
        <v>5.94</v>
      </c>
      <c r="H649" s="11" t="n">
        <v>2.16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f aca="false">SUM(G649:L649)</f>
        <v>8.1</v>
      </c>
      <c r="N649" s="11" t="n">
        <v>5.94</v>
      </c>
      <c r="O649" s="11" t="n">
        <v>2.16</v>
      </c>
      <c r="P649" s="11" t="n">
        <v>0</v>
      </c>
      <c r="Q649" s="11" t="n">
        <v>0</v>
      </c>
      <c r="R649" s="11" t="n">
        <v>0</v>
      </c>
      <c r="S649" s="11" t="n">
        <v>0</v>
      </c>
      <c r="T649" s="11" t="n">
        <f aca="false">SUM(N649:S649)</f>
        <v>8.1</v>
      </c>
      <c r="U649" s="11" t="n">
        <v>10.92</v>
      </c>
      <c r="V649" s="11" t="n">
        <v>1.73</v>
      </c>
      <c r="W649" s="11" t="n">
        <v>0</v>
      </c>
      <c r="X649" s="11" t="n">
        <v>0</v>
      </c>
      <c r="Y649" s="11" t="n">
        <v>0</v>
      </c>
      <c r="Z649" s="11" t="n">
        <v>0</v>
      </c>
      <c r="AA649" s="11" t="n">
        <f aca="false">SUM(U649:Z649)</f>
        <v>12.65</v>
      </c>
      <c r="AB649" s="11" t="n">
        <v>10.92</v>
      </c>
      <c r="AC649" s="11" t="n">
        <v>1.73</v>
      </c>
      <c r="AD649" s="11" t="n">
        <v>0</v>
      </c>
      <c r="AE649" s="11" t="n">
        <v>0</v>
      </c>
      <c r="AF649" s="11" t="n">
        <v>0</v>
      </c>
      <c r="AG649" s="11" t="n">
        <v>0</v>
      </c>
      <c r="AH649" s="11" t="n">
        <f aca="false">SUM(AB649:AG649)</f>
        <v>12.65</v>
      </c>
      <c r="AI649" s="12" t="s">
        <v>60</v>
      </c>
    </row>
    <row r="650" customFormat="false" ht="15" hidden="false" customHeight="false" outlineLevel="0" collapsed="false">
      <c r="A650" s="8" t="s">
        <v>1401</v>
      </c>
      <c r="B650" s="9" t="s">
        <v>1402</v>
      </c>
      <c r="C650" s="8" t="s">
        <v>1319</v>
      </c>
      <c r="D650" s="12" t="s">
        <v>1320</v>
      </c>
      <c r="E650" s="10" t="str">
        <f aca="true">IFERROR(IF(INDEX(INDIRECT("'"&amp;$AI650&amp;"'!$E$2:$E$118"),MATCH($A650,INDIRECT("'"&amp;$AI650&amp;"'!$A$2:$A$118"),0))="","",INDEX(INDIRECT("'"&amp;$AI650&amp;"'!$E$2:$E$118"),MATCH($A650,INDIRECT("'"&amp;$AI650&amp;"'!$A$2:$A$118"),0))),"")</f>
        <v/>
      </c>
      <c r="F650" s="9" t="str">
        <f aca="false">IF($E650="","",IFERROR(INDEX(担当者マスタ!$B$2:$B$101,MATCH($E650,担当者マスタ!$A$2:$A$101,0)),"※マスタ未登録"))</f>
        <v/>
      </c>
      <c r="G650" s="11" t="n">
        <v>2188.5</v>
      </c>
      <c r="H650" s="11" t="n">
        <v>1072.5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f aca="false">SUM(G650:L650)</f>
        <v>3261</v>
      </c>
      <c r="N650" s="11" t="n">
        <v>1188.5</v>
      </c>
      <c r="O650" s="11" t="n">
        <v>529.1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f aca="false">SUM(N650:S650)</f>
        <v>1717.6</v>
      </c>
      <c r="U650" s="11" t="n">
        <v>131.25</v>
      </c>
      <c r="V650" s="11" t="n">
        <v>0</v>
      </c>
      <c r="W650" s="11" t="n">
        <v>0</v>
      </c>
      <c r="X650" s="11" t="n">
        <v>0</v>
      </c>
      <c r="Y650" s="11" t="n">
        <v>0</v>
      </c>
      <c r="Z650" s="11" t="n">
        <v>0</v>
      </c>
      <c r="AA650" s="11" t="n">
        <f aca="false">SUM(U650:Z650)</f>
        <v>131.25</v>
      </c>
      <c r="AB650" s="11" t="n">
        <v>70.5</v>
      </c>
      <c r="AC650" s="11" t="n">
        <v>0</v>
      </c>
      <c r="AD650" s="11" t="n">
        <v>0</v>
      </c>
      <c r="AE650" s="11" t="n">
        <v>0</v>
      </c>
      <c r="AF650" s="11" t="n">
        <v>0</v>
      </c>
      <c r="AG650" s="11" t="n">
        <v>0</v>
      </c>
      <c r="AH650" s="11" t="n">
        <f aca="false">SUM(AB650:AG650)</f>
        <v>70.5</v>
      </c>
      <c r="AI650" s="12" t="s">
        <v>60</v>
      </c>
    </row>
    <row r="651" customFormat="false" ht="15" hidden="false" customHeight="false" outlineLevel="0" collapsed="false">
      <c r="A651" s="8" t="s">
        <v>1403</v>
      </c>
      <c r="B651" s="12" t="s">
        <v>1404</v>
      </c>
      <c r="C651" s="8" t="s">
        <v>1319</v>
      </c>
      <c r="D651" s="12" t="s">
        <v>1320</v>
      </c>
      <c r="E651" s="10" t="str">
        <f aca="true">IFERROR(IF(INDEX(INDIRECT("'"&amp;$AI651&amp;"'!$E$2:$E$118"),MATCH($A651,INDIRECT("'"&amp;$AI651&amp;"'!$A$2:$A$118"),0))="","",INDEX(INDIRECT("'"&amp;$AI651&amp;"'!$E$2:$E$118"),MATCH($A651,INDIRECT("'"&amp;$AI651&amp;"'!$A$2:$A$118"),0))),"")</f>
        <v/>
      </c>
      <c r="F651" s="9" t="str">
        <f aca="false">IF($E651="","",IFERROR(INDEX(担当者マスタ!$B$2:$B$101,MATCH($E651,担当者マスタ!$A$2:$A$101,0)),"※マスタ未登録"))</f>
        <v/>
      </c>
      <c r="G651" s="11" t="n">
        <v>0</v>
      </c>
      <c r="H651" s="11" t="n">
        <v>0</v>
      </c>
      <c r="I651" s="11" t="n">
        <v>418.5</v>
      </c>
      <c r="J651" s="11" t="n">
        <v>0</v>
      </c>
      <c r="K651" s="11" t="n">
        <v>0</v>
      </c>
      <c r="L651" s="11" t="n">
        <v>0</v>
      </c>
      <c r="M651" s="11" t="n">
        <f aca="false">SUM(G651:L651)</f>
        <v>418.5</v>
      </c>
      <c r="N651" s="11" t="n">
        <v>0</v>
      </c>
      <c r="O651" s="11" t="n">
        <v>0</v>
      </c>
      <c r="P651" s="11" t="n">
        <v>220.75</v>
      </c>
      <c r="Q651" s="11" t="n">
        <v>0</v>
      </c>
      <c r="R651" s="11" t="n">
        <v>0</v>
      </c>
      <c r="S651" s="11" t="n">
        <v>0</v>
      </c>
      <c r="T651" s="11" t="n">
        <f aca="false">SUM(N651:S651)</f>
        <v>220.75</v>
      </c>
      <c r="U651" s="11" t="n">
        <v>0</v>
      </c>
      <c r="V651" s="11" t="n">
        <v>0</v>
      </c>
      <c r="W651" s="11" t="n">
        <v>0</v>
      </c>
      <c r="X651" s="11" t="n">
        <v>0</v>
      </c>
      <c r="Y651" s="11" t="n">
        <v>0</v>
      </c>
      <c r="Z651" s="11" t="n">
        <v>0</v>
      </c>
      <c r="AA651" s="11" t="n">
        <f aca="false">SUM(U651:Z651)</f>
        <v>0</v>
      </c>
      <c r="AB651" s="11" t="n">
        <v>0</v>
      </c>
      <c r="AC651" s="11" t="n">
        <v>0</v>
      </c>
      <c r="AD651" s="11" t="n">
        <v>0</v>
      </c>
      <c r="AE651" s="11" t="n">
        <v>0</v>
      </c>
      <c r="AF651" s="11" t="n">
        <v>0</v>
      </c>
      <c r="AG651" s="11" t="n">
        <v>0</v>
      </c>
      <c r="AH651" s="11" t="n">
        <f aca="false">SUM(AB651:AG651)</f>
        <v>0</v>
      </c>
      <c r="AI651" s="12" t="s">
        <v>60</v>
      </c>
    </row>
    <row r="652" customFormat="false" ht="15" hidden="false" customHeight="false" outlineLevel="0" collapsed="false">
      <c r="A652" s="8" t="s">
        <v>1405</v>
      </c>
      <c r="B652" s="12" t="s">
        <v>1406</v>
      </c>
      <c r="C652" s="8" t="s">
        <v>1319</v>
      </c>
      <c r="D652" s="12" t="s">
        <v>1320</v>
      </c>
      <c r="E652" s="10" t="str">
        <f aca="true">IFERROR(IF(INDEX(INDIRECT("'"&amp;$AI652&amp;"'!$E$2:$E$118"),MATCH($A652,INDIRECT("'"&amp;$AI652&amp;"'!$A$2:$A$118"),0))="","",INDEX(INDIRECT("'"&amp;$AI652&amp;"'!$E$2:$E$118"),MATCH($A652,INDIRECT("'"&amp;$AI652&amp;"'!$A$2:$A$118"),0))),"")</f>
        <v/>
      </c>
      <c r="F652" s="9" t="str">
        <f aca="false">IF($E652="","",IFERROR(INDEX(担当者マスタ!$B$2:$B$101,MATCH($E652,担当者マスタ!$A$2:$A$101,0)),"※マスタ未登録"))</f>
        <v/>
      </c>
      <c r="G652" s="11" t="n">
        <v>0</v>
      </c>
      <c r="H652" s="11" t="n">
        <v>0</v>
      </c>
      <c r="I652" s="11" t="n">
        <v>126</v>
      </c>
      <c r="J652" s="11" t="n">
        <v>256.5</v>
      </c>
      <c r="K652" s="11" t="n">
        <v>0</v>
      </c>
      <c r="L652" s="11" t="n">
        <v>0</v>
      </c>
      <c r="M652" s="11" t="n">
        <f aca="false">SUM(G652:L652)</f>
        <v>382.5</v>
      </c>
      <c r="N652" s="11" t="n">
        <v>0</v>
      </c>
      <c r="O652" s="11" t="n">
        <v>0</v>
      </c>
      <c r="P652" s="11" t="n">
        <v>68</v>
      </c>
      <c r="Q652" s="11" t="n">
        <v>130.5</v>
      </c>
      <c r="R652" s="11" t="n">
        <v>0</v>
      </c>
      <c r="S652" s="11" t="n">
        <v>0</v>
      </c>
      <c r="T652" s="11" t="n">
        <f aca="false">SUM(N652:S652)</f>
        <v>198.5</v>
      </c>
      <c r="U652" s="11" t="n">
        <v>0</v>
      </c>
      <c r="V652" s="11" t="n">
        <v>0</v>
      </c>
      <c r="W652" s="11" t="n">
        <v>195.3</v>
      </c>
      <c r="X652" s="11" t="n">
        <v>451.826</v>
      </c>
      <c r="Y652" s="11" t="n">
        <v>0</v>
      </c>
      <c r="Z652" s="11" t="n">
        <v>224.75</v>
      </c>
      <c r="AA652" s="11" t="n">
        <f aca="false">SUM(U652:Z652)</f>
        <v>871.876</v>
      </c>
      <c r="AB652" s="11" t="n">
        <v>0</v>
      </c>
      <c r="AC652" s="11" t="n">
        <v>0</v>
      </c>
      <c r="AD652" s="11" t="n">
        <v>86.82</v>
      </c>
      <c r="AE652" s="11" t="n">
        <v>228.937</v>
      </c>
      <c r="AF652" s="11" t="n">
        <v>0</v>
      </c>
      <c r="AG652" s="11" t="n">
        <v>100.79</v>
      </c>
      <c r="AH652" s="11" t="n">
        <f aca="false">SUM(AB652:AG652)</f>
        <v>416.547</v>
      </c>
      <c r="AI652" s="12" t="s">
        <v>60</v>
      </c>
    </row>
    <row r="653" customFormat="false" ht="15" hidden="false" customHeight="false" outlineLevel="0" collapsed="false">
      <c r="A653" s="8" t="s">
        <v>1407</v>
      </c>
      <c r="B653" s="12" t="s">
        <v>1408</v>
      </c>
      <c r="C653" s="8" t="s">
        <v>1319</v>
      </c>
      <c r="D653" s="12" t="s">
        <v>1320</v>
      </c>
      <c r="E653" s="10" t="str">
        <f aca="true">IFERROR(IF(INDEX(INDIRECT("'"&amp;$AI653&amp;"'!$E$2:$E$118"),MATCH($A653,INDIRECT("'"&amp;$AI653&amp;"'!$A$2:$A$118"),0))="","",INDEX(INDIRECT("'"&amp;$AI653&amp;"'!$E$2:$E$118"),MATCH($A653,INDIRECT("'"&amp;$AI653&amp;"'!$A$2:$A$118"),0))),"")</f>
        <v/>
      </c>
      <c r="F653" s="9" t="str">
        <f aca="false">IF($E653="","",IFERROR(INDEX(担当者マスタ!$B$2:$B$101,MATCH($E653,担当者マスタ!$A$2:$A$101,0)),"※マスタ未登録"))</f>
        <v/>
      </c>
      <c r="G653" s="11" t="n">
        <v>0</v>
      </c>
      <c r="H653" s="11" t="n">
        <v>382.5</v>
      </c>
      <c r="I653" s="11" t="n">
        <v>120</v>
      </c>
      <c r="J653" s="11" t="n">
        <v>216</v>
      </c>
      <c r="K653" s="11" t="n">
        <v>0</v>
      </c>
      <c r="L653" s="11" t="n">
        <v>0</v>
      </c>
      <c r="M653" s="11" t="n">
        <f aca="false">SUM(G653:L653)</f>
        <v>718.5</v>
      </c>
      <c r="N653" s="11" t="n">
        <v>0</v>
      </c>
      <c r="O653" s="11" t="n">
        <v>175</v>
      </c>
      <c r="P653" s="11" t="n">
        <v>69.25</v>
      </c>
      <c r="Q653" s="11" t="n">
        <v>108</v>
      </c>
      <c r="R653" s="11" t="n">
        <v>0</v>
      </c>
      <c r="S653" s="11" t="n">
        <v>0</v>
      </c>
      <c r="T653" s="11" t="n">
        <f aca="false">SUM(N653:S653)</f>
        <v>352.25</v>
      </c>
      <c r="U653" s="11" t="n">
        <v>0</v>
      </c>
      <c r="V653" s="11" t="n">
        <v>304.3</v>
      </c>
      <c r="W653" s="11" t="n">
        <v>251.1</v>
      </c>
      <c r="X653" s="11" t="n">
        <v>139.5</v>
      </c>
      <c r="Y653" s="11" t="n">
        <v>93</v>
      </c>
      <c r="Z653" s="11" t="n">
        <v>0</v>
      </c>
      <c r="AA653" s="11" t="n">
        <f aca="false">SUM(U653:Z653)</f>
        <v>787.9</v>
      </c>
      <c r="AB653" s="11" t="n">
        <v>0</v>
      </c>
      <c r="AC653" s="11" t="n">
        <v>160.173</v>
      </c>
      <c r="AD653" s="11" t="n">
        <v>116.795</v>
      </c>
      <c r="AE653" s="11" t="n">
        <v>68.217</v>
      </c>
      <c r="AF653" s="11" t="n">
        <v>55.032</v>
      </c>
      <c r="AG653" s="11" t="n">
        <v>0</v>
      </c>
      <c r="AH653" s="11" t="n">
        <f aca="false">SUM(AB653:AG653)</f>
        <v>400.217</v>
      </c>
      <c r="AI653" s="12" t="s">
        <v>60</v>
      </c>
    </row>
    <row r="654" customFormat="false" ht="15" hidden="false" customHeight="false" outlineLevel="0" collapsed="false">
      <c r="A654" s="8" t="s">
        <v>1409</v>
      </c>
      <c r="B654" s="12" t="s">
        <v>1410</v>
      </c>
      <c r="C654" s="8" t="s">
        <v>1319</v>
      </c>
      <c r="D654" s="12" t="s">
        <v>1320</v>
      </c>
      <c r="E654" s="10" t="str">
        <f aca="true">IFERROR(IF(INDEX(INDIRECT("'"&amp;$AI654&amp;"'!$E$2:$E$118"),MATCH($A654,INDIRECT("'"&amp;$AI654&amp;"'!$A$2:$A$118"),0))="","",INDEX(INDIRECT("'"&amp;$AI654&amp;"'!$E$2:$E$118"),MATCH($A654,INDIRECT("'"&amp;$AI654&amp;"'!$A$2:$A$118"),0))),"")</f>
        <v/>
      </c>
      <c r="F654" s="9" t="str">
        <f aca="false">IF($E654="","",IFERROR(INDEX(担当者マスタ!$B$2:$B$101,MATCH($E654,担当者マスタ!$A$2:$A$101,0)),"※マスタ未登録"))</f>
        <v/>
      </c>
      <c r="G654" s="11" t="n">
        <v>0</v>
      </c>
      <c r="H654" s="11" t="n">
        <v>366</v>
      </c>
      <c r="I654" s="11" t="n">
        <v>256.5</v>
      </c>
      <c r="J654" s="11" t="n">
        <v>0</v>
      </c>
      <c r="K654" s="11" t="n">
        <v>0</v>
      </c>
      <c r="L654" s="11" t="n">
        <v>0</v>
      </c>
      <c r="M654" s="11" t="n">
        <f aca="false">SUM(G654:L654)</f>
        <v>622.5</v>
      </c>
      <c r="N654" s="11" t="n">
        <v>0</v>
      </c>
      <c r="O654" s="11" t="n">
        <v>190.25</v>
      </c>
      <c r="P654" s="11" t="n">
        <v>126</v>
      </c>
      <c r="Q654" s="11" t="n">
        <v>0</v>
      </c>
      <c r="R654" s="11" t="n">
        <v>0</v>
      </c>
      <c r="S654" s="11" t="n">
        <v>0</v>
      </c>
      <c r="T654" s="11" t="n">
        <f aca="false">SUM(N654:S654)</f>
        <v>316.25</v>
      </c>
      <c r="U654" s="11" t="n">
        <v>0</v>
      </c>
      <c r="V654" s="11" t="n">
        <v>676.576</v>
      </c>
      <c r="W654" s="11" t="n">
        <v>0</v>
      </c>
      <c r="X654" s="11" t="n">
        <v>0</v>
      </c>
      <c r="Y654" s="11" t="n">
        <v>353.4</v>
      </c>
      <c r="Z654" s="11" t="n">
        <v>93</v>
      </c>
      <c r="AA654" s="11" t="n">
        <f aca="false">SUM(U654:Z654)</f>
        <v>1122.976</v>
      </c>
      <c r="AB654" s="11" t="n">
        <v>0</v>
      </c>
      <c r="AC654" s="11" t="n">
        <v>362.02</v>
      </c>
      <c r="AD654" s="11" t="n">
        <v>0</v>
      </c>
      <c r="AE654" s="11" t="n">
        <v>0</v>
      </c>
      <c r="AF654" s="11" t="n">
        <v>170.559</v>
      </c>
      <c r="AG654" s="11" t="n">
        <v>44.5</v>
      </c>
      <c r="AH654" s="11" t="n">
        <f aca="false">SUM(AB654:AG654)</f>
        <v>577.079</v>
      </c>
      <c r="AI654" s="12" t="s">
        <v>60</v>
      </c>
    </row>
    <row r="655" customFormat="false" ht="15" hidden="false" customHeight="false" outlineLevel="0" collapsed="false">
      <c r="A655" s="8" t="s">
        <v>1411</v>
      </c>
      <c r="B655" s="12" t="s">
        <v>1412</v>
      </c>
      <c r="C655" s="8" t="s">
        <v>1319</v>
      </c>
      <c r="D655" s="12" t="s">
        <v>1320</v>
      </c>
      <c r="E655" s="10" t="str">
        <f aca="true">IFERROR(IF(INDEX(INDIRECT("'"&amp;$AI655&amp;"'!$E$2:$E$118"),MATCH($A655,INDIRECT("'"&amp;$AI655&amp;"'!$A$2:$A$118"),0))="","",INDEX(INDIRECT("'"&amp;$AI655&amp;"'!$E$2:$E$118"),MATCH($A655,INDIRECT("'"&amp;$AI655&amp;"'!$A$2:$A$118"),0))),"")</f>
        <v/>
      </c>
      <c r="F655" s="9" t="str">
        <f aca="false">IF($E655="","",IFERROR(INDEX(担当者マスタ!$B$2:$B$101,MATCH($E655,担当者マスタ!$A$2:$A$101,0)),"※マスタ未登録"))</f>
        <v/>
      </c>
      <c r="G655" s="11" t="n">
        <v>0</v>
      </c>
      <c r="H655" s="11" t="n">
        <v>0</v>
      </c>
      <c r="I655" s="11" t="n">
        <v>322.5</v>
      </c>
      <c r="J655" s="11" t="n">
        <v>0</v>
      </c>
      <c r="K655" s="11" t="n">
        <v>285</v>
      </c>
      <c r="L655" s="11" t="n">
        <v>0</v>
      </c>
      <c r="M655" s="11" t="n">
        <f aca="false">SUM(G655:L655)</f>
        <v>607.5</v>
      </c>
      <c r="N655" s="11" t="n">
        <v>0</v>
      </c>
      <c r="O655" s="11" t="n">
        <v>0</v>
      </c>
      <c r="P655" s="11" t="n">
        <v>177</v>
      </c>
      <c r="Q655" s="11" t="n">
        <v>0</v>
      </c>
      <c r="R655" s="11" t="n">
        <v>147</v>
      </c>
      <c r="S655" s="11" t="n">
        <v>0</v>
      </c>
      <c r="T655" s="11" t="n">
        <f aca="false">SUM(N655:S655)</f>
        <v>324</v>
      </c>
      <c r="U655" s="11" t="n">
        <v>0</v>
      </c>
      <c r="V655" s="11" t="n">
        <v>305.6</v>
      </c>
      <c r="W655" s="11" t="n">
        <v>0</v>
      </c>
      <c r="X655" s="11" t="n">
        <v>192.2</v>
      </c>
      <c r="Y655" s="11" t="n">
        <v>235.6</v>
      </c>
      <c r="Z655" s="11" t="n">
        <v>0</v>
      </c>
      <c r="AA655" s="11" t="n">
        <f aca="false">SUM(U655:Z655)</f>
        <v>733.4</v>
      </c>
      <c r="AB655" s="11" t="n">
        <v>0</v>
      </c>
      <c r="AC655" s="11" t="n">
        <v>155.622</v>
      </c>
      <c r="AD655" s="11" t="n">
        <v>0</v>
      </c>
      <c r="AE655" s="11" t="n">
        <v>93.547</v>
      </c>
      <c r="AF655" s="11" t="n">
        <v>107.947</v>
      </c>
      <c r="AG655" s="11" t="n">
        <v>0</v>
      </c>
      <c r="AH655" s="11" t="n">
        <f aca="false">SUM(AB655:AG655)</f>
        <v>357.116</v>
      </c>
      <c r="AI655" s="12" t="s">
        <v>60</v>
      </c>
    </row>
    <row r="656" customFormat="false" ht="15" hidden="false" customHeight="false" outlineLevel="0" collapsed="false">
      <c r="A656" s="8" t="s">
        <v>1413</v>
      </c>
      <c r="B656" s="12" t="s">
        <v>1414</v>
      </c>
      <c r="C656" s="8" t="s">
        <v>1319</v>
      </c>
      <c r="D656" s="12" t="s">
        <v>1320</v>
      </c>
      <c r="E656" s="10" t="str">
        <f aca="true">IFERROR(IF(INDEX(INDIRECT("'"&amp;$AI656&amp;"'!$E$2:$E$118"),MATCH($A656,INDIRECT("'"&amp;$AI656&amp;"'!$A$2:$A$118"),0))="","",INDEX(INDIRECT("'"&amp;$AI656&amp;"'!$E$2:$E$118"),MATCH($A656,INDIRECT("'"&amp;$AI656&amp;"'!$A$2:$A$118"),0))),"")</f>
        <v/>
      </c>
      <c r="F656" s="9" t="str">
        <f aca="false">IF($E656="","",IFERROR(INDEX(担当者マスタ!$B$2:$B$101,MATCH($E656,担当者マスタ!$A$2:$A$101,0)),"※マスタ未登録"))</f>
        <v/>
      </c>
      <c r="G656" s="11" t="n">
        <v>189</v>
      </c>
      <c r="H656" s="11" t="n">
        <v>0</v>
      </c>
      <c r="I656" s="11" t="n">
        <v>0</v>
      </c>
      <c r="J656" s="11" t="n">
        <v>331.5</v>
      </c>
      <c r="K656" s="11" t="n">
        <v>0</v>
      </c>
      <c r="L656" s="11" t="n">
        <v>0</v>
      </c>
      <c r="M656" s="11" t="n">
        <f aca="false">SUM(G656:L656)</f>
        <v>520.5</v>
      </c>
      <c r="N656" s="11" t="n">
        <v>101.5</v>
      </c>
      <c r="O656" s="11" t="n">
        <v>0</v>
      </c>
      <c r="P656" s="11" t="n">
        <v>0</v>
      </c>
      <c r="Q656" s="11" t="n">
        <v>206</v>
      </c>
      <c r="R656" s="11" t="n">
        <v>0</v>
      </c>
      <c r="S656" s="11" t="n">
        <v>0</v>
      </c>
      <c r="T656" s="11" t="n">
        <f aca="false">SUM(N656:S656)</f>
        <v>307.5</v>
      </c>
      <c r="U656" s="11" t="n">
        <v>0</v>
      </c>
      <c r="V656" s="11" t="n">
        <v>0</v>
      </c>
      <c r="W656" s="11" t="n">
        <v>0</v>
      </c>
      <c r="X656" s="11" t="n">
        <v>21.7</v>
      </c>
      <c r="Y656" s="11" t="n">
        <v>0</v>
      </c>
      <c r="Z656" s="11" t="n">
        <v>0</v>
      </c>
      <c r="AA656" s="11" t="n">
        <f aca="false">SUM(U656:Z656)</f>
        <v>21.7</v>
      </c>
      <c r="AB656" s="11" t="n">
        <v>0</v>
      </c>
      <c r="AC656" s="11" t="n">
        <v>0</v>
      </c>
      <c r="AD656" s="11" t="n">
        <v>0</v>
      </c>
      <c r="AE656" s="11" t="n">
        <v>10.348</v>
      </c>
      <c r="AF656" s="11" t="n">
        <v>0</v>
      </c>
      <c r="AG656" s="11" t="n">
        <v>0</v>
      </c>
      <c r="AH656" s="11" t="n">
        <f aca="false">SUM(AB656:AG656)</f>
        <v>10.348</v>
      </c>
      <c r="AI656" s="12" t="s">
        <v>60</v>
      </c>
    </row>
    <row r="657" customFormat="false" ht="15" hidden="false" customHeight="false" outlineLevel="0" collapsed="false">
      <c r="A657" s="8" t="s">
        <v>1415</v>
      </c>
      <c r="B657" s="12" t="s">
        <v>1416</v>
      </c>
      <c r="C657" s="8" t="s">
        <v>1319</v>
      </c>
      <c r="D657" s="12" t="s">
        <v>1320</v>
      </c>
      <c r="E657" s="10" t="str">
        <f aca="true">IFERROR(IF(INDEX(INDIRECT("'"&amp;$AI657&amp;"'!$E$2:$E$118"),MATCH($A657,INDIRECT("'"&amp;$AI657&amp;"'!$A$2:$A$118"),0))="","",INDEX(INDIRECT("'"&amp;$AI657&amp;"'!$E$2:$E$118"),MATCH($A657,INDIRECT("'"&amp;$AI657&amp;"'!$A$2:$A$118"),0))),"")</f>
        <v/>
      </c>
      <c r="F657" s="9" t="str">
        <f aca="false">IF($E657="","",IFERROR(INDEX(担当者マスタ!$B$2:$B$101,MATCH($E657,担当者マスタ!$A$2:$A$101,0)),"※マスタ未登録"))</f>
        <v/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90</v>
      </c>
      <c r="L657" s="11" t="n">
        <v>551.25</v>
      </c>
      <c r="M657" s="11" t="n">
        <f aca="false">SUM(G657:L657)</f>
        <v>641.25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54.5</v>
      </c>
      <c r="S657" s="11" t="n">
        <v>262.25</v>
      </c>
      <c r="T657" s="11" t="n">
        <f aca="false">SUM(N657:S657)</f>
        <v>316.75</v>
      </c>
      <c r="U657" s="11" t="n">
        <v>0</v>
      </c>
      <c r="V657" s="11" t="n">
        <v>21</v>
      </c>
      <c r="W657" s="11" t="n">
        <v>0</v>
      </c>
      <c r="X657" s="11" t="n">
        <v>0</v>
      </c>
      <c r="Y657" s="11" t="n">
        <v>372</v>
      </c>
      <c r="Z657" s="11" t="n">
        <v>189.876</v>
      </c>
      <c r="AA657" s="11" t="n">
        <f aca="false">SUM(U657:Z657)</f>
        <v>582.876</v>
      </c>
      <c r="AB657" s="11" t="n">
        <v>0</v>
      </c>
      <c r="AC657" s="11" t="n">
        <v>11</v>
      </c>
      <c r="AD657" s="11" t="n">
        <v>0</v>
      </c>
      <c r="AE657" s="11" t="n">
        <v>0</v>
      </c>
      <c r="AF657" s="11" t="n">
        <v>210.068</v>
      </c>
      <c r="AG657" s="11" t="n">
        <v>97.686</v>
      </c>
      <c r="AH657" s="11" t="n">
        <f aca="false">SUM(AB657:AG657)</f>
        <v>318.754</v>
      </c>
      <c r="AI657" s="12" t="s">
        <v>60</v>
      </c>
    </row>
    <row r="658" customFormat="false" ht="15" hidden="false" customHeight="false" outlineLevel="0" collapsed="false">
      <c r="A658" s="8" t="s">
        <v>1417</v>
      </c>
      <c r="B658" s="12" t="s">
        <v>1418</v>
      </c>
      <c r="C658" s="8" t="s">
        <v>1319</v>
      </c>
      <c r="D658" s="12" t="s">
        <v>1320</v>
      </c>
      <c r="E658" s="10" t="str">
        <f aca="true">IFERROR(IF(INDEX(INDIRECT("'"&amp;$AI658&amp;"'!$E$2:$E$118"),MATCH($A658,INDIRECT("'"&amp;$AI658&amp;"'!$A$2:$A$118"),0))="","",INDEX(INDIRECT("'"&amp;$AI658&amp;"'!$E$2:$E$118"),MATCH($A658,INDIRECT("'"&amp;$AI658&amp;"'!$A$2:$A$118"),0))),"")</f>
        <v/>
      </c>
      <c r="F658" s="9" t="str">
        <f aca="false">IF($E658="","",IFERROR(INDEX(担当者マスタ!$B$2:$B$101,MATCH($E658,担当者マスタ!$A$2:$A$101,0)),"※マスタ未登録"))</f>
        <v/>
      </c>
      <c r="G658" s="11" t="n">
        <v>0</v>
      </c>
      <c r="H658" s="11" t="n">
        <v>0</v>
      </c>
      <c r="I658" s="11" t="n">
        <v>0</v>
      </c>
      <c r="J658" s="11" t="n">
        <v>199.5</v>
      </c>
      <c r="K658" s="11" t="n">
        <v>0</v>
      </c>
      <c r="L658" s="11" t="n">
        <v>0</v>
      </c>
      <c r="M658" s="11" t="n">
        <f aca="false">SUM(G658:L658)</f>
        <v>199.5</v>
      </c>
      <c r="N658" s="11" t="n">
        <v>0</v>
      </c>
      <c r="O658" s="11" t="n">
        <v>0</v>
      </c>
      <c r="P658" s="11" t="n">
        <v>0</v>
      </c>
      <c r="Q658" s="11" t="n">
        <v>105</v>
      </c>
      <c r="R658" s="11" t="n">
        <v>0</v>
      </c>
      <c r="S658" s="11" t="n">
        <v>0</v>
      </c>
      <c r="T658" s="11" t="n">
        <f aca="false">SUM(N658:S658)</f>
        <v>105</v>
      </c>
      <c r="U658" s="11" t="n">
        <v>0</v>
      </c>
      <c r="V658" s="11" t="n">
        <v>0</v>
      </c>
      <c r="W658" s="11" t="n">
        <v>0</v>
      </c>
      <c r="X658" s="11" t="n">
        <v>0</v>
      </c>
      <c r="Y658" s="11" t="n">
        <v>0</v>
      </c>
      <c r="Z658" s="11" t="n">
        <v>0</v>
      </c>
      <c r="AA658" s="11" t="n">
        <f aca="false">SUM(U658:Z658)</f>
        <v>0</v>
      </c>
      <c r="AB658" s="11" t="n">
        <v>0</v>
      </c>
      <c r="AC658" s="11" t="n">
        <v>0</v>
      </c>
      <c r="AD658" s="11" t="n">
        <v>0</v>
      </c>
      <c r="AE658" s="11" t="n">
        <v>0</v>
      </c>
      <c r="AF658" s="11" t="n">
        <v>0</v>
      </c>
      <c r="AG658" s="11" t="n">
        <v>0</v>
      </c>
      <c r="AH658" s="11" t="n">
        <f aca="false">SUM(AB658:AG658)</f>
        <v>0</v>
      </c>
      <c r="AI658" s="12" t="s">
        <v>60</v>
      </c>
    </row>
    <row r="659" customFormat="false" ht="15" hidden="false" customHeight="false" outlineLevel="0" collapsed="false">
      <c r="A659" s="8" t="s">
        <v>1419</v>
      </c>
      <c r="B659" s="9" t="s">
        <v>1420</v>
      </c>
      <c r="C659" s="8" t="s">
        <v>1319</v>
      </c>
      <c r="D659" s="12" t="s">
        <v>1320</v>
      </c>
      <c r="E659" s="10" t="str">
        <f aca="true">IFERROR(IF(INDEX(INDIRECT("'"&amp;$AI659&amp;"'!$E$2:$E$118"),MATCH($A659,INDIRECT("'"&amp;$AI659&amp;"'!$A$2:$A$118"),0))="","",INDEX(INDIRECT("'"&amp;$AI659&amp;"'!$E$2:$E$118"),MATCH($A659,INDIRECT("'"&amp;$AI659&amp;"'!$A$2:$A$118"),0))),"")</f>
        <v/>
      </c>
      <c r="F659" s="9" t="str">
        <f aca="false">IF($E659="","",IFERROR(INDEX(担当者マスタ!$B$2:$B$101,MATCH($E659,担当者マスタ!$A$2:$A$101,0)),"※マスタ未登録"))</f>
        <v/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f aca="false">SUM(G659:L659)</f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f aca="false">SUM(N659:S659)</f>
        <v>0</v>
      </c>
      <c r="U659" s="11" t="n">
        <v>16.05</v>
      </c>
      <c r="V659" s="11" t="n">
        <v>0</v>
      </c>
      <c r="W659" s="11" t="n">
        <v>0</v>
      </c>
      <c r="X659" s="11" t="n">
        <v>0</v>
      </c>
      <c r="Y659" s="11" t="n">
        <v>0</v>
      </c>
      <c r="Z659" s="11" t="n">
        <v>0</v>
      </c>
      <c r="AA659" s="11" t="n">
        <f aca="false">SUM(U659:Z659)</f>
        <v>16.05</v>
      </c>
      <c r="AB659" s="11" t="n">
        <v>16.05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n">
        <f aca="false">SUM(AB659:AG659)</f>
        <v>16.05</v>
      </c>
      <c r="AI659" s="12" t="s">
        <v>60</v>
      </c>
    </row>
    <row r="660" customFormat="false" ht="15" hidden="false" customHeight="false" outlineLevel="0" collapsed="false">
      <c r="A660" s="8" t="s">
        <v>1421</v>
      </c>
      <c r="B660" s="9" t="s">
        <v>1422</v>
      </c>
      <c r="C660" s="8" t="s">
        <v>1319</v>
      </c>
      <c r="D660" s="12" t="s">
        <v>1320</v>
      </c>
      <c r="E660" s="10" t="str">
        <f aca="true">IFERROR(IF(INDEX(INDIRECT("'"&amp;$AI660&amp;"'!$E$2:$E$118"),MATCH($A660,INDIRECT("'"&amp;$AI660&amp;"'!$A$2:$A$118"),0))="","",INDEX(INDIRECT("'"&amp;$AI660&amp;"'!$E$2:$E$118"),MATCH($A660,INDIRECT("'"&amp;$AI660&amp;"'!$A$2:$A$118"),0))),"")</f>
        <v/>
      </c>
      <c r="F660" s="9" t="str">
        <f aca="false">IF($E660="","",IFERROR(INDEX(担当者マスタ!$B$2:$B$101,MATCH($E660,担当者マスタ!$A$2:$A$101,0)),"※マスタ未登録"))</f>
        <v/>
      </c>
      <c r="G660" s="11" t="n">
        <v>9.4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f aca="false">SUM(G660:L660)</f>
        <v>9.4</v>
      </c>
      <c r="N660" s="11" t="n">
        <v>9.4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  <c r="T660" s="11" t="n">
        <f aca="false">SUM(N660:S660)</f>
        <v>9.4</v>
      </c>
      <c r="U660" s="11" t="n">
        <v>17.1</v>
      </c>
      <c r="V660" s="11" t="n">
        <v>0</v>
      </c>
      <c r="W660" s="11" t="n">
        <v>0</v>
      </c>
      <c r="X660" s="11" t="n">
        <v>0</v>
      </c>
      <c r="Y660" s="11" t="n">
        <v>0</v>
      </c>
      <c r="Z660" s="11" t="n">
        <v>0</v>
      </c>
      <c r="AA660" s="11" t="n">
        <f aca="false">SUM(U660:Z660)</f>
        <v>17.1</v>
      </c>
      <c r="AB660" s="11" t="n">
        <v>17.1</v>
      </c>
      <c r="AC660" s="11" t="n">
        <v>0</v>
      </c>
      <c r="AD660" s="11" t="n">
        <v>0</v>
      </c>
      <c r="AE660" s="11" t="n">
        <v>0</v>
      </c>
      <c r="AF660" s="11" t="n">
        <v>0</v>
      </c>
      <c r="AG660" s="11" t="n">
        <v>0</v>
      </c>
      <c r="AH660" s="11" t="n">
        <f aca="false">SUM(AB660:AG660)</f>
        <v>17.1</v>
      </c>
      <c r="AI660" s="12" t="s">
        <v>60</v>
      </c>
    </row>
    <row r="661" customFormat="false" ht="15" hidden="false" customHeight="false" outlineLevel="0" collapsed="false">
      <c r="A661" s="8" t="s">
        <v>1423</v>
      </c>
      <c r="B661" s="12" t="s">
        <v>1424</v>
      </c>
      <c r="C661" s="8" t="s">
        <v>1319</v>
      </c>
      <c r="D661" s="12" t="s">
        <v>1320</v>
      </c>
      <c r="E661" s="10" t="str">
        <f aca="true">IFERROR(IF(INDEX(INDIRECT("'"&amp;$AI661&amp;"'!$E$2:$E$118"),MATCH($A661,INDIRECT("'"&amp;$AI661&amp;"'!$A$2:$A$118"),0))="","",INDEX(INDIRECT("'"&amp;$AI661&amp;"'!$E$2:$E$118"),MATCH($A661,INDIRECT("'"&amp;$AI661&amp;"'!$A$2:$A$118"),0))),"")</f>
        <v/>
      </c>
      <c r="F661" s="9" t="str">
        <f aca="false">IF($E661="","",IFERROR(INDEX(担当者マスタ!$B$2:$B$101,MATCH($E661,担当者マスタ!$A$2:$A$101,0)),"※マスタ未登録"))</f>
        <v/>
      </c>
      <c r="G661" s="11" t="n">
        <v>7.69</v>
      </c>
      <c r="H661" s="11" t="n">
        <v>2.07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f aca="false">SUM(G661:L661)</f>
        <v>9.76</v>
      </c>
      <c r="N661" s="11" t="n">
        <v>7.69</v>
      </c>
      <c r="O661" s="11" t="n">
        <v>2.07</v>
      </c>
      <c r="P661" s="11" t="n">
        <v>0</v>
      </c>
      <c r="Q661" s="11" t="n">
        <v>0</v>
      </c>
      <c r="R661" s="11" t="n">
        <v>0</v>
      </c>
      <c r="S661" s="11" t="n">
        <v>0</v>
      </c>
      <c r="T661" s="11" t="n">
        <f aca="false">SUM(N661:S661)</f>
        <v>9.76</v>
      </c>
      <c r="U661" s="11" t="n">
        <v>0</v>
      </c>
      <c r="V661" s="11" t="n">
        <v>0</v>
      </c>
      <c r="W661" s="11" t="n">
        <v>0</v>
      </c>
      <c r="X661" s="11" t="n">
        <v>0</v>
      </c>
      <c r="Y661" s="11" t="n">
        <v>0</v>
      </c>
      <c r="Z661" s="11" t="n">
        <v>0</v>
      </c>
      <c r="AA661" s="11" t="n">
        <f aca="false">SUM(U661:Z661)</f>
        <v>0</v>
      </c>
      <c r="AB661" s="11" t="n">
        <v>0</v>
      </c>
      <c r="AC661" s="11" t="n">
        <v>0</v>
      </c>
      <c r="AD661" s="11" t="n">
        <v>0</v>
      </c>
      <c r="AE661" s="11" t="n">
        <v>0</v>
      </c>
      <c r="AF661" s="11" t="n">
        <v>0</v>
      </c>
      <c r="AG661" s="11" t="n">
        <v>0</v>
      </c>
      <c r="AH661" s="11" t="n">
        <f aca="false">SUM(AB661:AG661)</f>
        <v>0</v>
      </c>
      <c r="AI661" s="12" t="s">
        <v>60</v>
      </c>
    </row>
    <row r="662" customFormat="false" ht="15" hidden="false" customHeight="false" outlineLevel="0" collapsed="false">
      <c r="A662" s="8" t="s">
        <v>1425</v>
      </c>
      <c r="B662" s="12" t="s">
        <v>1426</v>
      </c>
      <c r="C662" s="8" t="s">
        <v>1319</v>
      </c>
      <c r="D662" s="12" t="s">
        <v>1320</v>
      </c>
      <c r="E662" s="10" t="str">
        <f aca="true">IFERROR(IF(INDEX(INDIRECT("'"&amp;$AI662&amp;"'!$E$2:$E$118"),MATCH($A662,INDIRECT("'"&amp;$AI662&amp;"'!$A$2:$A$118"),0))="","",INDEX(INDIRECT("'"&amp;$AI662&amp;"'!$E$2:$E$118"),MATCH($A662,INDIRECT("'"&amp;$AI662&amp;"'!$A$2:$A$118"),0))),"")</f>
        <v/>
      </c>
      <c r="F662" s="9" t="str">
        <f aca="false">IF($E662="","",IFERROR(INDEX(担当者マスタ!$B$2:$B$101,MATCH($E662,担当者マスタ!$A$2:$A$101,0)),"※マスタ未登録"))</f>
        <v/>
      </c>
      <c r="G662" s="11" t="n">
        <v>0</v>
      </c>
      <c r="H662" s="11" t="n">
        <v>0</v>
      </c>
      <c r="I662" s="11" t="n">
        <v>-0.25</v>
      </c>
      <c r="J662" s="11" t="n">
        <v>0</v>
      </c>
      <c r="K662" s="11" t="n">
        <v>0</v>
      </c>
      <c r="L662" s="11" t="n">
        <v>0</v>
      </c>
      <c r="M662" s="11" t="n">
        <f aca="false">SUM(G662:L662)</f>
        <v>-0.25</v>
      </c>
      <c r="N662" s="11" t="n">
        <v>0</v>
      </c>
      <c r="O662" s="11" t="n">
        <v>0</v>
      </c>
      <c r="P662" s="11" t="n">
        <v>-0.25</v>
      </c>
      <c r="Q662" s="11" t="n">
        <v>0</v>
      </c>
      <c r="R662" s="11" t="n">
        <v>0</v>
      </c>
      <c r="S662" s="11" t="n">
        <v>0</v>
      </c>
      <c r="T662" s="11" t="n">
        <f aca="false">SUM(N662:S662)</f>
        <v>-0.25</v>
      </c>
      <c r="U662" s="11" t="n">
        <v>0</v>
      </c>
      <c r="V662" s="11" t="n">
        <v>0</v>
      </c>
      <c r="W662" s="11" t="n">
        <v>0</v>
      </c>
      <c r="X662" s="11" t="n">
        <v>0</v>
      </c>
      <c r="Y662" s="11" t="n">
        <v>0</v>
      </c>
      <c r="Z662" s="11" t="n">
        <v>0</v>
      </c>
      <c r="AA662" s="11" t="n">
        <f aca="false">SUM(U662:Z662)</f>
        <v>0</v>
      </c>
      <c r="AB662" s="11" t="n">
        <v>0</v>
      </c>
      <c r="AC662" s="11" t="n">
        <v>0</v>
      </c>
      <c r="AD662" s="11" t="n">
        <v>0</v>
      </c>
      <c r="AE662" s="11" t="n">
        <v>0</v>
      </c>
      <c r="AF662" s="11" t="n">
        <v>0</v>
      </c>
      <c r="AG662" s="11" t="n">
        <v>0</v>
      </c>
      <c r="AH662" s="11" t="n">
        <f aca="false">SUM(AB662:AG662)</f>
        <v>0</v>
      </c>
      <c r="AI662" s="12" t="s">
        <v>60</v>
      </c>
    </row>
    <row r="663" customFormat="false" ht="15" hidden="false" customHeight="false" outlineLevel="0" collapsed="false">
      <c r="A663" s="8" t="s">
        <v>1427</v>
      </c>
      <c r="B663" s="12" t="s">
        <v>1428</v>
      </c>
      <c r="C663" s="8" t="s">
        <v>1319</v>
      </c>
      <c r="D663" s="12" t="s">
        <v>1320</v>
      </c>
      <c r="E663" s="10" t="str">
        <f aca="true">IFERROR(IF(INDEX(INDIRECT("'"&amp;$AI663&amp;"'!$E$2:$E$118"),MATCH($A663,INDIRECT("'"&amp;$AI663&amp;"'!$A$2:$A$118"),0))="","",INDEX(INDIRECT("'"&amp;$AI663&amp;"'!$E$2:$E$118"),MATCH($A663,INDIRECT("'"&amp;$AI663&amp;"'!$A$2:$A$118"),0))),"")</f>
        <v/>
      </c>
      <c r="F663" s="9" t="str">
        <f aca="false">IF($E663="","",IFERROR(INDEX(担当者マスタ!$B$2:$B$101,MATCH($E663,担当者マスタ!$A$2:$A$101,0)),"※マスタ未登録"))</f>
        <v/>
      </c>
      <c r="G663" s="11" t="n">
        <v>6.5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f aca="false">SUM(G663:L663)</f>
        <v>6.5</v>
      </c>
      <c r="N663" s="11" t="n">
        <v>6.5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1" t="n">
        <f aca="false">SUM(N663:S663)</f>
        <v>6.5</v>
      </c>
      <c r="U663" s="11" t="n">
        <v>0</v>
      </c>
      <c r="V663" s="11" t="n">
        <v>0</v>
      </c>
      <c r="W663" s="11" t="n">
        <v>0</v>
      </c>
      <c r="X663" s="11" t="n">
        <v>0</v>
      </c>
      <c r="Y663" s="11" t="n">
        <v>0</v>
      </c>
      <c r="Z663" s="11" t="n">
        <v>0</v>
      </c>
      <c r="AA663" s="11" t="n">
        <f aca="false">SUM(U663:Z663)</f>
        <v>0</v>
      </c>
      <c r="AB663" s="11" t="n">
        <v>0</v>
      </c>
      <c r="AC663" s="11" t="n">
        <v>0</v>
      </c>
      <c r="AD663" s="11" t="n">
        <v>0</v>
      </c>
      <c r="AE663" s="11" t="n">
        <v>0</v>
      </c>
      <c r="AF663" s="11" t="n">
        <v>0</v>
      </c>
      <c r="AG663" s="11" t="n">
        <v>0</v>
      </c>
      <c r="AH663" s="11" t="n">
        <f aca="false">SUM(AB663:AG663)</f>
        <v>0</v>
      </c>
      <c r="AI663" s="12" t="s">
        <v>60</v>
      </c>
    </row>
    <row r="664" customFormat="false" ht="15" hidden="false" customHeight="false" outlineLevel="0" collapsed="false">
      <c r="A664" s="8" t="s">
        <v>1429</v>
      </c>
      <c r="B664" s="12" t="s">
        <v>1430</v>
      </c>
      <c r="C664" s="8" t="s">
        <v>1319</v>
      </c>
      <c r="D664" s="12" t="s">
        <v>1320</v>
      </c>
      <c r="E664" s="10" t="str">
        <f aca="true">IFERROR(IF(INDEX(INDIRECT("'"&amp;$AI664&amp;"'!$E$2:$E$118"),MATCH($A664,INDIRECT("'"&amp;$AI664&amp;"'!$A$2:$A$118"),0))="","",INDEX(INDIRECT("'"&amp;$AI664&amp;"'!$E$2:$E$118"),MATCH($A664,INDIRECT("'"&amp;$AI664&amp;"'!$A$2:$A$118"),0))),"")</f>
        <v/>
      </c>
      <c r="F664" s="9" t="str">
        <f aca="false">IF($E664="","",IFERROR(INDEX(担当者マスタ!$B$2:$B$101,MATCH($E664,担当者マスタ!$A$2:$A$101,0)),"※マスタ未登録"))</f>
        <v/>
      </c>
      <c r="G664" s="11" t="n">
        <v>0</v>
      </c>
      <c r="H664" s="11" t="n">
        <v>0</v>
      </c>
      <c r="I664" s="11" t="n">
        <v>0</v>
      </c>
      <c r="J664" s="11" t="n">
        <v>351</v>
      </c>
      <c r="K664" s="11" t="n">
        <v>0</v>
      </c>
      <c r="L664" s="11" t="n">
        <v>0</v>
      </c>
      <c r="M664" s="11" t="n">
        <f aca="false">SUM(G664:L664)</f>
        <v>351</v>
      </c>
      <c r="N664" s="11" t="n">
        <v>0</v>
      </c>
      <c r="O664" s="11" t="n">
        <v>0</v>
      </c>
      <c r="P664" s="11" t="n">
        <v>0</v>
      </c>
      <c r="Q664" s="11" t="n">
        <v>189</v>
      </c>
      <c r="R664" s="11" t="n">
        <v>0</v>
      </c>
      <c r="S664" s="11" t="n">
        <v>0</v>
      </c>
      <c r="T664" s="11" t="n">
        <f aca="false">SUM(N664:S664)</f>
        <v>189</v>
      </c>
      <c r="U664" s="11" t="n">
        <v>0</v>
      </c>
      <c r="V664" s="11" t="n">
        <v>0</v>
      </c>
      <c r="W664" s="11" t="n">
        <v>0</v>
      </c>
      <c r="X664" s="11" t="n">
        <v>65.1</v>
      </c>
      <c r="Y664" s="11" t="n">
        <v>0</v>
      </c>
      <c r="Z664" s="11" t="n">
        <v>0</v>
      </c>
      <c r="AA664" s="11" t="n">
        <f aca="false">SUM(U664:Z664)</f>
        <v>65.1</v>
      </c>
      <c r="AB664" s="11" t="n">
        <v>0</v>
      </c>
      <c r="AC664" s="11" t="n">
        <v>0</v>
      </c>
      <c r="AD664" s="11" t="n">
        <v>0</v>
      </c>
      <c r="AE664" s="11" t="n">
        <v>31</v>
      </c>
      <c r="AF664" s="11" t="n">
        <v>0</v>
      </c>
      <c r="AG664" s="11" t="n">
        <v>0</v>
      </c>
      <c r="AH664" s="11" t="n">
        <f aca="false">SUM(AB664:AG664)</f>
        <v>31</v>
      </c>
      <c r="AI664" s="12" t="s">
        <v>60</v>
      </c>
    </row>
    <row r="665" customFormat="false" ht="15" hidden="false" customHeight="false" outlineLevel="0" collapsed="false">
      <c r="A665" s="8" t="s">
        <v>1431</v>
      </c>
      <c r="B665" s="9" t="s">
        <v>1432</v>
      </c>
      <c r="C665" s="8" t="s">
        <v>1319</v>
      </c>
      <c r="D665" s="12" t="s">
        <v>1320</v>
      </c>
      <c r="E665" s="10" t="str">
        <f aca="true">IFERROR(IF(INDEX(INDIRECT("'"&amp;$AI665&amp;"'!$E$2:$E$118"),MATCH($A665,INDIRECT("'"&amp;$AI665&amp;"'!$A$2:$A$118"),0))="","",INDEX(INDIRECT("'"&amp;$AI665&amp;"'!$E$2:$E$118"),MATCH($A665,INDIRECT("'"&amp;$AI665&amp;"'!$A$2:$A$118"),0))),"")</f>
        <v/>
      </c>
      <c r="F665" s="9" t="str">
        <f aca="false">IF($E665="","",IFERROR(INDEX(担当者マスタ!$B$2:$B$101,MATCH($E665,担当者マスタ!$A$2:$A$101,0)),"※マスタ未登録"))</f>
        <v/>
      </c>
      <c r="G665" s="11" t="n">
        <v>1.8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f aca="false">SUM(G665:L665)</f>
        <v>1.8</v>
      </c>
      <c r="N665" s="11" t="n">
        <v>1.8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f aca="false">SUM(N665:S665)</f>
        <v>1.8</v>
      </c>
      <c r="U665" s="11" t="n">
        <v>0</v>
      </c>
      <c r="V665" s="11" t="n">
        <v>0</v>
      </c>
      <c r="W665" s="11" t="n">
        <v>0</v>
      </c>
      <c r="X665" s="11" t="n">
        <v>0</v>
      </c>
      <c r="Y665" s="11" t="n">
        <v>0</v>
      </c>
      <c r="Z665" s="11" t="n">
        <v>0</v>
      </c>
      <c r="AA665" s="11" t="n">
        <f aca="false">SUM(U665:Z665)</f>
        <v>0</v>
      </c>
      <c r="AB665" s="11" t="n">
        <v>0</v>
      </c>
      <c r="AC665" s="11" t="n">
        <v>0</v>
      </c>
      <c r="AD665" s="11" t="n">
        <v>0</v>
      </c>
      <c r="AE665" s="11" t="n">
        <v>0</v>
      </c>
      <c r="AF665" s="11" t="n">
        <v>0</v>
      </c>
      <c r="AG665" s="11" t="n">
        <v>0</v>
      </c>
      <c r="AH665" s="11" t="n">
        <f aca="false">SUM(AB665:AG665)</f>
        <v>0</v>
      </c>
      <c r="AI665" s="12" t="s">
        <v>60</v>
      </c>
    </row>
    <row r="666" customFormat="false" ht="15" hidden="false" customHeight="false" outlineLevel="0" collapsed="false">
      <c r="A666" s="8" t="s">
        <v>1433</v>
      </c>
      <c r="B666" s="9" t="s">
        <v>1434</v>
      </c>
      <c r="C666" s="8" t="s">
        <v>1319</v>
      </c>
      <c r="D666" s="12" t="s">
        <v>1320</v>
      </c>
      <c r="E666" s="10" t="str">
        <f aca="true">IFERROR(IF(INDEX(INDIRECT("'"&amp;$AI666&amp;"'!$E$2:$E$118"),MATCH($A666,INDIRECT("'"&amp;$AI666&amp;"'!$A$2:$A$118"),0))="","",INDEX(INDIRECT("'"&amp;$AI666&amp;"'!$E$2:$E$118"),MATCH($A666,INDIRECT("'"&amp;$AI666&amp;"'!$A$2:$A$118"),0))),"")</f>
        <v/>
      </c>
      <c r="F666" s="9" t="str">
        <f aca="false">IF($E666="","",IFERROR(INDEX(担当者マスタ!$B$2:$B$101,MATCH($E666,担当者マスタ!$A$2:$A$101,0)),"※マスタ未登録"))</f>
        <v/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f aca="false">SUM(G666:L666)</f>
        <v>0</v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1" t="n">
        <f aca="false">SUM(N666:S666)</f>
        <v>0</v>
      </c>
      <c r="U666" s="11" t="n">
        <v>3.8</v>
      </c>
      <c r="V666" s="11" t="n">
        <v>11.7</v>
      </c>
      <c r="W666" s="11" t="n">
        <v>0</v>
      </c>
      <c r="X666" s="11" t="n">
        <v>0</v>
      </c>
      <c r="Y666" s="11" t="n">
        <v>0</v>
      </c>
      <c r="Z666" s="11" t="n">
        <v>0</v>
      </c>
      <c r="AA666" s="11" t="n">
        <f aca="false">SUM(U666:Z666)</f>
        <v>15.5</v>
      </c>
      <c r="AB666" s="11" t="n">
        <v>3.8</v>
      </c>
      <c r="AC666" s="11" t="n">
        <v>11.7</v>
      </c>
      <c r="AD666" s="11" t="n">
        <v>0</v>
      </c>
      <c r="AE666" s="11" t="n">
        <v>0</v>
      </c>
      <c r="AF666" s="11" t="n">
        <v>0</v>
      </c>
      <c r="AG666" s="11" t="n">
        <v>0</v>
      </c>
      <c r="AH666" s="11" t="n">
        <f aca="false">SUM(AB666:AG666)</f>
        <v>15.5</v>
      </c>
      <c r="AI666" s="12" t="s">
        <v>60</v>
      </c>
    </row>
    <row r="667" customFormat="false" ht="15" hidden="false" customHeight="false" outlineLevel="0" collapsed="false">
      <c r="A667" s="8" t="s">
        <v>1435</v>
      </c>
      <c r="B667" s="9" t="s">
        <v>1436</v>
      </c>
      <c r="C667" s="8" t="s">
        <v>1319</v>
      </c>
      <c r="D667" s="12" t="s">
        <v>1320</v>
      </c>
      <c r="E667" s="10" t="str">
        <f aca="true">IFERROR(IF(INDEX(INDIRECT("'"&amp;$AI667&amp;"'!$E$2:$E$118"),MATCH($A667,INDIRECT("'"&amp;$AI667&amp;"'!$A$2:$A$118"),0))="","",INDEX(INDIRECT("'"&amp;$AI667&amp;"'!$E$2:$E$118"),MATCH($A667,INDIRECT("'"&amp;$AI667&amp;"'!$A$2:$A$118"),0))),"")</f>
        <v/>
      </c>
      <c r="F667" s="9" t="str">
        <f aca="false">IF($E667="","",IFERROR(INDEX(担当者マスタ!$B$2:$B$101,MATCH($E667,担当者マスタ!$A$2:$A$101,0)),"※マスタ未登録"))</f>
        <v/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f aca="false">SUM(G667:L667)</f>
        <v>0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1" t="n">
        <f aca="false">SUM(N667:S667)</f>
        <v>0</v>
      </c>
      <c r="U667" s="11" t="n">
        <v>2.7</v>
      </c>
      <c r="V667" s="11" t="n">
        <v>0</v>
      </c>
      <c r="W667" s="11" t="n">
        <v>0</v>
      </c>
      <c r="X667" s="11" t="n">
        <v>0</v>
      </c>
      <c r="Y667" s="11" t="n">
        <v>0</v>
      </c>
      <c r="Z667" s="11" t="n">
        <v>0</v>
      </c>
      <c r="AA667" s="11" t="n">
        <f aca="false">SUM(U667:Z667)</f>
        <v>2.7</v>
      </c>
      <c r="AB667" s="11" t="n">
        <v>2.7</v>
      </c>
      <c r="AC667" s="11" t="n">
        <v>0</v>
      </c>
      <c r="AD667" s="11" t="n">
        <v>0</v>
      </c>
      <c r="AE667" s="11" t="n">
        <v>0</v>
      </c>
      <c r="AF667" s="11" t="n">
        <v>0</v>
      </c>
      <c r="AG667" s="11" t="n">
        <v>0</v>
      </c>
      <c r="AH667" s="11" t="n">
        <f aca="false">SUM(AB667:AG667)</f>
        <v>2.7</v>
      </c>
      <c r="AI667" s="12" t="s">
        <v>60</v>
      </c>
    </row>
    <row r="668" customFormat="false" ht="15" hidden="false" customHeight="false" outlineLevel="0" collapsed="false">
      <c r="A668" s="8" t="s">
        <v>1437</v>
      </c>
      <c r="B668" s="12" t="s">
        <v>1438</v>
      </c>
      <c r="C668" s="8" t="s">
        <v>1319</v>
      </c>
      <c r="D668" s="12" t="s">
        <v>1320</v>
      </c>
      <c r="E668" s="10" t="str">
        <f aca="true">IFERROR(IF(INDEX(INDIRECT("'"&amp;$AI668&amp;"'!$E$2:$E$118"),MATCH($A668,INDIRECT("'"&amp;$AI668&amp;"'!$A$2:$A$118"),0))="","",INDEX(INDIRECT("'"&amp;$AI668&amp;"'!$E$2:$E$118"),MATCH($A668,INDIRECT("'"&amp;$AI668&amp;"'!$A$2:$A$118"),0))),"")</f>
        <v/>
      </c>
      <c r="F668" s="9" t="str">
        <f aca="false">IF($E668="","",IFERROR(INDEX(担当者マスタ!$B$2:$B$101,MATCH($E668,担当者マスタ!$A$2:$A$101,0)),"※マスタ未登録"))</f>
        <v/>
      </c>
      <c r="G668" s="11" t="n">
        <v>11.76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f aca="false">SUM(G668:L668)</f>
        <v>11.76</v>
      </c>
      <c r="N668" s="11" t="n">
        <v>11.76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1" t="n">
        <f aca="false">SUM(N668:S668)</f>
        <v>11.76</v>
      </c>
      <c r="U668" s="11" t="n">
        <v>0</v>
      </c>
      <c r="V668" s="11" t="n">
        <v>0</v>
      </c>
      <c r="W668" s="11" t="n">
        <v>0</v>
      </c>
      <c r="X668" s="11" t="n">
        <v>0</v>
      </c>
      <c r="Y668" s="11" t="n">
        <v>0</v>
      </c>
      <c r="Z668" s="11" t="n">
        <v>0</v>
      </c>
      <c r="AA668" s="11" t="n">
        <f aca="false">SUM(U668:Z668)</f>
        <v>0</v>
      </c>
      <c r="AB668" s="11" t="n">
        <v>0</v>
      </c>
      <c r="AC668" s="11" t="n">
        <v>0</v>
      </c>
      <c r="AD668" s="11" t="n">
        <v>0</v>
      </c>
      <c r="AE668" s="11" t="n">
        <v>0</v>
      </c>
      <c r="AF668" s="11" t="n">
        <v>0</v>
      </c>
      <c r="AG668" s="11" t="n">
        <v>0</v>
      </c>
      <c r="AH668" s="11" t="n">
        <f aca="false">SUM(AB668:AG668)</f>
        <v>0</v>
      </c>
      <c r="AI668" s="12" t="s">
        <v>60</v>
      </c>
    </row>
    <row r="669" customFormat="false" ht="15" hidden="false" customHeight="false" outlineLevel="0" collapsed="false">
      <c r="A669" s="8" t="s">
        <v>1439</v>
      </c>
      <c r="B669" s="12" t="s">
        <v>1440</v>
      </c>
      <c r="C669" s="8" t="s">
        <v>1319</v>
      </c>
      <c r="D669" s="12" t="s">
        <v>1320</v>
      </c>
      <c r="E669" s="10" t="str">
        <f aca="true">IFERROR(IF(INDEX(INDIRECT("'"&amp;$AI669&amp;"'!$E$2:$E$118"),MATCH($A669,INDIRECT("'"&amp;$AI669&amp;"'!$A$2:$A$118"),0))="","",INDEX(INDIRECT("'"&amp;$AI669&amp;"'!$E$2:$E$118"),MATCH($A669,INDIRECT("'"&amp;$AI669&amp;"'!$A$2:$A$118"),0))),"")</f>
        <v/>
      </c>
      <c r="F669" s="9" t="str">
        <f aca="false">IF($E669="","",IFERROR(INDEX(担当者マスタ!$B$2:$B$101,MATCH($E669,担当者マスタ!$A$2:$A$101,0)),"※マスタ未登録"))</f>
        <v/>
      </c>
      <c r="G669" s="11" t="n">
        <v>5.67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f aca="false">SUM(G669:L669)</f>
        <v>5.67</v>
      </c>
      <c r="N669" s="11" t="n">
        <v>5.67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1" t="n">
        <f aca="false">SUM(N669:S669)</f>
        <v>5.67</v>
      </c>
      <c r="U669" s="11" t="n">
        <v>0</v>
      </c>
      <c r="V669" s="11" t="n">
        <v>0</v>
      </c>
      <c r="W669" s="11" t="n">
        <v>0</v>
      </c>
      <c r="X669" s="11" t="n">
        <v>0</v>
      </c>
      <c r="Y669" s="11" t="n">
        <v>0</v>
      </c>
      <c r="Z669" s="11" t="n">
        <v>0</v>
      </c>
      <c r="AA669" s="11" t="n">
        <f aca="false">SUM(U669:Z669)</f>
        <v>0</v>
      </c>
      <c r="AB669" s="11" t="n">
        <v>0</v>
      </c>
      <c r="AC669" s="11" t="n">
        <v>0</v>
      </c>
      <c r="AD669" s="11" t="n">
        <v>0</v>
      </c>
      <c r="AE669" s="11" t="n">
        <v>0</v>
      </c>
      <c r="AF669" s="11" t="n">
        <v>0</v>
      </c>
      <c r="AG669" s="11" t="n">
        <v>0</v>
      </c>
      <c r="AH669" s="11" t="n">
        <f aca="false">SUM(AB669:AG669)</f>
        <v>0</v>
      </c>
      <c r="AI669" s="12" t="s">
        <v>60</v>
      </c>
    </row>
    <row r="670" customFormat="false" ht="15" hidden="false" customHeight="false" outlineLevel="0" collapsed="false">
      <c r="A670" s="8" t="s">
        <v>1441</v>
      </c>
      <c r="B670" s="12" t="s">
        <v>1442</v>
      </c>
      <c r="C670" s="8" t="s">
        <v>1319</v>
      </c>
      <c r="D670" s="12" t="s">
        <v>1320</v>
      </c>
      <c r="E670" s="10" t="str">
        <f aca="true">IFERROR(IF(INDEX(INDIRECT("'"&amp;$AI670&amp;"'!$E$2:$E$118"),MATCH($A670,INDIRECT("'"&amp;$AI670&amp;"'!$A$2:$A$118"),0))="","",INDEX(INDIRECT("'"&amp;$AI670&amp;"'!$E$2:$E$118"),MATCH($A670,INDIRECT("'"&amp;$AI670&amp;"'!$A$2:$A$118"),0))),"")</f>
        <v/>
      </c>
      <c r="F670" s="9" t="str">
        <f aca="false">IF($E670="","",IFERROR(INDEX(担当者マスタ!$B$2:$B$101,MATCH($E670,担当者マスタ!$A$2:$A$101,0)),"※マスタ未登録"))</f>
        <v/>
      </c>
      <c r="G670" s="11" t="n">
        <v>4.48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f aca="false">SUM(G670:L670)</f>
        <v>4.48</v>
      </c>
      <c r="N670" s="11" t="n">
        <v>4.48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1" t="n">
        <f aca="false">SUM(N670:S670)</f>
        <v>4.48</v>
      </c>
      <c r="U670" s="11" t="n">
        <v>0</v>
      </c>
      <c r="V670" s="11" t="n">
        <v>0</v>
      </c>
      <c r="W670" s="11" t="n">
        <v>0</v>
      </c>
      <c r="X670" s="11" t="n">
        <v>0</v>
      </c>
      <c r="Y670" s="11" t="n">
        <v>0</v>
      </c>
      <c r="Z670" s="11" t="n">
        <v>0</v>
      </c>
      <c r="AA670" s="11" t="n">
        <f aca="false">SUM(U670:Z670)</f>
        <v>0</v>
      </c>
      <c r="AB670" s="11" t="n">
        <v>0</v>
      </c>
      <c r="AC670" s="11" t="n">
        <v>0</v>
      </c>
      <c r="AD670" s="11" t="n">
        <v>0</v>
      </c>
      <c r="AE670" s="11" t="n">
        <v>0</v>
      </c>
      <c r="AF670" s="11" t="n">
        <v>0</v>
      </c>
      <c r="AG670" s="11" t="n">
        <v>0</v>
      </c>
      <c r="AH670" s="11" t="n">
        <f aca="false">SUM(AB670:AG670)</f>
        <v>0</v>
      </c>
      <c r="AI670" s="12" t="s">
        <v>60</v>
      </c>
    </row>
    <row r="671" customFormat="false" ht="15" hidden="false" customHeight="false" outlineLevel="0" collapsed="false">
      <c r="A671" s="8" t="s">
        <v>1443</v>
      </c>
      <c r="B671" s="9" t="s">
        <v>1444</v>
      </c>
      <c r="C671" s="8" t="s">
        <v>1319</v>
      </c>
      <c r="D671" s="12" t="s">
        <v>1320</v>
      </c>
      <c r="E671" s="10" t="str">
        <f aca="true">IFERROR(IF(INDEX(INDIRECT("'"&amp;$AI671&amp;"'!$E$2:$E$118"),MATCH($A671,INDIRECT("'"&amp;$AI671&amp;"'!$A$2:$A$118"),0))="","",INDEX(INDIRECT("'"&amp;$AI671&amp;"'!$E$2:$E$118"),MATCH($A671,INDIRECT("'"&amp;$AI671&amp;"'!$A$2:$A$118"),0))),"")</f>
        <v/>
      </c>
      <c r="F671" s="9" t="str">
        <f aca="false">IF($E671="","",IFERROR(INDEX(担当者マスタ!$B$2:$B$101,MATCH($E671,担当者マスタ!$A$2:$A$101,0)),"※マスタ未登録"))</f>
        <v/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f aca="false">SUM(G671:L671)</f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f aca="false">SUM(N671:S671)</f>
        <v>0</v>
      </c>
      <c r="U671" s="11" t="n">
        <v>10</v>
      </c>
      <c r="V671" s="11" t="n">
        <v>0</v>
      </c>
      <c r="W671" s="11" t="n">
        <v>0</v>
      </c>
      <c r="X671" s="11" t="n">
        <v>0</v>
      </c>
      <c r="Y671" s="11" t="n">
        <v>0</v>
      </c>
      <c r="Z671" s="11" t="n">
        <v>0</v>
      </c>
      <c r="AA671" s="11" t="n">
        <f aca="false">SUM(U671:Z671)</f>
        <v>10</v>
      </c>
      <c r="AB671" s="11" t="n">
        <v>10</v>
      </c>
      <c r="AC671" s="11" t="n">
        <v>0</v>
      </c>
      <c r="AD671" s="11" t="n">
        <v>0</v>
      </c>
      <c r="AE671" s="11" t="n">
        <v>0</v>
      </c>
      <c r="AF671" s="11" t="n">
        <v>0</v>
      </c>
      <c r="AG671" s="11" t="n">
        <v>0</v>
      </c>
      <c r="AH671" s="11" t="n">
        <f aca="false">SUM(AB671:AG671)</f>
        <v>10</v>
      </c>
      <c r="AI671" s="12" t="s">
        <v>60</v>
      </c>
    </row>
    <row r="672" customFormat="false" ht="15" hidden="false" customHeight="false" outlineLevel="0" collapsed="false">
      <c r="A672" s="8" t="s">
        <v>1445</v>
      </c>
      <c r="B672" s="12" t="s">
        <v>1446</v>
      </c>
      <c r="C672" s="8" t="s">
        <v>1319</v>
      </c>
      <c r="D672" s="12" t="s">
        <v>1320</v>
      </c>
      <c r="E672" s="10" t="str">
        <f aca="true">IFERROR(IF(INDEX(INDIRECT("'"&amp;$AI672&amp;"'!$E$2:$E$118"),MATCH($A672,INDIRECT("'"&amp;$AI672&amp;"'!$A$2:$A$118"),0))="","",INDEX(INDIRECT("'"&amp;$AI672&amp;"'!$E$2:$E$118"),MATCH($A672,INDIRECT("'"&amp;$AI672&amp;"'!$A$2:$A$118"),0))),"")</f>
        <v/>
      </c>
      <c r="F672" s="9" t="str">
        <f aca="false">IF($E672="","",IFERROR(INDEX(担当者マスタ!$B$2:$B$101,MATCH($E672,担当者マスタ!$A$2:$A$101,0)),"※マスタ未登録"))</f>
        <v/>
      </c>
      <c r="G672" s="11" t="n">
        <v>322.5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f aca="false">SUM(G672:L672)</f>
        <v>322.5</v>
      </c>
      <c r="N672" s="11" t="n">
        <v>174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1" t="n">
        <f aca="false">SUM(N672:S672)</f>
        <v>174</v>
      </c>
      <c r="U672" s="11" t="n">
        <v>0</v>
      </c>
      <c r="V672" s="11" t="n">
        <v>0</v>
      </c>
      <c r="W672" s="11" t="n">
        <v>0</v>
      </c>
      <c r="X672" s="11" t="n">
        <v>0</v>
      </c>
      <c r="Y672" s="11" t="n">
        <v>0</v>
      </c>
      <c r="Z672" s="11" t="n">
        <v>0</v>
      </c>
      <c r="AA672" s="11" t="n">
        <f aca="false">SUM(U672:Z672)</f>
        <v>0</v>
      </c>
      <c r="AB672" s="11" t="n">
        <v>0</v>
      </c>
      <c r="AC672" s="11" t="n">
        <v>0</v>
      </c>
      <c r="AD672" s="11" t="n">
        <v>0</v>
      </c>
      <c r="AE672" s="11" t="n">
        <v>0</v>
      </c>
      <c r="AF672" s="11" t="n">
        <v>0</v>
      </c>
      <c r="AG672" s="11" t="n">
        <v>0</v>
      </c>
      <c r="AH672" s="11" t="n">
        <f aca="false">SUM(AB672:AG672)</f>
        <v>0</v>
      </c>
      <c r="AI672" s="12" t="s">
        <v>60</v>
      </c>
    </row>
    <row r="673" customFormat="false" ht="15" hidden="false" customHeight="false" outlineLevel="0" collapsed="false">
      <c r="A673" s="8" t="s">
        <v>1447</v>
      </c>
      <c r="B673" s="12" t="s">
        <v>1448</v>
      </c>
      <c r="C673" s="8" t="s">
        <v>1319</v>
      </c>
      <c r="D673" s="12" t="s">
        <v>1320</v>
      </c>
      <c r="E673" s="10" t="str">
        <f aca="true">IFERROR(IF(INDEX(INDIRECT("'"&amp;$AI673&amp;"'!$E$2:$E$118"),MATCH($A673,INDIRECT("'"&amp;$AI673&amp;"'!$A$2:$A$118"),0))="","",INDEX(INDIRECT("'"&amp;$AI673&amp;"'!$E$2:$E$118"),MATCH($A673,INDIRECT("'"&amp;$AI673&amp;"'!$A$2:$A$118"),0))),"")</f>
        <v/>
      </c>
      <c r="F673" s="9" t="str">
        <f aca="false">IF($E673="","",IFERROR(INDEX(担当者マスタ!$B$2:$B$101,MATCH($E673,担当者マスタ!$A$2:$A$101,0)),"※マスタ未登録"))</f>
        <v/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f aca="false">SUM(G673:L673)</f>
        <v>0</v>
      </c>
      <c r="N673" s="11" t="n">
        <v>0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1" t="n">
        <f aca="false">SUM(N673:S673)</f>
        <v>0</v>
      </c>
      <c r="U673" s="11" t="n">
        <v>0</v>
      </c>
      <c r="V673" s="11" t="n">
        <v>0</v>
      </c>
      <c r="W673" s="11" t="n">
        <v>130.2</v>
      </c>
      <c r="X673" s="11" t="n">
        <v>0</v>
      </c>
      <c r="Y673" s="11" t="n">
        <v>0</v>
      </c>
      <c r="Z673" s="11" t="n">
        <v>0</v>
      </c>
      <c r="AA673" s="11" t="n">
        <f aca="false">SUM(U673:Z673)</f>
        <v>130.2</v>
      </c>
      <c r="AB673" s="11" t="n">
        <v>0</v>
      </c>
      <c r="AC673" s="11" t="n">
        <v>0</v>
      </c>
      <c r="AD673" s="11" t="n">
        <v>65.896</v>
      </c>
      <c r="AE673" s="11" t="n">
        <v>0</v>
      </c>
      <c r="AF673" s="11" t="n">
        <v>0</v>
      </c>
      <c r="AG673" s="11" t="n">
        <v>0</v>
      </c>
      <c r="AH673" s="11" t="n">
        <f aca="false">SUM(AB673:AG673)</f>
        <v>65.896</v>
      </c>
      <c r="AI673" s="12" t="s">
        <v>60</v>
      </c>
    </row>
    <row r="674" customFormat="false" ht="15" hidden="false" customHeight="false" outlineLevel="0" collapsed="false">
      <c r="A674" s="8" t="s">
        <v>1449</v>
      </c>
      <c r="B674" s="12" t="s">
        <v>1450</v>
      </c>
      <c r="C674" s="8" t="s">
        <v>1319</v>
      </c>
      <c r="D674" s="12" t="s">
        <v>1320</v>
      </c>
      <c r="E674" s="10" t="str">
        <f aca="true">IFERROR(IF(INDEX(INDIRECT("'"&amp;$AI674&amp;"'!$E$2:$E$118"),MATCH($A674,INDIRECT("'"&amp;$AI674&amp;"'!$A$2:$A$118"),0))="","",INDEX(INDIRECT("'"&amp;$AI674&amp;"'!$E$2:$E$118"),MATCH($A674,INDIRECT("'"&amp;$AI674&amp;"'!$A$2:$A$118"),0))),"")</f>
        <v/>
      </c>
      <c r="F674" s="9" t="str">
        <f aca="false">IF($E674="","",IFERROR(INDEX(担当者マスタ!$B$2:$B$101,MATCH($E674,担当者マスタ!$A$2:$A$101,0)),"※マスタ未登録"))</f>
        <v/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f aca="false">SUM(G674:L674)</f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f aca="false">SUM(N674:S674)</f>
        <v>0</v>
      </c>
      <c r="U674" s="11" t="n">
        <v>0</v>
      </c>
      <c r="V674" s="11" t="n">
        <v>0</v>
      </c>
      <c r="W674" s="11" t="n">
        <v>153.45</v>
      </c>
      <c r="X674" s="11" t="n">
        <v>0</v>
      </c>
      <c r="Y674" s="11" t="n">
        <v>0</v>
      </c>
      <c r="Z674" s="11" t="n">
        <v>0</v>
      </c>
      <c r="AA674" s="11" t="n">
        <f aca="false">SUM(U674:Z674)</f>
        <v>153.45</v>
      </c>
      <c r="AB674" s="11" t="n">
        <v>0</v>
      </c>
      <c r="AC674" s="11" t="n">
        <v>0</v>
      </c>
      <c r="AD674" s="11" t="n">
        <v>77.265</v>
      </c>
      <c r="AE674" s="11" t="n">
        <v>0</v>
      </c>
      <c r="AF674" s="11" t="n">
        <v>0</v>
      </c>
      <c r="AG674" s="11" t="n">
        <v>0</v>
      </c>
      <c r="AH674" s="11" t="n">
        <f aca="false">SUM(AB674:AG674)</f>
        <v>77.265</v>
      </c>
      <c r="AI674" s="12" t="s">
        <v>60</v>
      </c>
    </row>
    <row r="675" customFormat="false" ht="15" hidden="false" customHeight="false" outlineLevel="0" collapsed="false">
      <c r="A675" s="8" t="s">
        <v>1451</v>
      </c>
      <c r="B675" s="12" t="s">
        <v>1452</v>
      </c>
      <c r="C675" s="8" t="s">
        <v>1319</v>
      </c>
      <c r="D675" s="12" t="s">
        <v>1320</v>
      </c>
      <c r="E675" s="10" t="str">
        <f aca="true">IFERROR(IF(INDEX(INDIRECT("'"&amp;$AI675&amp;"'!$E$2:$E$118"),MATCH($A675,INDIRECT("'"&amp;$AI675&amp;"'!$A$2:$A$118"),0))="","",INDEX(INDIRECT("'"&amp;$AI675&amp;"'!$E$2:$E$118"),MATCH($A675,INDIRECT("'"&amp;$AI675&amp;"'!$A$2:$A$118"),0))),"")</f>
        <v/>
      </c>
      <c r="F675" s="9" t="str">
        <f aca="false">IF($E675="","",IFERROR(INDEX(担当者マスタ!$B$2:$B$101,MATCH($E675,担当者マスタ!$A$2:$A$101,0)),"※マスタ未登録"))</f>
        <v/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f aca="false">SUM(G675:L675)</f>
        <v>0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  <c r="T675" s="11" t="n">
        <f aca="false">SUM(N675:S675)</f>
        <v>0</v>
      </c>
      <c r="U675" s="11" t="n">
        <v>0</v>
      </c>
      <c r="V675" s="11" t="n">
        <v>0</v>
      </c>
      <c r="W675" s="11" t="n">
        <v>0</v>
      </c>
      <c r="X675" s="11" t="n">
        <v>0</v>
      </c>
      <c r="Y675" s="11" t="n">
        <v>244.126</v>
      </c>
      <c r="Z675" s="11" t="n">
        <v>0</v>
      </c>
      <c r="AA675" s="11" t="n">
        <f aca="false">SUM(U675:Z675)</f>
        <v>244.126</v>
      </c>
      <c r="AB675" s="11" t="n">
        <v>0</v>
      </c>
      <c r="AC675" s="11" t="n">
        <v>0</v>
      </c>
      <c r="AD675" s="11" t="n">
        <v>0</v>
      </c>
      <c r="AE675" s="11" t="n">
        <v>0</v>
      </c>
      <c r="AF675" s="11" t="n">
        <v>110.336</v>
      </c>
      <c r="AG675" s="11" t="n">
        <v>0</v>
      </c>
      <c r="AH675" s="11" t="n">
        <f aca="false">SUM(AB675:AG675)</f>
        <v>110.336</v>
      </c>
      <c r="AI675" s="12" t="s">
        <v>60</v>
      </c>
    </row>
    <row r="676" customFormat="false" ht="15" hidden="false" customHeight="false" outlineLevel="0" collapsed="false">
      <c r="A676" s="8" t="s">
        <v>1453</v>
      </c>
      <c r="B676" s="12" t="s">
        <v>1454</v>
      </c>
      <c r="C676" s="8" t="s">
        <v>1319</v>
      </c>
      <c r="D676" s="12" t="s">
        <v>1320</v>
      </c>
      <c r="E676" s="10" t="str">
        <f aca="true">IFERROR(IF(INDEX(INDIRECT("'"&amp;$AI676&amp;"'!$E$2:$E$118"),MATCH($A676,INDIRECT("'"&amp;$AI676&amp;"'!$A$2:$A$118"),0))="","",INDEX(INDIRECT("'"&amp;$AI676&amp;"'!$E$2:$E$118"),MATCH($A676,INDIRECT("'"&amp;$AI676&amp;"'!$A$2:$A$118"),0))),"")</f>
        <v/>
      </c>
      <c r="F676" s="9" t="str">
        <f aca="false">IF($E676="","",IFERROR(INDEX(担当者マスタ!$B$2:$B$101,MATCH($E676,担当者マスタ!$A$2:$A$101,0)),"※マスタ未登録"))</f>
        <v/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f aca="false">SUM(G676:L676)</f>
        <v>0</v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1" t="n">
        <f aca="false">SUM(N676:S676)</f>
        <v>0</v>
      </c>
      <c r="U676" s="11" t="n">
        <v>0</v>
      </c>
      <c r="V676" s="11" t="n">
        <v>0</v>
      </c>
      <c r="W676" s="11" t="n">
        <v>0</v>
      </c>
      <c r="X676" s="11" t="n">
        <v>0</v>
      </c>
      <c r="Y676" s="11" t="n">
        <v>315.426</v>
      </c>
      <c r="Z676" s="11" t="n">
        <v>0</v>
      </c>
      <c r="AA676" s="11" t="n">
        <f aca="false">SUM(U676:Z676)</f>
        <v>315.426</v>
      </c>
      <c r="AB676" s="11" t="n">
        <v>0</v>
      </c>
      <c r="AC676" s="11" t="n">
        <v>0</v>
      </c>
      <c r="AD676" s="11" t="n">
        <v>0</v>
      </c>
      <c r="AE676" s="11" t="n">
        <v>0</v>
      </c>
      <c r="AF676" s="11" t="n">
        <v>144.966</v>
      </c>
      <c r="AG676" s="11" t="n">
        <v>0</v>
      </c>
      <c r="AH676" s="11" t="n">
        <f aca="false">SUM(AB676:AG676)</f>
        <v>144.966</v>
      </c>
      <c r="AI676" s="12" t="s">
        <v>60</v>
      </c>
    </row>
    <row r="677" customFormat="false" ht="15" hidden="false" customHeight="false" outlineLevel="0" collapsed="false">
      <c r="A677" s="8" t="s">
        <v>1455</v>
      </c>
      <c r="B677" s="9" t="s">
        <v>1456</v>
      </c>
      <c r="C677" s="8" t="s">
        <v>1319</v>
      </c>
      <c r="D677" s="12" t="s">
        <v>1320</v>
      </c>
      <c r="E677" s="10" t="str">
        <f aca="true">IFERROR(IF(INDEX(INDIRECT("'"&amp;$AI677&amp;"'!$E$2:$E$118"),MATCH($A677,INDIRECT("'"&amp;$AI677&amp;"'!$A$2:$A$118"),0))="","",INDEX(INDIRECT("'"&amp;$AI677&amp;"'!$E$2:$E$118"),MATCH($A677,INDIRECT("'"&amp;$AI677&amp;"'!$A$2:$A$118"),0))),"")</f>
        <v/>
      </c>
      <c r="F677" s="9" t="str">
        <f aca="false">IF($E677="","",IFERROR(INDEX(担当者マスタ!$B$2:$B$101,MATCH($E677,担当者マスタ!$A$2:$A$101,0)),"※マスタ未登録"))</f>
        <v/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f aca="false">SUM(G677:L677)</f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f aca="false">SUM(N677:S677)</f>
        <v>0</v>
      </c>
      <c r="U677" s="11" t="n">
        <v>0</v>
      </c>
      <c r="V677" s="11" t="n">
        <v>0</v>
      </c>
      <c r="W677" s="11" t="n">
        <v>0</v>
      </c>
      <c r="X677" s="11" t="n">
        <v>0</v>
      </c>
      <c r="Y677" s="11" t="n">
        <v>0</v>
      </c>
      <c r="Z677" s="11" t="n">
        <v>153.45</v>
      </c>
      <c r="AA677" s="11" t="n">
        <f aca="false">SUM(U677:Z677)</f>
        <v>153.45</v>
      </c>
      <c r="AB677" s="11" t="n">
        <v>0</v>
      </c>
      <c r="AC677" s="11" t="n">
        <v>0</v>
      </c>
      <c r="AD677" s="11" t="n">
        <v>0</v>
      </c>
      <c r="AE677" s="11" t="n">
        <v>0</v>
      </c>
      <c r="AF677" s="11" t="n">
        <v>0</v>
      </c>
      <c r="AG677" s="11" t="n">
        <v>76.743</v>
      </c>
      <c r="AH677" s="11" t="n">
        <f aca="false">SUM(AB677:AG677)</f>
        <v>76.743</v>
      </c>
      <c r="AI677" s="12" t="s">
        <v>60</v>
      </c>
    </row>
    <row r="678" customFormat="false" ht="15" hidden="false" customHeight="false" outlineLevel="0" collapsed="false">
      <c r="A678" s="8" t="s">
        <v>1457</v>
      </c>
      <c r="B678" s="9" t="s">
        <v>1458</v>
      </c>
      <c r="C678" s="8" t="s">
        <v>1319</v>
      </c>
      <c r="D678" s="12" t="s">
        <v>1320</v>
      </c>
      <c r="E678" s="10" t="str">
        <f aca="true">IFERROR(IF(INDEX(INDIRECT("'"&amp;$AI678&amp;"'!$E$2:$E$118"),MATCH($A678,INDIRECT("'"&amp;$AI678&amp;"'!$A$2:$A$118"),0))="","",INDEX(INDIRECT("'"&amp;$AI678&amp;"'!$E$2:$E$118"),MATCH($A678,INDIRECT("'"&amp;$AI678&amp;"'!$A$2:$A$118"),0))),"")</f>
        <v/>
      </c>
      <c r="F678" s="9" t="str">
        <f aca="false">IF($E678="","",IFERROR(INDEX(担当者マスタ!$B$2:$B$101,MATCH($E678,担当者マスタ!$A$2:$A$101,0)),"※マスタ未登録"))</f>
        <v/>
      </c>
      <c r="G678" s="11" t="n">
        <v>253.75</v>
      </c>
      <c r="H678" s="11" t="n">
        <v>115</v>
      </c>
      <c r="I678" s="11" t="n">
        <v>87.6</v>
      </c>
      <c r="J678" s="11" t="n">
        <v>22.95</v>
      </c>
      <c r="K678" s="11" t="n">
        <v>35.95</v>
      </c>
      <c r="L678" s="11" t="n">
        <v>21.9</v>
      </c>
      <c r="M678" s="11" t="n">
        <f aca="false">SUM(G678:L678)</f>
        <v>537.15</v>
      </c>
      <c r="N678" s="11" t="n">
        <v>237.569</v>
      </c>
      <c r="O678" s="11" t="n">
        <v>107.977</v>
      </c>
      <c r="P678" s="11" t="n">
        <v>78.82</v>
      </c>
      <c r="Q678" s="11" t="n">
        <v>22.95</v>
      </c>
      <c r="R678" s="11" t="n">
        <v>30.682</v>
      </c>
      <c r="S678" s="11" t="n">
        <v>20.144</v>
      </c>
      <c r="T678" s="11" t="n">
        <f aca="false">SUM(N678:S678)</f>
        <v>498.142</v>
      </c>
      <c r="U678" s="11" t="n">
        <v>46.3</v>
      </c>
      <c r="V678" s="11" t="n">
        <v>100.35</v>
      </c>
      <c r="W678" s="11" t="n">
        <v>116.25</v>
      </c>
      <c r="X678" s="11" t="n">
        <v>80.85</v>
      </c>
      <c r="Y678" s="11" t="n">
        <v>100.55</v>
      </c>
      <c r="Z678" s="11" t="n">
        <v>140</v>
      </c>
      <c r="AA678" s="11" t="n">
        <f aca="false">SUM(U678:Z678)</f>
        <v>584.3</v>
      </c>
      <c r="AB678" s="11" t="n">
        <v>46.3</v>
      </c>
      <c r="AC678" s="11" t="n">
        <v>100.35</v>
      </c>
      <c r="AD678" s="11" t="n">
        <v>116.25</v>
      </c>
      <c r="AE678" s="11" t="n">
        <v>80.85</v>
      </c>
      <c r="AF678" s="11" t="n">
        <v>100.55</v>
      </c>
      <c r="AG678" s="11" t="n">
        <v>140</v>
      </c>
      <c r="AH678" s="11" t="n">
        <f aca="false">SUM(AB678:AG678)</f>
        <v>584.3</v>
      </c>
      <c r="AI678" s="12" t="s">
        <v>60</v>
      </c>
    </row>
    <row r="679" customFormat="false" ht="15" hidden="false" customHeight="false" outlineLevel="0" collapsed="false">
      <c r="A679" s="8" t="s">
        <v>1459</v>
      </c>
      <c r="B679" s="12" t="s">
        <v>1460</v>
      </c>
      <c r="C679" s="8" t="s">
        <v>1319</v>
      </c>
      <c r="D679" s="12" t="s">
        <v>1320</v>
      </c>
      <c r="E679" s="10" t="str">
        <f aca="true">IFERROR(IF(INDEX(INDIRECT("'"&amp;$AI679&amp;"'!$E$2:$E$118"),MATCH($A679,INDIRECT("'"&amp;$AI679&amp;"'!$A$2:$A$118"),0))="","",INDEX(INDIRECT("'"&amp;$AI679&amp;"'!$E$2:$E$118"),MATCH($A679,INDIRECT("'"&amp;$AI679&amp;"'!$A$2:$A$118"),0))),"")</f>
        <v/>
      </c>
      <c r="F679" s="9" t="str">
        <f aca="false">IF($E679="","",IFERROR(INDEX(担当者マスタ!$B$2:$B$101,MATCH($E679,担当者マスタ!$A$2:$A$101,0)),"※マスタ未登録"))</f>
        <v/>
      </c>
      <c r="G679" s="11" t="n">
        <v>0</v>
      </c>
      <c r="H679" s="11" t="n">
        <v>0</v>
      </c>
      <c r="I679" s="11" t="n">
        <v>0</v>
      </c>
      <c r="J679" s="11" t="n">
        <v>78.2</v>
      </c>
      <c r="K679" s="11" t="n">
        <v>40.85</v>
      </c>
      <c r="L679" s="11" t="n">
        <v>49.19</v>
      </c>
      <c r="M679" s="11" t="n">
        <f aca="false">SUM(G679:L679)</f>
        <v>168.24</v>
      </c>
      <c r="N679" s="11" t="n">
        <v>0</v>
      </c>
      <c r="O679" s="11" t="n">
        <v>0</v>
      </c>
      <c r="P679" s="11" t="n">
        <v>0</v>
      </c>
      <c r="Q679" s="11" t="n">
        <v>78.2</v>
      </c>
      <c r="R679" s="11" t="n">
        <v>40.85</v>
      </c>
      <c r="S679" s="11" t="n">
        <v>45.71</v>
      </c>
      <c r="T679" s="11" t="n">
        <f aca="false">SUM(N679:S679)</f>
        <v>164.76</v>
      </c>
      <c r="U679" s="11" t="n">
        <v>0</v>
      </c>
      <c r="V679" s="11" t="n">
        <v>0</v>
      </c>
      <c r="W679" s="11" t="n">
        <v>0</v>
      </c>
      <c r="X679" s="11" t="n">
        <v>0</v>
      </c>
      <c r="Y679" s="11" t="n">
        <v>6.54</v>
      </c>
      <c r="Z679" s="11" t="n">
        <v>0</v>
      </c>
      <c r="AA679" s="11" t="n">
        <f aca="false">SUM(U679:Z679)</f>
        <v>6.54</v>
      </c>
      <c r="AB679" s="11" t="n">
        <v>0</v>
      </c>
      <c r="AC679" s="11" t="n">
        <v>0</v>
      </c>
      <c r="AD679" s="11" t="n">
        <v>0</v>
      </c>
      <c r="AE679" s="11" t="n">
        <v>0</v>
      </c>
      <c r="AF679" s="11" t="n">
        <v>2.88</v>
      </c>
      <c r="AG679" s="11" t="n">
        <v>0</v>
      </c>
      <c r="AH679" s="11" t="n">
        <f aca="false">SUM(AB679:AG679)</f>
        <v>2.88</v>
      </c>
      <c r="AI679" s="12" t="s">
        <v>60</v>
      </c>
    </row>
    <row r="680" customFormat="false" ht="15" hidden="false" customHeight="false" outlineLevel="0" collapsed="false">
      <c r="A680" s="8" t="s">
        <v>1461</v>
      </c>
      <c r="B680" s="12" t="s">
        <v>1462</v>
      </c>
      <c r="C680" s="8" t="s">
        <v>1319</v>
      </c>
      <c r="D680" s="12" t="s">
        <v>1320</v>
      </c>
      <c r="E680" s="10" t="str">
        <f aca="true">IFERROR(IF(INDEX(INDIRECT("'"&amp;$AI680&amp;"'!$E$2:$E$118"),MATCH($A680,INDIRECT("'"&amp;$AI680&amp;"'!$A$2:$A$118"),0))="","",INDEX(INDIRECT("'"&amp;$AI680&amp;"'!$E$2:$E$118"),MATCH($A680,INDIRECT("'"&amp;$AI680&amp;"'!$A$2:$A$118"),0))),"")</f>
        <v/>
      </c>
      <c r="F680" s="9" t="str">
        <f aca="false">IF($E680="","",IFERROR(INDEX(担当者マスタ!$B$2:$B$101,MATCH($E680,担当者マスタ!$A$2:$A$101,0)),"※マスタ未登録"))</f>
        <v/>
      </c>
      <c r="G680" s="11" t="n">
        <v>53</v>
      </c>
      <c r="H680" s="11" t="n">
        <v>88.734</v>
      </c>
      <c r="I680" s="11" t="n">
        <v>44.2</v>
      </c>
      <c r="J680" s="11" t="n">
        <v>39.8</v>
      </c>
      <c r="K680" s="11" t="n">
        <v>150.6</v>
      </c>
      <c r="L680" s="11" t="n">
        <v>231.6</v>
      </c>
      <c r="M680" s="11" t="n">
        <f aca="false">SUM(G680:L680)</f>
        <v>607.934</v>
      </c>
      <c r="N680" s="11" t="n">
        <v>53</v>
      </c>
      <c r="O680" s="11" t="n">
        <v>88.302</v>
      </c>
      <c r="P680" s="11" t="n">
        <v>44.2</v>
      </c>
      <c r="Q680" s="11" t="n">
        <v>39.8</v>
      </c>
      <c r="R680" s="11" t="n">
        <v>150.6</v>
      </c>
      <c r="S680" s="11" t="n">
        <v>231.6</v>
      </c>
      <c r="T680" s="11" t="n">
        <f aca="false">SUM(N680:S680)</f>
        <v>607.502</v>
      </c>
      <c r="U680" s="11" t="n">
        <v>0</v>
      </c>
      <c r="V680" s="11" t="n">
        <v>0</v>
      </c>
      <c r="W680" s="11" t="n">
        <v>0</v>
      </c>
      <c r="X680" s="11" t="n">
        <v>1.014</v>
      </c>
      <c r="Y680" s="11" t="n">
        <v>0</v>
      </c>
      <c r="Z680" s="11" t="n">
        <v>0</v>
      </c>
      <c r="AA680" s="11" t="n">
        <f aca="false">SUM(U680:Z680)</f>
        <v>1.014</v>
      </c>
      <c r="AB680" s="11" t="n">
        <v>0</v>
      </c>
      <c r="AC680" s="11" t="n">
        <v>0</v>
      </c>
      <c r="AD680" s="11" t="n">
        <v>0</v>
      </c>
      <c r="AE680" s="11" t="n">
        <v>0.386</v>
      </c>
      <c r="AF680" s="11" t="n">
        <v>0</v>
      </c>
      <c r="AG680" s="11" t="n">
        <v>0</v>
      </c>
      <c r="AH680" s="11" t="n">
        <f aca="false">SUM(AB680:AG680)</f>
        <v>0.386</v>
      </c>
      <c r="AI680" s="12" t="s">
        <v>60</v>
      </c>
    </row>
    <row r="681" customFormat="false" ht="15" hidden="false" customHeight="false" outlineLevel="0" collapsed="false">
      <c r="A681" s="8" t="s">
        <v>1463</v>
      </c>
      <c r="B681" s="12" t="s">
        <v>1464</v>
      </c>
      <c r="C681" s="8" t="s">
        <v>1319</v>
      </c>
      <c r="D681" s="12" t="s">
        <v>1320</v>
      </c>
      <c r="E681" s="10" t="str">
        <f aca="true">IFERROR(IF(INDEX(INDIRECT("'"&amp;$AI681&amp;"'!$E$2:$E$118"),MATCH($A681,INDIRECT("'"&amp;$AI681&amp;"'!$A$2:$A$118"),0))="","",INDEX(INDIRECT("'"&amp;$AI681&amp;"'!$E$2:$E$118"),MATCH($A681,INDIRECT("'"&amp;$AI681&amp;"'!$A$2:$A$118"),0))),"")</f>
        <v/>
      </c>
      <c r="F681" s="9" t="str">
        <f aca="false">IF($E681="","",IFERROR(INDEX(担当者マスタ!$B$2:$B$101,MATCH($E681,担当者マスタ!$A$2:$A$101,0)),"※マスタ未登録"))</f>
        <v/>
      </c>
      <c r="G681" s="11" t="n">
        <v>168.28</v>
      </c>
      <c r="H681" s="11" t="n">
        <v>81.8</v>
      </c>
      <c r="I681" s="11" t="n">
        <v>64.71</v>
      </c>
      <c r="J681" s="11" t="n">
        <v>39.81</v>
      </c>
      <c r="K681" s="11" t="n">
        <v>31.147</v>
      </c>
      <c r="L681" s="11" t="n">
        <v>37.86</v>
      </c>
      <c r="M681" s="11" t="n">
        <f aca="false">SUM(G681:L681)</f>
        <v>423.607</v>
      </c>
      <c r="N681" s="11" t="n">
        <v>168.28</v>
      </c>
      <c r="O681" s="11" t="n">
        <v>81.8</v>
      </c>
      <c r="P681" s="11" t="n">
        <v>64.71</v>
      </c>
      <c r="Q681" s="11" t="n">
        <v>39.81</v>
      </c>
      <c r="R681" s="11" t="n">
        <v>31.147</v>
      </c>
      <c r="S681" s="11" t="n">
        <v>37.86</v>
      </c>
      <c r="T681" s="11" t="n">
        <f aca="false">SUM(N681:S681)</f>
        <v>423.607</v>
      </c>
      <c r="U681" s="11" t="n">
        <v>93.73</v>
      </c>
      <c r="V681" s="11" t="n">
        <v>75.36</v>
      </c>
      <c r="W681" s="11" t="n">
        <v>55.717</v>
      </c>
      <c r="X681" s="11" t="n">
        <v>55.08</v>
      </c>
      <c r="Y681" s="11" t="n">
        <v>31.59</v>
      </c>
      <c r="Z681" s="11" t="n">
        <v>35.886</v>
      </c>
      <c r="AA681" s="11" t="n">
        <f aca="false">SUM(U681:Z681)</f>
        <v>347.363</v>
      </c>
      <c r="AB681" s="11" t="n">
        <v>93.73</v>
      </c>
      <c r="AC681" s="11" t="n">
        <v>75.36</v>
      </c>
      <c r="AD681" s="11" t="n">
        <v>55.717</v>
      </c>
      <c r="AE681" s="11" t="n">
        <v>55.08</v>
      </c>
      <c r="AF681" s="11" t="n">
        <v>31.59</v>
      </c>
      <c r="AG681" s="11" t="n">
        <v>35.886</v>
      </c>
      <c r="AH681" s="11" t="n">
        <f aca="false">SUM(AB681:AG681)</f>
        <v>347.363</v>
      </c>
      <c r="AI681" s="12" t="s">
        <v>60</v>
      </c>
    </row>
    <row r="682" customFormat="false" ht="15" hidden="false" customHeight="false" outlineLevel="0" collapsed="false">
      <c r="A682" s="8" t="s">
        <v>1465</v>
      </c>
      <c r="B682" s="12" t="s">
        <v>1466</v>
      </c>
      <c r="C682" s="8" t="s">
        <v>1319</v>
      </c>
      <c r="D682" s="12" t="s">
        <v>1320</v>
      </c>
      <c r="E682" s="10" t="str">
        <f aca="true">IFERROR(IF(INDEX(INDIRECT("'"&amp;$AI682&amp;"'!$E$2:$E$118"),MATCH($A682,INDIRECT("'"&amp;$AI682&amp;"'!$A$2:$A$118"),0))="","",INDEX(INDIRECT("'"&amp;$AI682&amp;"'!$E$2:$E$118"),MATCH($A682,INDIRECT("'"&amp;$AI682&amp;"'!$A$2:$A$118"),0))),"")</f>
        <v/>
      </c>
      <c r="F682" s="9" t="str">
        <f aca="false">IF($E682="","",IFERROR(INDEX(担当者マスタ!$B$2:$B$101,MATCH($E682,担当者マスタ!$A$2:$A$101,0)),"※マスタ未登録"))</f>
        <v/>
      </c>
      <c r="G682" s="11" t="n">
        <v>46.5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f aca="false">SUM(G682:L682)</f>
        <v>46.5</v>
      </c>
      <c r="N682" s="11" t="n">
        <v>44.767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1" t="n">
        <f aca="false">SUM(N682:S682)</f>
        <v>44.767</v>
      </c>
      <c r="U682" s="11" t="n">
        <v>0</v>
      </c>
      <c r="V682" s="11" t="n">
        <v>0</v>
      </c>
      <c r="W682" s="11" t="n">
        <v>0</v>
      </c>
      <c r="X682" s="11" t="n">
        <v>0</v>
      </c>
      <c r="Y682" s="11" t="n">
        <v>0</v>
      </c>
      <c r="Z682" s="11" t="n">
        <v>0</v>
      </c>
      <c r="AA682" s="11" t="n">
        <f aca="false">SUM(U682:Z682)</f>
        <v>0</v>
      </c>
      <c r="AB682" s="11" t="n">
        <v>0</v>
      </c>
      <c r="AC682" s="11" t="n">
        <v>0</v>
      </c>
      <c r="AD682" s="11" t="n">
        <v>0</v>
      </c>
      <c r="AE682" s="11" t="n">
        <v>0</v>
      </c>
      <c r="AF682" s="11" t="n">
        <v>0</v>
      </c>
      <c r="AG682" s="11" t="n">
        <v>0</v>
      </c>
      <c r="AH682" s="11" t="n">
        <f aca="false">SUM(AB682:AG682)</f>
        <v>0</v>
      </c>
      <c r="AI682" s="12" t="s">
        <v>60</v>
      </c>
    </row>
    <row r="683" customFormat="false" ht="15" hidden="false" customHeight="false" outlineLevel="0" collapsed="false">
      <c r="A683" s="8" t="s">
        <v>1467</v>
      </c>
      <c r="B683" s="12" t="s">
        <v>1468</v>
      </c>
      <c r="C683" s="8" t="s">
        <v>1319</v>
      </c>
      <c r="D683" s="12" t="s">
        <v>1320</v>
      </c>
      <c r="E683" s="10" t="str">
        <f aca="true">IFERROR(IF(INDEX(INDIRECT("'"&amp;$AI683&amp;"'!$E$2:$E$118"),MATCH($A683,INDIRECT("'"&amp;$AI683&amp;"'!$A$2:$A$118"),0))="","",INDEX(INDIRECT("'"&amp;$AI683&amp;"'!$E$2:$E$118"),MATCH($A683,INDIRECT("'"&amp;$AI683&amp;"'!$A$2:$A$118"),0))),"")</f>
        <v/>
      </c>
      <c r="F683" s="9" t="str">
        <f aca="false">IF($E683="","",IFERROR(INDEX(担当者マスタ!$B$2:$B$101,MATCH($E683,担当者マスタ!$A$2:$A$101,0)),"※マスタ未登録"))</f>
        <v/>
      </c>
      <c r="G683" s="11" t="n">
        <v>324.61</v>
      </c>
      <c r="H683" s="11" t="n">
        <v>312.33</v>
      </c>
      <c r="I683" s="11" t="n">
        <v>180.11</v>
      </c>
      <c r="J683" s="11" t="n">
        <v>172.49</v>
      </c>
      <c r="K683" s="11" t="n">
        <v>148.23</v>
      </c>
      <c r="L683" s="11" t="n">
        <v>179.46</v>
      </c>
      <c r="M683" s="11" t="n">
        <f aca="false">SUM(G683:L683)</f>
        <v>1317.23</v>
      </c>
      <c r="N683" s="11" t="n">
        <v>249.474</v>
      </c>
      <c r="O683" s="11" t="n">
        <v>233.087</v>
      </c>
      <c r="P683" s="11" t="n">
        <v>135.951</v>
      </c>
      <c r="Q683" s="11" t="n">
        <v>128.57</v>
      </c>
      <c r="R683" s="11" t="n">
        <v>111.774</v>
      </c>
      <c r="S683" s="11" t="n">
        <v>134.542</v>
      </c>
      <c r="T683" s="11" t="n">
        <f aca="false">SUM(N683:S683)</f>
        <v>993.398</v>
      </c>
      <c r="U683" s="11" t="n">
        <v>195.94</v>
      </c>
      <c r="V683" s="11" t="n">
        <v>306.73</v>
      </c>
      <c r="W683" s="11" t="n">
        <v>337.05</v>
      </c>
      <c r="X683" s="11" t="n">
        <v>186.82</v>
      </c>
      <c r="Y683" s="11" t="n">
        <v>150.18</v>
      </c>
      <c r="Z683" s="11" t="n">
        <v>57.86</v>
      </c>
      <c r="AA683" s="11" t="n">
        <f aca="false">SUM(U683:Z683)</f>
        <v>1234.58</v>
      </c>
      <c r="AB683" s="11" t="n">
        <v>160.176</v>
      </c>
      <c r="AC683" s="11" t="n">
        <v>251.71</v>
      </c>
      <c r="AD683" s="11" t="n">
        <v>271.931</v>
      </c>
      <c r="AE683" s="11" t="n">
        <v>147.973</v>
      </c>
      <c r="AF683" s="11" t="n">
        <v>111.406</v>
      </c>
      <c r="AG683" s="11" t="n">
        <v>43.001</v>
      </c>
      <c r="AH683" s="11" t="n">
        <f aca="false">SUM(AB683:AG683)</f>
        <v>986.197</v>
      </c>
      <c r="AI683" s="12" t="s">
        <v>60</v>
      </c>
    </row>
    <row r="684" customFormat="false" ht="15" hidden="false" customHeight="false" outlineLevel="0" collapsed="false">
      <c r="A684" s="8" t="s">
        <v>1469</v>
      </c>
      <c r="B684" s="12" t="s">
        <v>1470</v>
      </c>
      <c r="C684" s="8" t="s">
        <v>1471</v>
      </c>
      <c r="D684" s="12" t="s">
        <v>1472</v>
      </c>
      <c r="E684" s="10" t="str">
        <f aca="true">IFERROR(IF(INDEX(INDIRECT("'"&amp;$AI684&amp;"'!$E$2:$E$71"),MATCH($A684,INDIRECT("'"&amp;$AI684&amp;"'!$A$2:$A$71"),0))="","",INDEX(INDIRECT("'"&amp;$AI684&amp;"'!$E$2:$E$71"),MATCH($A684,INDIRECT("'"&amp;$AI684&amp;"'!$A$2:$A$71"),0))),"")</f>
        <v/>
      </c>
      <c r="F684" s="9" t="str">
        <f aca="false">IF($E684="","",IFERROR(INDEX(担当者マスタ!$B$2:$B$101,MATCH($E684,担当者マスタ!$A$2:$A$101,0)),"※マスタ未登録"))</f>
        <v/>
      </c>
      <c r="G684" s="11" t="n">
        <v>369.6</v>
      </c>
      <c r="H684" s="11" t="n">
        <v>369.6</v>
      </c>
      <c r="I684" s="11" t="n">
        <v>369.6</v>
      </c>
      <c r="J684" s="11" t="n">
        <v>369.6</v>
      </c>
      <c r="K684" s="11" t="n">
        <v>369.6</v>
      </c>
      <c r="L684" s="11" t="n">
        <v>369.6</v>
      </c>
      <c r="M684" s="11" t="n">
        <f aca="false">SUM(G684:L684)</f>
        <v>2217.6</v>
      </c>
      <c r="N684" s="11" t="n">
        <v>35.2</v>
      </c>
      <c r="O684" s="11" t="n">
        <v>35.2</v>
      </c>
      <c r="P684" s="11" t="n">
        <v>35.2</v>
      </c>
      <c r="Q684" s="11" t="n">
        <v>35.2</v>
      </c>
      <c r="R684" s="11" t="n">
        <v>35.2</v>
      </c>
      <c r="S684" s="11" t="n">
        <v>35.2</v>
      </c>
      <c r="T684" s="11" t="n">
        <f aca="false">SUM(N684:S684)</f>
        <v>211.2</v>
      </c>
      <c r="U684" s="11" t="n">
        <v>369.6</v>
      </c>
      <c r="V684" s="11" t="n">
        <v>369.6</v>
      </c>
      <c r="W684" s="11" t="n">
        <v>277.2</v>
      </c>
      <c r="X684" s="11" t="n">
        <v>277.2</v>
      </c>
      <c r="Y684" s="11" t="n">
        <v>369.6</v>
      </c>
      <c r="Z684" s="11" t="n">
        <v>462</v>
      </c>
      <c r="AA684" s="11" t="n">
        <f aca="false">SUM(U684:Z684)</f>
        <v>2125.2</v>
      </c>
      <c r="AB684" s="11" t="n">
        <v>35.2</v>
      </c>
      <c r="AC684" s="11" t="n">
        <v>35.2</v>
      </c>
      <c r="AD684" s="11" t="n">
        <v>26.4</v>
      </c>
      <c r="AE684" s="11" t="n">
        <v>26.4</v>
      </c>
      <c r="AF684" s="11" t="n">
        <v>35.2</v>
      </c>
      <c r="AG684" s="11" t="n">
        <v>44</v>
      </c>
      <c r="AH684" s="11" t="n">
        <f aca="false">SUM(AB684:AG684)</f>
        <v>202.4</v>
      </c>
      <c r="AI684" s="12" t="s">
        <v>1192</v>
      </c>
    </row>
    <row r="685" customFormat="false" ht="15" hidden="false" customHeight="false" outlineLevel="0" collapsed="false">
      <c r="A685" s="8" t="s">
        <v>1473</v>
      </c>
      <c r="B685" s="12" t="s">
        <v>1474</v>
      </c>
      <c r="C685" s="8" t="s">
        <v>1471</v>
      </c>
      <c r="D685" s="12" t="s">
        <v>1472</v>
      </c>
      <c r="E685" s="10" t="str">
        <f aca="true">IFERROR(IF(INDEX(INDIRECT("'"&amp;$AI685&amp;"'!$E$2:$E$71"),MATCH($A685,INDIRECT("'"&amp;$AI685&amp;"'!$A$2:$A$71"),0))="","",INDEX(INDIRECT("'"&amp;$AI685&amp;"'!$E$2:$E$71"),MATCH($A685,INDIRECT("'"&amp;$AI685&amp;"'!$A$2:$A$71"),0))),"")</f>
        <v/>
      </c>
      <c r="F685" s="9" t="str">
        <f aca="false">IF($E685="","",IFERROR(INDEX(担当者マスタ!$B$2:$B$101,MATCH($E685,担当者マスタ!$A$2:$A$101,0)),"※マスタ未登録"))</f>
        <v/>
      </c>
      <c r="G685" s="11" t="n">
        <v>0</v>
      </c>
      <c r="H685" s="11" t="n">
        <v>74.4</v>
      </c>
      <c r="I685" s="11" t="n">
        <v>975.883</v>
      </c>
      <c r="J685" s="11" t="n">
        <v>73.16</v>
      </c>
      <c r="K685" s="11" t="n">
        <v>0</v>
      </c>
      <c r="L685" s="11" t="n">
        <v>392.64</v>
      </c>
      <c r="M685" s="11" t="n">
        <f aca="false">SUM(G685:L685)</f>
        <v>1516.083</v>
      </c>
      <c r="N685" s="11" t="n">
        <v>0</v>
      </c>
      <c r="O685" s="11" t="n">
        <v>9.9</v>
      </c>
      <c r="P685" s="11" t="n">
        <v>135.902</v>
      </c>
      <c r="Q685" s="11" t="n">
        <v>9.735</v>
      </c>
      <c r="R685" s="11" t="n">
        <v>0</v>
      </c>
      <c r="S685" s="11" t="n">
        <v>47.04</v>
      </c>
      <c r="T685" s="11" t="n">
        <f aca="false">SUM(N685:S685)</f>
        <v>202.577</v>
      </c>
      <c r="U685" s="11" t="n">
        <v>247.895</v>
      </c>
      <c r="V685" s="11" t="n">
        <v>42.3</v>
      </c>
      <c r="W685" s="11" t="n">
        <v>488.768</v>
      </c>
      <c r="X685" s="11" t="n">
        <v>0</v>
      </c>
      <c r="Y685" s="11" t="n">
        <v>430.268</v>
      </c>
      <c r="Z685" s="11" t="n">
        <v>331.928</v>
      </c>
      <c r="AA685" s="11" t="n">
        <f aca="false">SUM(U685:Z685)</f>
        <v>1541.159</v>
      </c>
      <c r="AB685" s="11" t="n">
        <v>29.67</v>
      </c>
      <c r="AC685" s="11" t="n">
        <v>7.572</v>
      </c>
      <c r="AD685" s="11" t="n">
        <v>59.948</v>
      </c>
      <c r="AE685" s="11" t="n">
        <v>0</v>
      </c>
      <c r="AF685" s="11" t="n">
        <v>51.548</v>
      </c>
      <c r="AG685" s="11" t="n">
        <v>40.713</v>
      </c>
      <c r="AH685" s="11" t="n">
        <f aca="false">SUM(AB685:AG685)</f>
        <v>189.451</v>
      </c>
      <c r="AI685" s="12" t="s">
        <v>1192</v>
      </c>
    </row>
    <row r="686" customFormat="false" ht="15" hidden="false" customHeight="false" outlineLevel="0" collapsed="false">
      <c r="A686" s="8" t="s">
        <v>1475</v>
      </c>
      <c r="B686" s="12" t="s">
        <v>1194</v>
      </c>
      <c r="C686" s="8" t="s">
        <v>1471</v>
      </c>
      <c r="D686" s="12" t="s">
        <v>1472</v>
      </c>
      <c r="E686" s="10" t="str">
        <f aca="true">IFERROR(IF(INDEX(INDIRECT("'"&amp;$AI686&amp;"'!$E$2:$E$71"),MATCH($A686,INDIRECT("'"&amp;$AI686&amp;"'!$A$2:$A$71"),0))="","",INDEX(INDIRECT("'"&amp;$AI686&amp;"'!$E$2:$E$71"),MATCH($A686,INDIRECT("'"&amp;$AI686&amp;"'!$A$2:$A$71"),0))),"")</f>
        <v/>
      </c>
      <c r="F686" s="9" t="str">
        <f aca="false">IF($E686="","",IFERROR(INDEX(担当者マスタ!$B$2:$B$101,MATCH($E686,担当者マスタ!$A$2:$A$101,0)),"※マスタ未登録"))</f>
        <v/>
      </c>
      <c r="G686" s="11" t="n">
        <v>17.475</v>
      </c>
      <c r="H686" s="11" t="n">
        <v>17.475</v>
      </c>
      <c r="I686" s="11" t="n">
        <v>17.475</v>
      </c>
      <c r="J686" s="11" t="n">
        <v>17.475</v>
      </c>
      <c r="K686" s="11" t="n">
        <v>450</v>
      </c>
      <c r="L686" s="11" t="n">
        <v>17.475</v>
      </c>
      <c r="M686" s="11" t="n">
        <f aca="false">SUM(G686:L686)</f>
        <v>537.375</v>
      </c>
      <c r="N686" s="11" t="n">
        <v>3.375</v>
      </c>
      <c r="O686" s="11" t="n">
        <v>3.375</v>
      </c>
      <c r="P686" s="11" t="n">
        <v>3.375</v>
      </c>
      <c r="Q686" s="11" t="n">
        <v>3.375</v>
      </c>
      <c r="R686" s="11" t="n">
        <v>15</v>
      </c>
      <c r="S686" s="11" t="n">
        <v>3.375</v>
      </c>
      <c r="T686" s="11" t="n">
        <f aca="false">SUM(N686:S686)</f>
        <v>31.875</v>
      </c>
      <c r="U686" s="11" t="n">
        <v>17.475</v>
      </c>
      <c r="V686" s="11" t="n">
        <v>17.475</v>
      </c>
      <c r="W686" s="11" t="n">
        <v>17.475</v>
      </c>
      <c r="X686" s="11" t="n">
        <v>0</v>
      </c>
      <c r="Y686" s="11" t="n">
        <v>17.475</v>
      </c>
      <c r="Z686" s="11" t="n">
        <v>17.475</v>
      </c>
      <c r="AA686" s="11" t="n">
        <f aca="false">SUM(U686:Z686)</f>
        <v>87.375</v>
      </c>
      <c r="AB686" s="11" t="n">
        <v>3.375</v>
      </c>
      <c r="AC686" s="11" t="n">
        <v>3.375</v>
      </c>
      <c r="AD686" s="11" t="n">
        <v>3.375</v>
      </c>
      <c r="AE686" s="11" t="n">
        <v>0</v>
      </c>
      <c r="AF686" s="11" t="n">
        <v>3.375</v>
      </c>
      <c r="AG686" s="11" t="n">
        <v>3.375</v>
      </c>
      <c r="AH686" s="11" t="n">
        <f aca="false">SUM(AB686:AG686)</f>
        <v>16.875</v>
      </c>
      <c r="AI686" s="12" t="s">
        <v>1192</v>
      </c>
    </row>
    <row r="687" customFormat="false" ht="15" hidden="false" customHeight="false" outlineLevel="0" collapsed="false">
      <c r="A687" s="8" t="s">
        <v>1476</v>
      </c>
      <c r="B687" s="12" t="s">
        <v>1477</v>
      </c>
      <c r="C687" s="8" t="s">
        <v>1471</v>
      </c>
      <c r="D687" s="12" t="s">
        <v>1472</v>
      </c>
      <c r="E687" s="10" t="str">
        <f aca="true">IFERROR(IF(INDEX(INDIRECT("'"&amp;$AI687&amp;"'!$E$2:$E$71"),MATCH($A687,INDIRECT("'"&amp;$AI687&amp;"'!$A$2:$A$71"),0))="","",INDEX(INDIRECT("'"&amp;$AI687&amp;"'!$E$2:$E$71"),MATCH($A687,INDIRECT("'"&amp;$AI687&amp;"'!$A$2:$A$71"),0))),"")</f>
        <v/>
      </c>
      <c r="F687" s="9" t="str">
        <f aca="false">IF($E687="","",IFERROR(INDEX(担当者マスタ!$B$2:$B$101,MATCH($E687,担当者マスタ!$A$2:$A$101,0)),"※マスタ未登録"))</f>
        <v/>
      </c>
      <c r="G687" s="11" t="n">
        <v>100</v>
      </c>
      <c r="H687" s="11" t="n">
        <v>100</v>
      </c>
      <c r="I687" s="11" t="n">
        <v>100</v>
      </c>
      <c r="J687" s="11" t="n">
        <v>100</v>
      </c>
      <c r="K687" s="11" t="n">
        <v>700</v>
      </c>
      <c r="L687" s="11" t="n">
        <v>100</v>
      </c>
      <c r="M687" s="11" t="n">
        <f aca="false">SUM(G687:L687)</f>
        <v>1200</v>
      </c>
      <c r="N687" s="11" t="n">
        <v>50</v>
      </c>
      <c r="O687" s="11" t="n">
        <v>50</v>
      </c>
      <c r="P687" s="11" t="n">
        <v>50</v>
      </c>
      <c r="Q687" s="11" t="n">
        <v>50</v>
      </c>
      <c r="R687" s="11" t="n">
        <v>120</v>
      </c>
      <c r="S687" s="11" t="n">
        <v>100</v>
      </c>
      <c r="T687" s="11" t="n">
        <f aca="false">SUM(N687:S687)</f>
        <v>420</v>
      </c>
      <c r="U687" s="11" t="n">
        <v>100</v>
      </c>
      <c r="V687" s="11" t="n">
        <v>100</v>
      </c>
      <c r="W687" s="11" t="n">
        <v>100</v>
      </c>
      <c r="X687" s="11" t="n">
        <v>130.002</v>
      </c>
      <c r="Y687" s="11" t="n">
        <v>100</v>
      </c>
      <c r="Z687" s="11" t="n">
        <v>100</v>
      </c>
      <c r="AA687" s="11" t="n">
        <f aca="false">SUM(U687:Z687)</f>
        <v>630.002</v>
      </c>
      <c r="AB687" s="11" t="n">
        <v>100</v>
      </c>
      <c r="AC687" s="11" t="n">
        <v>100</v>
      </c>
      <c r="AD687" s="11" t="n">
        <v>100</v>
      </c>
      <c r="AE687" s="11" t="n">
        <v>109.212</v>
      </c>
      <c r="AF687" s="11" t="n">
        <v>100</v>
      </c>
      <c r="AG687" s="11" t="n">
        <v>100</v>
      </c>
      <c r="AH687" s="11" t="n">
        <f aca="false">SUM(AB687:AG687)</f>
        <v>609.212</v>
      </c>
      <c r="AI687" s="12" t="s">
        <v>1192</v>
      </c>
    </row>
    <row r="688" customFormat="false" ht="15" hidden="false" customHeight="false" outlineLevel="0" collapsed="false">
      <c r="A688" s="8" t="s">
        <v>1478</v>
      </c>
      <c r="B688" s="12" t="s">
        <v>1479</v>
      </c>
      <c r="C688" s="8" t="s">
        <v>1471</v>
      </c>
      <c r="D688" s="12" t="s">
        <v>1472</v>
      </c>
      <c r="E688" s="10" t="str">
        <f aca="true">IFERROR(IF(INDEX(INDIRECT("'"&amp;$AI688&amp;"'!$E$2:$E$71"),MATCH($A688,INDIRECT("'"&amp;$AI688&amp;"'!$A$2:$A$71"),0))="","",INDEX(INDIRECT("'"&amp;$AI688&amp;"'!$E$2:$E$71"),MATCH($A688,INDIRECT("'"&amp;$AI688&amp;"'!$A$2:$A$71"),0))),"")</f>
        <v/>
      </c>
      <c r="F688" s="9" t="str">
        <f aca="false">IF($E688="","",IFERROR(INDEX(担当者マスタ!$B$2:$B$101,MATCH($E688,担当者マスタ!$A$2:$A$101,0)),"※マスタ未登録"))</f>
        <v/>
      </c>
      <c r="G688" s="11" t="n">
        <v>54.5</v>
      </c>
      <c r="H688" s="11" t="n">
        <v>18</v>
      </c>
      <c r="I688" s="11" t="n">
        <v>49</v>
      </c>
      <c r="J688" s="11" t="n">
        <v>83.1</v>
      </c>
      <c r="K688" s="11" t="n">
        <v>42.7</v>
      </c>
      <c r="L688" s="11" t="n">
        <v>18</v>
      </c>
      <c r="M688" s="11" t="n">
        <f aca="false">SUM(G688:L688)</f>
        <v>265.3</v>
      </c>
      <c r="N688" s="11" t="n">
        <v>7</v>
      </c>
      <c r="O688" s="11" t="n">
        <v>3</v>
      </c>
      <c r="P688" s="11" t="n">
        <v>9</v>
      </c>
      <c r="Q688" s="11" t="n">
        <v>9.6</v>
      </c>
      <c r="R688" s="11" t="n">
        <v>7.75</v>
      </c>
      <c r="S688" s="11" t="n">
        <v>3</v>
      </c>
      <c r="T688" s="11" t="n">
        <f aca="false">SUM(N688:S688)</f>
        <v>39.35</v>
      </c>
      <c r="U688" s="11" t="n">
        <v>23.87</v>
      </c>
      <c r="V688" s="11" t="n">
        <v>83.1</v>
      </c>
      <c r="W688" s="11" t="n">
        <v>18</v>
      </c>
      <c r="X688" s="11" t="n">
        <v>43.5</v>
      </c>
      <c r="Y688" s="11" t="n">
        <v>18</v>
      </c>
      <c r="Z688" s="11" t="n">
        <v>18</v>
      </c>
      <c r="AA688" s="11" t="n">
        <f aca="false">SUM(U688:Z688)</f>
        <v>204.47</v>
      </c>
      <c r="AB688" s="11" t="n">
        <v>8.87</v>
      </c>
      <c r="AC688" s="11" t="n">
        <v>9.6</v>
      </c>
      <c r="AD688" s="11" t="n">
        <v>3</v>
      </c>
      <c r="AE688" s="11" t="n">
        <v>14.1</v>
      </c>
      <c r="AF688" s="11" t="n">
        <v>3</v>
      </c>
      <c r="AG688" s="11" t="n">
        <v>3</v>
      </c>
      <c r="AH688" s="11" t="n">
        <f aca="false">SUM(AB688:AG688)</f>
        <v>41.57</v>
      </c>
      <c r="AI688" s="12" t="s">
        <v>1192</v>
      </c>
    </row>
    <row r="689" customFormat="false" ht="15" hidden="false" customHeight="false" outlineLevel="0" collapsed="false">
      <c r="A689" s="8" t="s">
        <v>1480</v>
      </c>
      <c r="B689" s="12" t="s">
        <v>1481</v>
      </c>
      <c r="C689" s="8" t="s">
        <v>1471</v>
      </c>
      <c r="D689" s="12" t="s">
        <v>1472</v>
      </c>
      <c r="E689" s="10" t="str">
        <f aca="true">IFERROR(IF(INDEX(INDIRECT("'"&amp;$AI689&amp;"'!$E$2:$E$71"),MATCH($A689,INDIRECT("'"&amp;$AI689&amp;"'!$A$2:$A$71"),0))="","",INDEX(INDIRECT("'"&amp;$AI689&amp;"'!$E$2:$E$71"),MATCH($A689,INDIRECT("'"&amp;$AI689&amp;"'!$A$2:$A$71"),0))),"")</f>
        <v/>
      </c>
      <c r="F689" s="9" t="str">
        <f aca="false">IF($E689="","",IFERROR(INDEX(担当者マスタ!$B$2:$B$101,MATCH($E689,担当者マスタ!$A$2:$A$101,0)),"※マスタ未登録"))</f>
        <v/>
      </c>
      <c r="G689" s="11" t="n">
        <v>394.41</v>
      </c>
      <c r="H689" s="11" t="n">
        <v>202.183</v>
      </c>
      <c r="I689" s="11" t="n">
        <v>628.526</v>
      </c>
      <c r="J689" s="11" t="n">
        <v>399.146</v>
      </c>
      <c r="K689" s="11" t="n">
        <v>688.847</v>
      </c>
      <c r="L689" s="11" t="n">
        <v>339.586</v>
      </c>
      <c r="M689" s="11" t="n">
        <f aca="false">SUM(G689:L689)</f>
        <v>2652.698</v>
      </c>
      <c r="N689" s="11" t="n">
        <v>42.993</v>
      </c>
      <c r="O689" s="11" t="n">
        <v>21.536</v>
      </c>
      <c r="P689" s="11" t="n">
        <v>56.354</v>
      </c>
      <c r="Q689" s="11" t="n">
        <v>38.912</v>
      </c>
      <c r="R689" s="11" t="n">
        <v>75.835</v>
      </c>
      <c r="S689" s="11" t="n">
        <v>45.418</v>
      </c>
      <c r="T689" s="11" t="n">
        <f aca="false">SUM(N689:S689)</f>
        <v>281.048</v>
      </c>
      <c r="U689" s="11" t="n">
        <v>332.029</v>
      </c>
      <c r="V689" s="11" t="n">
        <v>319.839</v>
      </c>
      <c r="W689" s="11" t="n">
        <v>776.969</v>
      </c>
      <c r="X689" s="11" t="n">
        <v>479.833</v>
      </c>
      <c r="Y689" s="11" t="n">
        <v>246.164</v>
      </c>
      <c r="Z689" s="11" t="n">
        <v>514.108</v>
      </c>
      <c r="AA689" s="11" t="n">
        <f aca="false">SUM(U689:Z689)</f>
        <v>2668.942</v>
      </c>
      <c r="AB689" s="11" t="n">
        <v>36.484</v>
      </c>
      <c r="AC689" s="11" t="n">
        <v>49.707</v>
      </c>
      <c r="AD689" s="11" t="n">
        <v>102.373</v>
      </c>
      <c r="AE689" s="11" t="n">
        <v>66.216</v>
      </c>
      <c r="AF689" s="11" t="n">
        <v>42.94</v>
      </c>
      <c r="AG689" s="11" t="n">
        <v>66.86</v>
      </c>
      <c r="AH689" s="11" t="n">
        <f aca="false">SUM(AB689:AG689)</f>
        <v>364.58</v>
      </c>
      <c r="AI689" s="12" t="s">
        <v>1192</v>
      </c>
    </row>
    <row r="690" customFormat="false" ht="15" hidden="false" customHeight="false" outlineLevel="0" collapsed="false">
      <c r="A690" s="8" t="s">
        <v>1482</v>
      </c>
      <c r="B690" s="12" t="s">
        <v>1483</v>
      </c>
      <c r="C690" s="8" t="s">
        <v>1471</v>
      </c>
      <c r="D690" s="12" t="s">
        <v>1472</v>
      </c>
      <c r="E690" s="10" t="str">
        <f aca="true">IFERROR(IF(INDEX(INDIRECT("'"&amp;$AI690&amp;"'!$E$2:$E$71"),MATCH($A690,INDIRECT("'"&amp;$AI690&amp;"'!$A$2:$A$71"),0))="","",INDEX(INDIRECT("'"&amp;$AI690&amp;"'!$E$2:$E$71"),MATCH($A690,INDIRECT("'"&amp;$AI690&amp;"'!$A$2:$A$71"),0))),"")</f>
        <v/>
      </c>
      <c r="F690" s="9" t="str">
        <f aca="false">IF($E690="","",IFERROR(INDEX(担当者マスタ!$B$2:$B$101,MATCH($E690,担当者マスタ!$A$2:$A$101,0)),"※マスタ未登録"))</f>
        <v/>
      </c>
      <c r="G690" s="11" t="n">
        <v>53.4</v>
      </c>
      <c r="H690" s="11" t="n">
        <v>10.3</v>
      </c>
      <c r="I690" s="11" t="n">
        <v>0</v>
      </c>
      <c r="J690" s="11" t="n">
        <v>0</v>
      </c>
      <c r="K690" s="11" t="n">
        <v>0</v>
      </c>
      <c r="L690" s="11" t="n">
        <v>12.8</v>
      </c>
      <c r="M690" s="11" t="n">
        <f aca="false">SUM(G690:L690)</f>
        <v>76.5</v>
      </c>
      <c r="N690" s="11" t="n">
        <v>20.9</v>
      </c>
      <c r="O690" s="11" t="n">
        <v>1.5</v>
      </c>
      <c r="P690" s="11" t="n">
        <v>0</v>
      </c>
      <c r="Q690" s="11" t="n">
        <v>0</v>
      </c>
      <c r="R690" s="11" t="n">
        <v>0</v>
      </c>
      <c r="S690" s="11" t="n">
        <v>12.8</v>
      </c>
      <c r="T690" s="11" t="n">
        <f aca="false">SUM(N690:S690)</f>
        <v>35.2</v>
      </c>
      <c r="U690" s="11" t="n">
        <v>10.3</v>
      </c>
      <c r="V690" s="11" t="n">
        <v>154.5</v>
      </c>
      <c r="W690" s="11" t="n">
        <v>0</v>
      </c>
      <c r="X690" s="11" t="n">
        <v>10.8</v>
      </c>
      <c r="Y690" s="11" t="n">
        <v>0</v>
      </c>
      <c r="Z690" s="11" t="n">
        <v>0</v>
      </c>
      <c r="AA690" s="11" t="n">
        <f aca="false">SUM(U690:Z690)</f>
        <v>175.6</v>
      </c>
      <c r="AB690" s="11" t="n">
        <v>10.3</v>
      </c>
      <c r="AC690" s="11" t="n">
        <v>154.5</v>
      </c>
      <c r="AD690" s="11" t="n">
        <v>0</v>
      </c>
      <c r="AE690" s="11" t="n">
        <v>10.8</v>
      </c>
      <c r="AF690" s="11" t="n">
        <v>0</v>
      </c>
      <c r="AG690" s="11" t="n">
        <v>0</v>
      </c>
      <c r="AH690" s="11" t="n">
        <f aca="false">SUM(AB690:AG690)</f>
        <v>175.6</v>
      </c>
      <c r="AI690" s="12" t="s">
        <v>1192</v>
      </c>
    </row>
    <row r="691" customFormat="false" ht="15" hidden="false" customHeight="false" outlineLevel="0" collapsed="false">
      <c r="A691" s="8" t="s">
        <v>1484</v>
      </c>
      <c r="B691" s="12" t="s">
        <v>1485</v>
      </c>
      <c r="C691" s="8" t="s">
        <v>1471</v>
      </c>
      <c r="D691" s="12" t="s">
        <v>1472</v>
      </c>
      <c r="E691" s="10" t="str">
        <f aca="true">IFERROR(IF(INDEX(INDIRECT("'"&amp;$AI691&amp;"'!$E$2:$E$71"),MATCH($A691,INDIRECT("'"&amp;$AI691&amp;"'!$A$2:$A$71"),0))="","",INDEX(INDIRECT("'"&amp;$AI691&amp;"'!$E$2:$E$71"),MATCH($A691,INDIRECT("'"&amp;$AI691&amp;"'!$A$2:$A$71"),0))),"")</f>
        <v/>
      </c>
      <c r="F691" s="9" t="str">
        <f aca="false">IF($E691="","",IFERROR(INDEX(担当者マスタ!$B$2:$B$101,MATCH($E691,担当者マスタ!$A$2:$A$101,0)),"※マスタ未登録"))</f>
        <v/>
      </c>
      <c r="G691" s="11" t="n">
        <v>586</v>
      </c>
      <c r="H691" s="11" t="n">
        <v>250</v>
      </c>
      <c r="I691" s="11" t="n">
        <v>1005.6</v>
      </c>
      <c r="J691" s="11" t="n">
        <v>1780</v>
      </c>
      <c r="K691" s="11" t="n">
        <v>2163.2</v>
      </c>
      <c r="L691" s="11" t="n">
        <v>82.5</v>
      </c>
      <c r="M691" s="11" t="n">
        <f aca="false">SUM(G691:L691)</f>
        <v>5867.3</v>
      </c>
      <c r="N691" s="11" t="n">
        <v>63.2</v>
      </c>
      <c r="O691" s="11" t="n">
        <v>25</v>
      </c>
      <c r="P691" s="11" t="n">
        <v>105.6</v>
      </c>
      <c r="Q691" s="11" t="n">
        <v>199.224</v>
      </c>
      <c r="R691" s="11" t="n">
        <v>246.4</v>
      </c>
      <c r="S691" s="11" t="n">
        <v>82.5</v>
      </c>
      <c r="T691" s="11" t="n">
        <f aca="false">SUM(N691:S691)</f>
        <v>721.924</v>
      </c>
      <c r="U691" s="11" t="n">
        <v>873.6</v>
      </c>
      <c r="V691" s="11" t="n">
        <v>689.6</v>
      </c>
      <c r="W691" s="11" t="n">
        <v>0</v>
      </c>
      <c r="X691" s="11" t="n">
        <v>913.6</v>
      </c>
      <c r="Y691" s="11" t="n">
        <v>689.6</v>
      </c>
      <c r="Z691" s="11" t="n">
        <v>873.6</v>
      </c>
      <c r="AA691" s="11" t="n">
        <f aca="false">SUM(U691:Z691)</f>
        <v>4040</v>
      </c>
      <c r="AB691" s="11" t="n">
        <v>100.2</v>
      </c>
      <c r="AC691" s="11" t="n">
        <v>76.4</v>
      </c>
      <c r="AD691" s="11" t="n">
        <v>0</v>
      </c>
      <c r="AE691" s="11" t="n">
        <v>101.4</v>
      </c>
      <c r="AF691" s="11" t="n">
        <v>76.4</v>
      </c>
      <c r="AG691" s="11" t="n">
        <v>100.2</v>
      </c>
      <c r="AH691" s="11" t="n">
        <f aca="false">SUM(AB691:AG691)</f>
        <v>454.6</v>
      </c>
      <c r="AI691" s="12" t="s">
        <v>1192</v>
      </c>
    </row>
    <row r="692" customFormat="false" ht="15" hidden="false" customHeight="false" outlineLevel="0" collapsed="false">
      <c r="A692" s="8" t="s">
        <v>1486</v>
      </c>
      <c r="B692" s="12" t="s">
        <v>1487</v>
      </c>
      <c r="C692" s="8" t="s">
        <v>1471</v>
      </c>
      <c r="D692" s="12" t="s">
        <v>1472</v>
      </c>
      <c r="E692" s="10" t="str">
        <f aca="true">IFERROR(IF(INDEX(INDIRECT("'"&amp;$AI692&amp;"'!$E$2:$E$71"),MATCH($A692,INDIRECT("'"&amp;$AI692&amp;"'!$A$2:$A$71"),0))="","",INDEX(INDIRECT("'"&amp;$AI692&amp;"'!$E$2:$E$71"),MATCH($A692,INDIRECT("'"&amp;$AI692&amp;"'!$A$2:$A$71"),0))),"")</f>
        <v/>
      </c>
      <c r="F692" s="9" t="str">
        <f aca="false">IF($E692="","",IFERROR(INDEX(担当者マスタ!$B$2:$B$101,MATCH($E692,担当者マスタ!$A$2:$A$101,0)),"※マスタ未登録"))</f>
        <v/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7.492</v>
      </c>
      <c r="L692" s="11" t="n">
        <v>0</v>
      </c>
      <c r="M692" s="11" t="n">
        <f aca="false">SUM(G692:L692)</f>
        <v>7.492</v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0.752</v>
      </c>
      <c r="S692" s="11" t="n">
        <v>0</v>
      </c>
      <c r="T692" s="11" t="n">
        <f aca="false">SUM(N692:S692)</f>
        <v>0.752</v>
      </c>
      <c r="U692" s="11" t="n">
        <v>0</v>
      </c>
      <c r="V692" s="11" t="n">
        <v>0</v>
      </c>
      <c r="W692" s="11" t="n">
        <v>0</v>
      </c>
      <c r="X692" s="11" t="n">
        <v>0</v>
      </c>
      <c r="Y692" s="11" t="n">
        <v>0</v>
      </c>
      <c r="Z692" s="11" t="n">
        <v>0</v>
      </c>
      <c r="AA692" s="11" t="n">
        <f aca="false">SUM(U692:Z692)</f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f aca="false">SUM(AB692:AG692)</f>
        <v>0</v>
      </c>
      <c r="AI692" s="12" t="s">
        <v>1192</v>
      </c>
    </row>
    <row r="693" customFormat="false" ht="15" hidden="false" customHeight="false" outlineLevel="0" collapsed="false">
      <c r="A693" s="8" t="s">
        <v>1488</v>
      </c>
      <c r="B693" s="12" t="s">
        <v>1489</v>
      </c>
      <c r="C693" s="8" t="s">
        <v>1471</v>
      </c>
      <c r="D693" s="12" t="s">
        <v>1472</v>
      </c>
      <c r="E693" s="10" t="str">
        <f aca="true">IFERROR(IF(INDEX(INDIRECT("'"&amp;$AI693&amp;"'!$E$2:$E$71"),MATCH($A693,INDIRECT("'"&amp;$AI693&amp;"'!$A$2:$A$71"),0))="","",INDEX(INDIRECT("'"&amp;$AI693&amp;"'!$E$2:$E$71"),MATCH($A693,INDIRECT("'"&amp;$AI693&amp;"'!$A$2:$A$71"),0))),"")</f>
        <v/>
      </c>
      <c r="F693" s="9" t="str">
        <f aca="false">IF($E693="","",IFERROR(INDEX(担当者マスタ!$B$2:$B$101,MATCH($E693,担当者マスタ!$A$2:$A$101,0)),"※マスタ未登録"))</f>
        <v/>
      </c>
      <c r="G693" s="11" t="n">
        <v>1323.6</v>
      </c>
      <c r="H693" s="11" t="n">
        <v>2273.85</v>
      </c>
      <c r="I693" s="11" t="n">
        <v>0</v>
      </c>
      <c r="J693" s="11" t="n">
        <v>0</v>
      </c>
      <c r="K693" s="11" t="n">
        <v>0</v>
      </c>
      <c r="L693" s="11" t="n">
        <v>1267</v>
      </c>
      <c r="M693" s="11" t="n">
        <f aca="false">SUM(G693:L693)</f>
        <v>4864.45</v>
      </c>
      <c r="N693" s="11" t="n">
        <v>61.6</v>
      </c>
      <c r="O693" s="11" t="n">
        <v>104.5</v>
      </c>
      <c r="P693" s="11" t="n">
        <v>0</v>
      </c>
      <c r="Q693" s="11" t="n">
        <v>0</v>
      </c>
      <c r="R693" s="11" t="n">
        <v>0</v>
      </c>
      <c r="S693" s="11" t="n">
        <v>57.2</v>
      </c>
      <c r="T693" s="11" t="n">
        <f aca="false">SUM(N693:S693)</f>
        <v>223.3</v>
      </c>
      <c r="U693" s="11" t="n">
        <v>0</v>
      </c>
      <c r="V693" s="11" t="n">
        <v>1466.2</v>
      </c>
      <c r="W693" s="11" t="n">
        <v>0</v>
      </c>
      <c r="X693" s="11" t="n">
        <v>3370.35</v>
      </c>
      <c r="Y693" s="11" t="n">
        <v>0</v>
      </c>
      <c r="Z693" s="11" t="n">
        <v>0</v>
      </c>
      <c r="AA693" s="11" t="n">
        <f aca="false">SUM(U693:Z693)</f>
        <v>4836.55</v>
      </c>
      <c r="AB693" s="11" t="n">
        <v>0</v>
      </c>
      <c r="AC693" s="11" t="n">
        <v>66.2</v>
      </c>
      <c r="AD693" s="11" t="n">
        <v>0</v>
      </c>
      <c r="AE693" s="11" t="n">
        <v>154.35</v>
      </c>
      <c r="AF693" s="11" t="n">
        <v>0</v>
      </c>
      <c r="AG693" s="11" t="n">
        <v>0</v>
      </c>
      <c r="AH693" s="11" t="n">
        <f aca="false">SUM(AB693:AG693)</f>
        <v>220.55</v>
      </c>
      <c r="AI693" s="12" t="s">
        <v>1192</v>
      </c>
    </row>
    <row r="694" customFormat="false" ht="15" hidden="false" customHeight="false" outlineLevel="0" collapsed="false">
      <c r="A694" s="8" t="s">
        <v>1490</v>
      </c>
      <c r="B694" s="12" t="s">
        <v>1491</v>
      </c>
      <c r="C694" s="8" t="s">
        <v>1471</v>
      </c>
      <c r="D694" s="12" t="s">
        <v>1472</v>
      </c>
      <c r="E694" s="10" t="str">
        <f aca="true">IFERROR(IF(INDEX(INDIRECT("'"&amp;$AI694&amp;"'!$E$2:$E$71"),MATCH($A694,INDIRECT("'"&amp;$AI694&amp;"'!$A$2:$A$71"),0))="","",INDEX(INDIRECT("'"&amp;$AI694&amp;"'!$E$2:$E$71"),MATCH($A694,INDIRECT("'"&amp;$AI694&amp;"'!$A$2:$A$71"),0))),"")</f>
        <v/>
      </c>
      <c r="F694" s="9" t="str">
        <f aca="false">IF($E694="","",IFERROR(INDEX(担当者マスタ!$B$2:$B$101,MATCH($E694,担当者マスタ!$A$2:$A$101,0)),"※マスタ未登録"))</f>
        <v/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151.92</v>
      </c>
      <c r="L694" s="11" t="n">
        <v>0</v>
      </c>
      <c r="M694" s="11" t="n">
        <f aca="false">SUM(G694:L694)</f>
        <v>151.92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25.32</v>
      </c>
      <c r="S694" s="11" t="n">
        <v>0</v>
      </c>
      <c r="T694" s="11" t="n">
        <f aca="false">SUM(N694:S694)</f>
        <v>25.32</v>
      </c>
      <c r="U694" s="11" t="n">
        <v>0</v>
      </c>
      <c r="V694" s="11" t="n">
        <v>601.36</v>
      </c>
      <c r="W694" s="11" t="n">
        <v>0</v>
      </c>
      <c r="X694" s="11" t="n">
        <v>0</v>
      </c>
      <c r="Y694" s="11" t="n">
        <v>0</v>
      </c>
      <c r="Z694" s="11" t="n">
        <v>0</v>
      </c>
      <c r="AA694" s="11" t="n">
        <f aca="false">SUM(U694:Z694)</f>
        <v>601.36</v>
      </c>
      <c r="AB694" s="11" t="n">
        <v>0</v>
      </c>
      <c r="AC694" s="11" t="n">
        <v>100.16</v>
      </c>
      <c r="AD694" s="11" t="n">
        <v>0</v>
      </c>
      <c r="AE694" s="11" t="n">
        <v>0</v>
      </c>
      <c r="AF694" s="11" t="n">
        <v>0</v>
      </c>
      <c r="AG694" s="11" t="n">
        <v>0</v>
      </c>
      <c r="AH694" s="11" t="n">
        <f aca="false">SUM(AB694:AG694)</f>
        <v>100.16</v>
      </c>
      <c r="AI694" s="12" t="s">
        <v>1192</v>
      </c>
    </row>
    <row r="695" customFormat="false" ht="15" hidden="false" customHeight="false" outlineLevel="0" collapsed="false">
      <c r="A695" s="8" t="s">
        <v>1492</v>
      </c>
      <c r="B695" s="12" t="s">
        <v>1493</v>
      </c>
      <c r="C695" s="8" t="s">
        <v>1471</v>
      </c>
      <c r="D695" s="12" t="s">
        <v>1472</v>
      </c>
      <c r="E695" s="10" t="str">
        <f aca="true">IFERROR(IF(INDEX(INDIRECT("'"&amp;$AI695&amp;"'!$E$2:$E$71"),MATCH($A695,INDIRECT("'"&amp;$AI695&amp;"'!$A$2:$A$71"),0))="","",INDEX(INDIRECT("'"&amp;$AI695&amp;"'!$E$2:$E$71"),MATCH($A695,INDIRECT("'"&amp;$AI695&amp;"'!$A$2:$A$71"),0))),"")</f>
        <v/>
      </c>
      <c r="F695" s="9" t="str">
        <f aca="false">IF($E695="","",IFERROR(INDEX(担当者マスタ!$B$2:$B$101,MATCH($E695,担当者マスタ!$A$2:$A$101,0)),"※マスタ未登録"))</f>
        <v/>
      </c>
      <c r="G695" s="11" t="n">
        <v>101.3</v>
      </c>
      <c r="H695" s="11" t="n">
        <v>183.05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f aca="false">SUM(G695:L695)</f>
        <v>284.35</v>
      </c>
      <c r="N695" s="11" t="n">
        <v>15.3</v>
      </c>
      <c r="O695" s="11" t="n">
        <v>21.55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f aca="false">SUM(N695:S695)</f>
        <v>36.85</v>
      </c>
      <c r="U695" s="11" t="n">
        <v>0</v>
      </c>
      <c r="V695" s="11" t="n">
        <v>0</v>
      </c>
      <c r="W695" s="11" t="n">
        <v>0</v>
      </c>
      <c r="X695" s="11" t="n">
        <v>0</v>
      </c>
      <c r="Y695" s="11" t="n">
        <v>0</v>
      </c>
      <c r="Z695" s="11" t="n">
        <v>0</v>
      </c>
      <c r="AA695" s="11" t="n">
        <f aca="false">SUM(U695:Z695)</f>
        <v>0</v>
      </c>
      <c r="AB695" s="11" t="n">
        <v>0</v>
      </c>
      <c r="AC695" s="11" t="n">
        <v>0</v>
      </c>
      <c r="AD695" s="11" t="n">
        <v>0</v>
      </c>
      <c r="AE695" s="11" t="n">
        <v>0</v>
      </c>
      <c r="AF695" s="11" t="n">
        <v>0</v>
      </c>
      <c r="AG695" s="11" t="n">
        <v>0</v>
      </c>
      <c r="AH695" s="11" t="n">
        <f aca="false">SUM(AB695:AG695)</f>
        <v>0</v>
      </c>
      <c r="AI695" s="12" t="s">
        <v>1192</v>
      </c>
    </row>
    <row r="696" customFormat="false" ht="15" hidden="false" customHeight="false" outlineLevel="0" collapsed="false">
      <c r="A696" s="8" t="s">
        <v>1494</v>
      </c>
      <c r="B696" s="12" t="s">
        <v>1495</v>
      </c>
      <c r="C696" s="8" t="s">
        <v>1471</v>
      </c>
      <c r="D696" s="12" t="s">
        <v>1472</v>
      </c>
      <c r="E696" s="10" t="str">
        <f aca="true">IFERROR(IF(INDEX(INDIRECT("'"&amp;$AI696&amp;"'!$E$2:$E$71"),MATCH($A696,INDIRECT("'"&amp;$AI696&amp;"'!$A$2:$A$71"),0))="","",INDEX(INDIRECT("'"&amp;$AI696&amp;"'!$E$2:$E$71"),MATCH($A696,INDIRECT("'"&amp;$AI696&amp;"'!$A$2:$A$71"),0))),"")</f>
        <v/>
      </c>
      <c r="F696" s="9" t="str">
        <f aca="false">IF($E696="","",IFERROR(INDEX(担当者マスタ!$B$2:$B$101,MATCH($E696,担当者マスタ!$A$2:$A$101,0)),"※マスタ未登録"))</f>
        <v/>
      </c>
      <c r="G696" s="11" t="n">
        <v>459</v>
      </c>
      <c r="H696" s="11" t="n">
        <v>0</v>
      </c>
      <c r="I696" s="11" t="n">
        <v>493.25</v>
      </c>
      <c r="J696" s="11" t="n">
        <v>0</v>
      </c>
      <c r="K696" s="11" t="n">
        <v>0</v>
      </c>
      <c r="L696" s="11" t="n">
        <v>493.25</v>
      </c>
      <c r="M696" s="11" t="n">
        <f aca="false">SUM(G696:L696)</f>
        <v>1445.5</v>
      </c>
      <c r="N696" s="11" t="n">
        <v>78</v>
      </c>
      <c r="O696" s="11" t="n">
        <v>0</v>
      </c>
      <c r="P696" s="11" t="n">
        <v>81</v>
      </c>
      <c r="Q696" s="11" t="n">
        <v>0</v>
      </c>
      <c r="R696" s="11" t="n">
        <v>0</v>
      </c>
      <c r="S696" s="11" t="n">
        <v>78</v>
      </c>
      <c r="T696" s="11" t="n">
        <f aca="false">SUM(N696:S696)</f>
        <v>237</v>
      </c>
      <c r="U696" s="11" t="n">
        <v>0</v>
      </c>
      <c r="V696" s="11" t="n">
        <v>0</v>
      </c>
      <c r="W696" s="11" t="n">
        <v>0</v>
      </c>
      <c r="X696" s="11" t="n">
        <v>0</v>
      </c>
      <c r="Y696" s="11" t="n">
        <v>0</v>
      </c>
      <c r="Z696" s="11" t="n">
        <v>0</v>
      </c>
      <c r="AA696" s="11" t="n">
        <f aca="false">SUM(U696:Z696)</f>
        <v>0</v>
      </c>
      <c r="AB696" s="11" t="n">
        <v>0</v>
      </c>
      <c r="AC696" s="11" t="n">
        <v>0</v>
      </c>
      <c r="AD696" s="11" t="n">
        <v>0</v>
      </c>
      <c r="AE696" s="11" t="n">
        <v>0</v>
      </c>
      <c r="AF696" s="11" t="n">
        <v>0</v>
      </c>
      <c r="AG696" s="11" t="n">
        <v>0</v>
      </c>
      <c r="AH696" s="11" t="n">
        <f aca="false">SUM(AB696:AG696)</f>
        <v>0</v>
      </c>
      <c r="AI696" s="12" t="s">
        <v>1192</v>
      </c>
    </row>
    <row r="697" customFormat="false" ht="15" hidden="false" customHeight="false" outlineLevel="0" collapsed="false">
      <c r="A697" s="8" t="s">
        <v>1496</v>
      </c>
      <c r="B697" s="12" t="s">
        <v>1497</v>
      </c>
      <c r="C697" s="8" t="s">
        <v>1471</v>
      </c>
      <c r="D697" s="12" t="s">
        <v>1472</v>
      </c>
      <c r="E697" s="10" t="str">
        <f aca="true">IFERROR(IF(INDEX(INDIRECT("'"&amp;$AI697&amp;"'!$E$2:$E$71"),MATCH($A697,INDIRECT("'"&amp;$AI697&amp;"'!$A$2:$A$71"),0))="","",INDEX(INDIRECT("'"&amp;$AI697&amp;"'!$E$2:$E$71"),MATCH($A697,INDIRECT("'"&amp;$AI697&amp;"'!$A$2:$A$71"),0))),"")</f>
        <v/>
      </c>
      <c r="F697" s="9" t="str">
        <f aca="false">IF($E697="","",IFERROR(INDEX(担当者マスタ!$B$2:$B$101,MATCH($E697,担当者マスタ!$A$2:$A$101,0)),"※マスタ未登録"))</f>
        <v/>
      </c>
      <c r="G697" s="11" t="n">
        <v>537.7</v>
      </c>
      <c r="H697" s="11" t="n">
        <v>609.72</v>
      </c>
      <c r="I697" s="11" t="n">
        <v>1141.3</v>
      </c>
      <c r="J697" s="11" t="n">
        <v>264.048</v>
      </c>
      <c r="K697" s="11" t="n">
        <v>607.9</v>
      </c>
      <c r="L697" s="11" t="n">
        <v>878.649</v>
      </c>
      <c r="M697" s="11" t="n">
        <f aca="false">SUM(G697:L697)</f>
        <v>4039.317</v>
      </c>
      <c r="N697" s="11" t="n">
        <v>55.9</v>
      </c>
      <c r="O697" s="11" t="n">
        <v>66.92</v>
      </c>
      <c r="P697" s="11" t="n">
        <v>117.5</v>
      </c>
      <c r="Q697" s="11" t="n">
        <v>31.988</v>
      </c>
      <c r="R697" s="11" t="n">
        <v>72.392</v>
      </c>
      <c r="S697" s="11" t="n">
        <v>77.999</v>
      </c>
      <c r="T697" s="11" t="n">
        <f aca="false">SUM(N697:S697)</f>
        <v>422.699</v>
      </c>
      <c r="U697" s="11" t="n">
        <v>1373.946</v>
      </c>
      <c r="V697" s="11" t="n">
        <v>1040.911</v>
      </c>
      <c r="W697" s="11" t="n">
        <v>1431.297</v>
      </c>
      <c r="X697" s="11" t="n">
        <v>881.889</v>
      </c>
      <c r="Y697" s="11" t="n">
        <v>491.29</v>
      </c>
      <c r="Z697" s="11" t="n">
        <v>1192.58</v>
      </c>
      <c r="AA697" s="11" t="n">
        <f aca="false">SUM(U697:Z697)</f>
        <v>6411.913</v>
      </c>
      <c r="AB697" s="11" t="n">
        <v>142.14</v>
      </c>
      <c r="AC697" s="11" t="n">
        <v>109.905</v>
      </c>
      <c r="AD697" s="11" t="n">
        <v>147.833</v>
      </c>
      <c r="AE697" s="11" t="n">
        <v>90.691</v>
      </c>
      <c r="AF697" s="11" t="n">
        <v>47.678</v>
      </c>
      <c r="AG697" s="11" t="n">
        <v>124.424</v>
      </c>
      <c r="AH697" s="11" t="n">
        <f aca="false">SUM(AB697:AG697)</f>
        <v>662.671</v>
      </c>
      <c r="AI697" s="12" t="s">
        <v>1192</v>
      </c>
    </row>
    <row r="698" customFormat="false" ht="15" hidden="false" customHeight="false" outlineLevel="0" collapsed="false">
      <c r="A698" s="8" t="s">
        <v>1498</v>
      </c>
      <c r="B698" s="12" t="s">
        <v>1499</v>
      </c>
      <c r="C698" s="8" t="s">
        <v>1471</v>
      </c>
      <c r="D698" s="12" t="s">
        <v>1472</v>
      </c>
      <c r="E698" s="10" t="str">
        <f aca="true">IFERROR(IF(INDEX(INDIRECT("'"&amp;$AI698&amp;"'!$E$2:$E$71"),MATCH($A698,INDIRECT("'"&amp;$AI698&amp;"'!$A$2:$A$71"),0))="","",INDEX(INDIRECT("'"&amp;$AI698&amp;"'!$E$2:$E$71"),MATCH($A698,INDIRECT("'"&amp;$AI698&amp;"'!$A$2:$A$71"),0))),"")</f>
        <v/>
      </c>
      <c r="F698" s="9" t="str">
        <f aca="false">IF($E698="","",IFERROR(INDEX(担当者マスタ!$B$2:$B$101,MATCH($E698,担当者マスタ!$A$2:$A$101,0)),"※マスタ未登録"))</f>
        <v/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61.848</v>
      </c>
      <c r="M698" s="11" t="n">
        <f aca="false">SUM(G698:L698)</f>
        <v>61.848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9.288</v>
      </c>
      <c r="T698" s="11" t="n">
        <f aca="false">SUM(N698:S698)</f>
        <v>9.288</v>
      </c>
      <c r="U698" s="11" t="n">
        <v>37.108</v>
      </c>
      <c r="V698" s="11" t="n">
        <v>0</v>
      </c>
      <c r="W698" s="11" t="n">
        <v>37.108</v>
      </c>
      <c r="X698" s="11" t="n">
        <v>0</v>
      </c>
      <c r="Y698" s="11" t="n">
        <v>37.108</v>
      </c>
      <c r="Z698" s="11" t="n">
        <v>0</v>
      </c>
      <c r="AA698" s="11" t="n">
        <f aca="false">SUM(U698:Z698)</f>
        <v>111.324</v>
      </c>
      <c r="AB698" s="11" t="n">
        <v>5.572</v>
      </c>
      <c r="AC698" s="11" t="n">
        <v>0</v>
      </c>
      <c r="AD698" s="11" t="n">
        <v>5.572</v>
      </c>
      <c r="AE698" s="11" t="n">
        <v>0</v>
      </c>
      <c r="AF698" s="11" t="n">
        <v>5.572</v>
      </c>
      <c r="AG698" s="11" t="n">
        <v>0</v>
      </c>
      <c r="AH698" s="11" t="n">
        <f aca="false">SUM(AB698:AG698)</f>
        <v>16.716</v>
      </c>
      <c r="AI698" s="12" t="s">
        <v>1192</v>
      </c>
    </row>
    <row r="699" customFormat="false" ht="15" hidden="false" customHeight="false" outlineLevel="0" collapsed="false">
      <c r="A699" s="8" t="s">
        <v>1500</v>
      </c>
      <c r="B699" s="12" t="s">
        <v>1497</v>
      </c>
      <c r="C699" s="8" t="s">
        <v>1471</v>
      </c>
      <c r="D699" s="12" t="s">
        <v>1472</v>
      </c>
      <c r="E699" s="10" t="str">
        <f aca="true">IFERROR(IF(INDEX(INDIRECT("'"&amp;$AI699&amp;"'!$E$2:$E$71"),MATCH($A699,INDIRECT("'"&amp;$AI699&amp;"'!$A$2:$A$71"),0))="","",INDEX(INDIRECT("'"&amp;$AI699&amp;"'!$E$2:$E$71"),MATCH($A699,INDIRECT("'"&amp;$AI699&amp;"'!$A$2:$A$71"),0))),"")</f>
        <v/>
      </c>
      <c r="F699" s="9" t="str">
        <f aca="false">IF($E699="","",IFERROR(INDEX(担当者マスタ!$B$2:$B$101,MATCH($E699,担当者マスタ!$A$2:$A$101,0)),"※マスタ未登録"))</f>
        <v/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f aca="false">SUM(G699:L699)</f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  <c r="T699" s="11" t="n">
        <f aca="false">SUM(N699:S699)</f>
        <v>0</v>
      </c>
      <c r="U699" s="11" t="n">
        <v>0</v>
      </c>
      <c r="V699" s="11" t="n">
        <v>0</v>
      </c>
      <c r="W699" s="11" t="n">
        <v>51.685</v>
      </c>
      <c r="X699" s="11" t="n">
        <v>0</v>
      </c>
      <c r="Y699" s="11" t="n">
        <v>0</v>
      </c>
      <c r="Z699" s="11" t="n">
        <v>0</v>
      </c>
      <c r="AA699" s="11" t="n">
        <f aca="false">SUM(U699:Z699)</f>
        <v>51.685</v>
      </c>
      <c r="AB699" s="11" t="n">
        <v>0</v>
      </c>
      <c r="AC699" s="11" t="n">
        <v>0</v>
      </c>
      <c r="AD699" s="11" t="n">
        <v>4.245</v>
      </c>
      <c r="AE699" s="11" t="n">
        <v>0</v>
      </c>
      <c r="AF699" s="11" t="n">
        <v>0</v>
      </c>
      <c r="AG699" s="11" t="n">
        <v>0</v>
      </c>
      <c r="AH699" s="11" t="n">
        <f aca="false">SUM(AB699:AG699)</f>
        <v>4.245</v>
      </c>
      <c r="AI699" s="12" t="s">
        <v>1192</v>
      </c>
    </row>
    <row r="700" customFormat="false" ht="15" hidden="false" customHeight="false" outlineLevel="0" collapsed="false">
      <c r="A700" s="8" t="s">
        <v>1501</v>
      </c>
      <c r="B700" s="12" t="s">
        <v>1502</v>
      </c>
      <c r="C700" s="8" t="s">
        <v>1471</v>
      </c>
      <c r="D700" s="12" t="s">
        <v>1472</v>
      </c>
      <c r="E700" s="10" t="str">
        <f aca="true">IFERROR(IF(INDEX(INDIRECT("'"&amp;$AI700&amp;"'!$E$2:$E$71"),MATCH($A700,INDIRECT("'"&amp;$AI700&amp;"'!$A$2:$A$71"),0))="","",INDEX(INDIRECT("'"&amp;$AI700&amp;"'!$E$2:$E$71"),MATCH($A700,INDIRECT("'"&amp;$AI700&amp;"'!$A$2:$A$71"),0))),"")</f>
        <v/>
      </c>
      <c r="F700" s="9" t="str">
        <f aca="false">IF($E700="","",IFERROR(INDEX(担当者マスタ!$B$2:$B$101,MATCH($E700,担当者マスタ!$A$2:$A$101,0)),"※マスタ未登録"))</f>
        <v/>
      </c>
      <c r="G700" s="11" t="n">
        <v>115</v>
      </c>
      <c r="H700" s="11" t="n">
        <v>0</v>
      </c>
      <c r="I700" s="11" t="n">
        <v>209.72</v>
      </c>
      <c r="J700" s="11" t="n">
        <v>51.74</v>
      </c>
      <c r="K700" s="11" t="n">
        <v>49.62</v>
      </c>
      <c r="L700" s="11" t="n">
        <v>117.47</v>
      </c>
      <c r="M700" s="11" t="n">
        <f aca="false">SUM(G700:L700)</f>
        <v>543.55</v>
      </c>
      <c r="N700" s="11" t="n">
        <v>20.25</v>
      </c>
      <c r="O700" s="11" t="n">
        <v>0</v>
      </c>
      <c r="P700" s="11" t="n">
        <v>34.24</v>
      </c>
      <c r="Q700" s="11" t="n">
        <v>7.63</v>
      </c>
      <c r="R700" s="11" t="n">
        <v>10.02</v>
      </c>
      <c r="S700" s="11" t="n">
        <v>15.16</v>
      </c>
      <c r="T700" s="11" t="n">
        <f aca="false">SUM(N700:S700)</f>
        <v>87.3</v>
      </c>
      <c r="U700" s="11" t="n">
        <v>0</v>
      </c>
      <c r="V700" s="11" t="n">
        <v>50.54</v>
      </c>
      <c r="W700" s="11" t="n">
        <v>0</v>
      </c>
      <c r="X700" s="11" t="n">
        <v>0</v>
      </c>
      <c r="Y700" s="11" t="n">
        <v>0</v>
      </c>
      <c r="Z700" s="11" t="n">
        <v>193.76</v>
      </c>
      <c r="AA700" s="11" t="n">
        <f aca="false">SUM(U700:Z700)</f>
        <v>244.3</v>
      </c>
      <c r="AB700" s="11" t="n">
        <v>0</v>
      </c>
      <c r="AC700" s="11" t="n">
        <v>7.63</v>
      </c>
      <c r="AD700" s="11" t="n">
        <v>0</v>
      </c>
      <c r="AE700" s="11" t="n">
        <v>0</v>
      </c>
      <c r="AF700" s="11" t="n">
        <v>0</v>
      </c>
      <c r="AG700" s="11" t="n">
        <v>27.19</v>
      </c>
      <c r="AH700" s="11" t="n">
        <f aca="false">SUM(AB700:AG700)</f>
        <v>34.82</v>
      </c>
      <c r="AI700" s="12" t="s">
        <v>1192</v>
      </c>
    </row>
    <row r="701" customFormat="false" ht="15" hidden="false" customHeight="false" outlineLevel="0" collapsed="false">
      <c r="A701" s="8" t="s">
        <v>1503</v>
      </c>
      <c r="B701" s="12" t="s">
        <v>1504</v>
      </c>
      <c r="C701" s="8" t="s">
        <v>1471</v>
      </c>
      <c r="D701" s="12" t="s">
        <v>1472</v>
      </c>
      <c r="E701" s="10" t="str">
        <f aca="true">IFERROR(IF(INDEX(INDIRECT("'"&amp;$AI701&amp;"'!$E$2:$E$71"),MATCH($A701,INDIRECT("'"&amp;$AI701&amp;"'!$A$2:$A$71"),0))="","",INDEX(INDIRECT("'"&amp;$AI701&amp;"'!$E$2:$E$71"),MATCH($A701,INDIRECT("'"&amp;$AI701&amp;"'!$A$2:$A$71"),0))),"")</f>
        <v/>
      </c>
      <c r="F701" s="9" t="str">
        <f aca="false">IF($E701="","",IFERROR(INDEX(担当者マスタ!$B$2:$B$101,MATCH($E701,担当者マスタ!$A$2:$A$101,0)),"※マスタ未登録"))</f>
        <v/>
      </c>
      <c r="G701" s="11" t="n">
        <v>0</v>
      </c>
      <c r="H701" s="11" t="n">
        <v>29.808</v>
      </c>
      <c r="I701" s="11" t="n">
        <v>0</v>
      </c>
      <c r="J701" s="11" t="n">
        <v>0</v>
      </c>
      <c r="K701" s="11" t="n">
        <v>28.94</v>
      </c>
      <c r="L701" s="11" t="n">
        <v>0</v>
      </c>
      <c r="M701" s="11" t="n">
        <f aca="false">SUM(G701:L701)</f>
        <v>58.748</v>
      </c>
      <c r="N701" s="11" t="n">
        <v>0</v>
      </c>
      <c r="O701" s="11" t="n">
        <v>4.548</v>
      </c>
      <c r="P701" s="11" t="n">
        <v>0</v>
      </c>
      <c r="Q701" s="11" t="n">
        <v>0</v>
      </c>
      <c r="R701" s="11" t="n">
        <v>4.34</v>
      </c>
      <c r="S701" s="11" t="n">
        <v>0</v>
      </c>
      <c r="T701" s="11" t="n">
        <f aca="false">SUM(N701:S701)</f>
        <v>8.888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f aca="false">SUM(U701:Z701)</f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>
        <f aca="false">SUM(AB701:AG701)</f>
        <v>0</v>
      </c>
      <c r="AI701" s="12" t="s">
        <v>1192</v>
      </c>
    </row>
    <row r="702" customFormat="false" ht="15" hidden="false" customHeight="false" outlineLevel="0" collapsed="false">
      <c r="A702" s="8" t="s">
        <v>1505</v>
      </c>
      <c r="B702" s="12" t="s">
        <v>1506</v>
      </c>
      <c r="C702" s="8" t="s">
        <v>1471</v>
      </c>
      <c r="D702" s="12" t="s">
        <v>1472</v>
      </c>
      <c r="E702" s="10" t="str">
        <f aca="true">IFERROR(IF(INDEX(INDIRECT("'"&amp;$AI702&amp;"'!$E$2:$E$71"),MATCH($A702,INDIRECT("'"&amp;$AI702&amp;"'!$A$2:$A$71"),0))="","",INDEX(INDIRECT("'"&amp;$AI702&amp;"'!$E$2:$E$71"),MATCH($A702,INDIRECT("'"&amp;$AI702&amp;"'!$A$2:$A$71"),0))),"")</f>
        <v/>
      </c>
      <c r="F702" s="9" t="str">
        <f aca="false">IF($E702="","",IFERROR(INDEX(担当者マスタ!$B$2:$B$101,MATCH($E702,担当者マスタ!$A$2:$A$101,0)),"※マスタ未登録"))</f>
        <v/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33.96</v>
      </c>
      <c r="L702" s="11" t="n">
        <v>0</v>
      </c>
      <c r="M702" s="11" t="n">
        <f aca="false">SUM(G702:L702)</f>
        <v>33.96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4.86</v>
      </c>
      <c r="S702" s="11" t="n">
        <v>0</v>
      </c>
      <c r="T702" s="11" t="n">
        <f aca="false">SUM(N702:S702)</f>
        <v>4.86</v>
      </c>
      <c r="U702" s="11" t="n">
        <v>0</v>
      </c>
      <c r="V702" s="11" t="n">
        <v>0</v>
      </c>
      <c r="W702" s="11" t="n">
        <v>0</v>
      </c>
      <c r="X702" s="11" t="n">
        <v>0</v>
      </c>
      <c r="Y702" s="11" t="n">
        <v>0</v>
      </c>
      <c r="Z702" s="11" t="n">
        <v>0</v>
      </c>
      <c r="AA702" s="11" t="n">
        <f aca="false">SUM(U702:Z702)</f>
        <v>0</v>
      </c>
      <c r="AB702" s="11" t="n">
        <v>0</v>
      </c>
      <c r="AC702" s="11" t="n">
        <v>0</v>
      </c>
      <c r="AD702" s="11" t="n">
        <v>0</v>
      </c>
      <c r="AE702" s="11" t="n">
        <v>0</v>
      </c>
      <c r="AF702" s="11" t="n">
        <v>0</v>
      </c>
      <c r="AG702" s="11" t="n">
        <v>0</v>
      </c>
      <c r="AH702" s="11" t="n">
        <f aca="false">SUM(AB702:AG702)</f>
        <v>0</v>
      </c>
      <c r="AI702" s="12" t="s">
        <v>1192</v>
      </c>
    </row>
    <row r="703" customFormat="false" ht="15" hidden="false" customHeight="false" outlineLevel="0" collapsed="false">
      <c r="A703" s="8" t="s">
        <v>1507</v>
      </c>
      <c r="B703" s="12" t="s">
        <v>1508</v>
      </c>
      <c r="C703" s="8" t="s">
        <v>1471</v>
      </c>
      <c r="D703" s="12" t="s">
        <v>1472</v>
      </c>
      <c r="E703" s="10" t="str">
        <f aca="true">IFERROR(IF(INDEX(INDIRECT("'"&amp;$AI703&amp;"'!$E$2:$E$71"),MATCH($A703,INDIRECT("'"&amp;$AI703&amp;"'!$A$2:$A$71"),0))="","",INDEX(INDIRECT("'"&amp;$AI703&amp;"'!$E$2:$E$71"),MATCH($A703,INDIRECT("'"&amp;$AI703&amp;"'!$A$2:$A$71"),0))),"")</f>
        <v/>
      </c>
      <c r="F703" s="9" t="str">
        <f aca="false">IF($E703="","",IFERROR(INDEX(担当者マスタ!$B$2:$B$101,MATCH($E703,担当者マスタ!$A$2:$A$101,0)),"※マスタ未登録"))</f>
        <v/>
      </c>
      <c r="G703" s="11" t="n">
        <v>29.13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f aca="false">SUM(G703:L703)</f>
        <v>29.13</v>
      </c>
      <c r="N703" s="11" t="n">
        <v>2.925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1" t="n">
        <f aca="false">SUM(N703:S703)</f>
        <v>2.925</v>
      </c>
      <c r="U703" s="11" t="n">
        <v>0</v>
      </c>
      <c r="V703" s="11" t="n">
        <v>0</v>
      </c>
      <c r="W703" s="11" t="n">
        <v>38.61</v>
      </c>
      <c r="X703" s="11" t="n">
        <v>0</v>
      </c>
      <c r="Y703" s="11" t="n">
        <v>0</v>
      </c>
      <c r="Z703" s="11" t="n">
        <v>0</v>
      </c>
      <c r="AA703" s="11" t="n">
        <f aca="false">SUM(U703:Z703)</f>
        <v>38.61</v>
      </c>
      <c r="AB703" s="11" t="n">
        <v>0</v>
      </c>
      <c r="AC703" s="11" t="n">
        <v>0</v>
      </c>
      <c r="AD703" s="11" t="n">
        <v>6.453</v>
      </c>
      <c r="AE703" s="11" t="n">
        <v>0</v>
      </c>
      <c r="AF703" s="11" t="n">
        <v>0</v>
      </c>
      <c r="AG703" s="11" t="n">
        <v>0</v>
      </c>
      <c r="AH703" s="11" t="n">
        <f aca="false">SUM(AB703:AG703)</f>
        <v>6.453</v>
      </c>
      <c r="AI703" s="12" t="s">
        <v>1192</v>
      </c>
    </row>
    <row r="704" customFormat="false" ht="15" hidden="false" customHeight="false" outlineLevel="0" collapsed="false">
      <c r="A704" s="8" t="s">
        <v>1509</v>
      </c>
      <c r="B704" s="12" t="s">
        <v>1510</v>
      </c>
      <c r="C704" s="8" t="s">
        <v>1471</v>
      </c>
      <c r="D704" s="12" t="s">
        <v>1472</v>
      </c>
      <c r="E704" s="10" t="str">
        <f aca="true">IFERROR(IF(INDEX(INDIRECT("'"&amp;$AI704&amp;"'!$E$2:$E$71"),MATCH($A704,INDIRECT("'"&amp;$AI704&amp;"'!$A$2:$A$71"),0))="","",INDEX(INDIRECT("'"&amp;$AI704&amp;"'!$E$2:$E$71"),MATCH($A704,INDIRECT("'"&amp;$AI704&amp;"'!$A$2:$A$71"),0))),"")</f>
        <v/>
      </c>
      <c r="F704" s="9" t="str">
        <f aca="false">IF($E704="","",IFERROR(INDEX(担当者マスタ!$B$2:$B$101,MATCH($E704,担当者マスタ!$A$2:$A$101,0)),"※マスタ未登録"))</f>
        <v/>
      </c>
      <c r="G704" s="11" t="n">
        <v>127.2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23.54</v>
      </c>
      <c r="M704" s="11" t="n">
        <f aca="false">SUM(G704:L704)</f>
        <v>150.74</v>
      </c>
      <c r="N704" s="11" t="n">
        <v>8.34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3.54</v>
      </c>
      <c r="T704" s="11" t="n">
        <f aca="false">SUM(N704:S704)</f>
        <v>11.88</v>
      </c>
      <c r="U704" s="11" t="n">
        <v>0</v>
      </c>
      <c r="V704" s="11" t="n">
        <v>0</v>
      </c>
      <c r="W704" s="11" t="n">
        <v>0</v>
      </c>
      <c r="X704" s="11" t="n">
        <v>0</v>
      </c>
      <c r="Y704" s="11" t="n">
        <v>0</v>
      </c>
      <c r="Z704" s="11" t="n">
        <v>0</v>
      </c>
      <c r="AA704" s="11" t="n">
        <f aca="false">SUM(U704:Z704)</f>
        <v>0</v>
      </c>
      <c r="AB704" s="11" t="n">
        <v>0</v>
      </c>
      <c r="AC704" s="11" t="n">
        <v>0</v>
      </c>
      <c r="AD704" s="11" t="n">
        <v>0</v>
      </c>
      <c r="AE704" s="11" t="n">
        <v>0</v>
      </c>
      <c r="AF704" s="11" t="n">
        <v>0</v>
      </c>
      <c r="AG704" s="11" t="n">
        <v>0</v>
      </c>
      <c r="AH704" s="11" t="n">
        <f aca="false">SUM(AB704:AG704)</f>
        <v>0</v>
      </c>
      <c r="AI704" s="12" t="s">
        <v>1192</v>
      </c>
    </row>
    <row r="705" customFormat="false" ht="15" hidden="false" customHeight="false" outlineLevel="0" collapsed="false">
      <c r="A705" s="8" t="s">
        <v>1511</v>
      </c>
      <c r="B705" s="12" t="s">
        <v>1512</v>
      </c>
      <c r="C705" s="8" t="s">
        <v>1471</v>
      </c>
      <c r="D705" s="12" t="s">
        <v>1472</v>
      </c>
      <c r="E705" s="10" t="str">
        <f aca="true">IFERROR(IF(INDEX(INDIRECT("'"&amp;$AI705&amp;"'!$E$2:$E$71"),MATCH($A705,INDIRECT("'"&amp;$AI705&amp;"'!$A$2:$A$71"),0))="","",INDEX(INDIRECT("'"&amp;$AI705&amp;"'!$E$2:$E$71"),MATCH($A705,INDIRECT("'"&amp;$AI705&amp;"'!$A$2:$A$71"),0))),"")</f>
        <v/>
      </c>
      <c r="F705" s="9" t="str">
        <f aca="false">IF($E705="","",IFERROR(INDEX(担当者マスタ!$B$2:$B$101,MATCH($E705,担当者マスタ!$A$2:$A$101,0)),"※マスタ未登録"))</f>
        <v/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1312</v>
      </c>
      <c r="M705" s="11" t="n">
        <f aca="false">SUM(G705:L705)</f>
        <v>1312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160</v>
      </c>
      <c r="T705" s="11" t="n">
        <f aca="false">SUM(N705:S705)</f>
        <v>160</v>
      </c>
      <c r="U705" s="11" t="n">
        <v>0</v>
      </c>
      <c r="V705" s="11" t="n">
        <v>0</v>
      </c>
      <c r="W705" s="11" t="n">
        <v>0</v>
      </c>
      <c r="X705" s="11" t="n">
        <v>461.26</v>
      </c>
      <c r="Y705" s="11" t="n">
        <v>1045.5</v>
      </c>
      <c r="Z705" s="11" t="n">
        <v>0</v>
      </c>
      <c r="AA705" s="11" t="n">
        <f aca="false">SUM(U705:Z705)</f>
        <v>1506.76</v>
      </c>
      <c r="AB705" s="11" t="n">
        <v>0</v>
      </c>
      <c r="AC705" s="11" t="n">
        <v>0</v>
      </c>
      <c r="AD705" s="11" t="n">
        <v>0</v>
      </c>
      <c r="AE705" s="11" t="n">
        <v>56.26</v>
      </c>
      <c r="AF705" s="11" t="n">
        <v>127.5</v>
      </c>
      <c r="AG705" s="11" t="n">
        <v>0</v>
      </c>
      <c r="AH705" s="11" t="n">
        <f aca="false">SUM(AB705:AG705)</f>
        <v>183.76</v>
      </c>
      <c r="AI705" s="12" t="s">
        <v>1192</v>
      </c>
    </row>
    <row r="706" customFormat="false" ht="15" hidden="false" customHeight="false" outlineLevel="0" collapsed="false">
      <c r="A706" s="8" t="s">
        <v>1513</v>
      </c>
      <c r="B706" s="12" t="s">
        <v>1514</v>
      </c>
      <c r="C706" s="8" t="s">
        <v>1471</v>
      </c>
      <c r="D706" s="12" t="s">
        <v>1472</v>
      </c>
      <c r="E706" s="10" t="str">
        <f aca="true">IFERROR(IF(INDEX(INDIRECT("'"&amp;$AI706&amp;"'!$E$2:$E$71"),MATCH($A706,INDIRECT("'"&amp;$AI706&amp;"'!$A$2:$A$71"),0))="","",INDEX(INDIRECT("'"&amp;$AI706&amp;"'!$E$2:$E$71"),MATCH($A706,INDIRECT("'"&amp;$AI706&amp;"'!$A$2:$A$71"),0))),"")</f>
        <v/>
      </c>
      <c r="F706" s="9" t="str">
        <f aca="false">IF($E706="","",IFERROR(INDEX(担当者マスタ!$B$2:$B$101,MATCH($E706,担当者マスタ!$A$2:$A$101,0)),"※マスタ未登録"))</f>
        <v/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f aca="false">SUM(G706:L706)</f>
        <v>0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1" t="n">
        <f aca="false">SUM(N706:S706)</f>
        <v>0</v>
      </c>
      <c r="U706" s="11" t="n">
        <v>0</v>
      </c>
      <c r="V706" s="11" t="n">
        <v>0</v>
      </c>
      <c r="W706" s="11" t="n">
        <v>0</v>
      </c>
      <c r="X706" s="11" t="n">
        <v>831.54</v>
      </c>
      <c r="Y706" s="11" t="n">
        <v>0</v>
      </c>
      <c r="Z706" s="11" t="n">
        <v>0</v>
      </c>
      <c r="AA706" s="11" t="n">
        <f aca="false">SUM(U706:Z706)</f>
        <v>831.54</v>
      </c>
      <c r="AB706" s="11" t="n">
        <v>0</v>
      </c>
      <c r="AC706" s="11" t="n">
        <v>0</v>
      </c>
      <c r="AD706" s="11" t="n">
        <v>0</v>
      </c>
      <c r="AE706" s="11" t="n">
        <v>101.54</v>
      </c>
      <c r="AF706" s="11" t="n">
        <v>0</v>
      </c>
      <c r="AG706" s="11" t="n">
        <v>0</v>
      </c>
      <c r="AH706" s="11" t="n">
        <f aca="false">SUM(AB706:AG706)</f>
        <v>101.54</v>
      </c>
      <c r="AI706" s="12" t="s">
        <v>1192</v>
      </c>
    </row>
    <row r="707" customFormat="false" ht="15" hidden="false" customHeight="false" outlineLevel="0" collapsed="false">
      <c r="A707" s="8" t="s">
        <v>1515</v>
      </c>
      <c r="B707" s="12" t="s">
        <v>1516</v>
      </c>
      <c r="C707" s="8" t="s">
        <v>1471</v>
      </c>
      <c r="D707" s="12" t="s">
        <v>1472</v>
      </c>
      <c r="E707" s="10" t="str">
        <f aca="true">IFERROR(IF(INDEX(INDIRECT("'"&amp;$AI707&amp;"'!$E$2:$E$71"),MATCH($A707,INDIRECT("'"&amp;$AI707&amp;"'!$A$2:$A$71"),0))="","",INDEX(INDIRECT("'"&amp;$AI707&amp;"'!$E$2:$E$71"),MATCH($A707,INDIRECT("'"&amp;$AI707&amp;"'!$A$2:$A$71"),0))),"")</f>
        <v/>
      </c>
      <c r="F707" s="9" t="str">
        <f aca="false">IF($E707="","",IFERROR(INDEX(担当者マスタ!$B$2:$B$101,MATCH($E707,担当者マスタ!$A$2:$A$101,0)),"※マスタ未登録"))</f>
        <v/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f aca="false">SUM(G707:L707)</f>
        <v>0</v>
      </c>
      <c r="N707" s="11" t="n">
        <v>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f aca="false">SUM(N707:S707)</f>
        <v>0</v>
      </c>
      <c r="U707" s="11" t="n">
        <v>0</v>
      </c>
      <c r="V707" s="11" t="n">
        <v>0</v>
      </c>
      <c r="W707" s="11" t="n">
        <v>0</v>
      </c>
      <c r="X707" s="11" t="n">
        <v>0</v>
      </c>
      <c r="Y707" s="11" t="n">
        <v>246</v>
      </c>
      <c r="Z707" s="11" t="n">
        <v>0</v>
      </c>
      <c r="AA707" s="11" t="n">
        <f aca="false">SUM(U707:Z707)</f>
        <v>246</v>
      </c>
      <c r="AB707" s="11" t="n">
        <v>0</v>
      </c>
      <c r="AC707" s="11" t="n">
        <v>0</v>
      </c>
      <c r="AD707" s="11" t="n">
        <v>0</v>
      </c>
      <c r="AE707" s="11" t="n">
        <v>0</v>
      </c>
      <c r="AF707" s="11" t="n">
        <v>30</v>
      </c>
      <c r="AG707" s="11" t="n">
        <v>0</v>
      </c>
      <c r="AH707" s="11" t="n">
        <f aca="false">SUM(AB707:AG707)</f>
        <v>30</v>
      </c>
      <c r="AI707" s="12" t="s">
        <v>1192</v>
      </c>
    </row>
    <row r="708" customFormat="false" ht="15" hidden="false" customHeight="false" outlineLevel="0" collapsed="false">
      <c r="A708" s="8" t="s">
        <v>1517</v>
      </c>
      <c r="B708" s="12" t="s">
        <v>1518</v>
      </c>
      <c r="C708" s="8" t="s">
        <v>1471</v>
      </c>
      <c r="D708" s="12" t="s">
        <v>1472</v>
      </c>
      <c r="E708" s="10" t="str">
        <f aca="true">IFERROR(IF(INDEX(INDIRECT("'"&amp;$AI708&amp;"'!$E$2:$E$71"),MATCH($A708,INDIRECT("'"&amp;$AI708&amp;"'!$A$2:$A$71"),0))="","",INDEX(INDIRECT("'"&amp;$AI708&amp;"'!$E$2:$E$71"),MATCH($A708,INDIRECT("'"&amp;$AI708&amp;"'!$A$2:$A$71"),0))),"")</f>
        <v/>
      </c>
      <c r="F708" s="9" t="str">
        <f aca="false">IF($E708="","",IFERROR(INDEX(担当者マスタ!$B$2:$B$101,MATCH($E708,担当者マスタ!$A$2:$A$101,0)),"※マスタ未登録"))</f>
        <v/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f aca="false">SUM(G708:L708)</f>
        <v>0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1" t="n">
        <f aca="false">SUM(N708:S708)</f>
        <v>0</v>
      </c>
      <c r="U708" s="11" t="n">
        <v>0</v>
      </c>
      <c r="V708" s="11" t="n">
        <v>0</v>
      </c>
      <c r="W708" s="11" t="n">
        <v>387.296</v>
      </c>
      <c r="X708" s="11" t="n">
        <v>0</v>
      </c>
      <c r="Y708" s="11" t="n">
        <v>0</v>
      </c>
      <c r="Z708" s="11" t="n">
        <v>0</v>
      </c>
      <c r="AA708" s="11" t="n">
        <f aca="false">SUM(U708:Z708)</f>
        <v>387.296</v>
      </c>
      <c r="AB708" s="11" t="n">
        <v>0</v>
      </c>
      <c r="AC708" s="11" t="n">
        <v>0</v>
      </c>
      <c r="AD708" s="11" t="n">
        <v>45.5</v>
      </c>
      <c r="AE708" s="11" t="n">
        <v>0</v>
      </c>
      <c r="AF708" s="11" t="n">
        <v>0</v>
      </c>
      <c r="AG708" s="11" t="n">
        <v>0</v>
      </c>
      <c r="AH708" s="11" t="n">
        <f aca="false">SUM(AB708:AG708)</f>
        <v>45.5</v>
      </c>
      <c r="AI708" s="12" t="s">
        <v>1192</v>
      </c>
    </row>
    <row r="709" customFormat="false" ht="15" hidden="false" customHeight="false" outlineLevel="0" collapsed="false">
      <c r="A709" s="8" t="s">
        <v>1519</v>
      </c>
      <c r="B709" s="12" t="s">
        <v>1520</v>
      </c>
      <c r="C709" s="8" t="s">
        <v>1471</v>
      </c>
      <c r="D709" s="12" t="s">
        <v>1472</v>
      </c>
      <c r="E709" s="10" t="str">
        <f aca="true">IFERROR(IF(INDEX(INDIRECT("'"&amp;$AI709&amp;"'!$E$2:$E$71"),MATCH($A709,INDIRECT("'"&amp;$AI709&amp;"'!$A$2:$A$71"),0))="","",INDEX(INDIRECT("'"&amp;$AI709&amp;"'!$E$2:$E$71"),MATCH($A709,INDIRECT("'"&amp;$AI709&amp;"'!$A$2:$A$71"),0))),"")</f>
        <v/>
      </c>
      <c r="F709" s="9" t="str">
        <f aca="false">IF($E709="","",IFERROR(INDEX(担当者マスタ!$B$2:$B$101,MATCH($E709,担当者マスタ!$A$2:$A$101,0)),"※マスタ未登録"))</f>
        <v/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f aca="false">SUM(G709:L709)</f>
        <v>0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  <c r="T709" s="11" t="n">
        <f aca="false">SUM(N709:S709)</f>
        <v>0</v>
      </c>
      <c r="U709" s="11" t="n">
        <v>0</v>
      </c>
      <c r="V709" s="11" t="n">
        <v>0</v>
      </c>
      <c r="W709" s="11" t="n">
        <v>33.9</v>
      </c>
      <c r="X709" s="11" t="n">
        <v>0</v>
      </c>
      <c r="Y709" s="11" t="n">
        <v>0</v>
      </c>
      <c r="Z709" s="11" t="n">
        <v>0</v>
      </c>
      <c r="AA709" s="11" t="n">
        <f aca="false">SUM(U709:Z709)</f>
        <v>33.9</v>
      </c>
      <c r="AB709" s="11" t="n">
        <v>0</v>
      </c>
      <c r="AC709" s="11" t="n">
        <v>0</v>
      </c>
      <c r="AD709" s="11" t="n">
        <v>6.9</v>
      </c>
      <c r="AE709" s="11" t="n">
        <v>0</v>
      </c>
      <c r="AF709" s="11" t="n">
        <v>0</v>
      </c>
      <c r="AG709" s="11" t="n">
        <v>0</v>
      </c>
      <c r="AH709" s="11" t="n">
        <f aca="false">SUM(AB709:AG709)</f>
        <v>6.9</v>
      </c>
      <c r="AI709" s="12" t="s">
        <v>1192</v>
      </c>
    </row>
    <row r="710" customFormat="false" ht="15" hidden="false" customHeight="false" outlineLevel="0" collapsed="false">
      <c r="A710" s="8" t="s">
        <v>1521</v>
      </c>
      <c r="B710" s="12" t="s">
        <v>1477</v>
      </c>
      <c r="C710" s="8" t="s">
        <v>1471</v>
      </c>
      <c r="D710" s="12" t="s">
        <v>1472</v>
      </c>
      <c r="E710" s="10" t="str">
        <f aca="true">IFERROR(IF(INDEX(INDIRECT("'"&amp;$AI710&amp;"'!$E$2:$E$71"),MATCH($A710,INDIRECT("'"&amp;$AI710&amp;"'!$A$2:$A$71"),0))="","",INDEX(INDIRECT("'"&amp;$AI710&amp;"'!$E$2:$E$71"),MATCH($A710,INDIRECT("'"&amp;$AI710&amp;"'!$A$2:$A$71"),0))),"")</f>
        <v/>
      </c>
      <c r="F710" s="9" t="str">
        <f aca="false">IF($E710="","",IFERROR(INDEX(担当者マスタ!$B$2:$B$101,MATCH($E710,担当者マスタ!$A$2:$A$101,0)),"※マスタ未登録"))</f>
        <v/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f aca="false">SUM(G710:L710)</f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1" t="n">
        <f aca="false">SUM(N710:S710)</f>
        <v>0</v>
      </c>
      <c r="U710" s="11" t="n">
        <v>0</v>
      </c>
      <c r="V710" s="11" t="n">
        <v>-366.102</v>
      </c>
      <c r="W710" s="11" t="n">
        <v>95</v>
      </c>
      <c r="X710" s="11" t="n">
        <v>0</v>
      </c>
      <c r="Y710" s="11" t="n">
        <v>198</v>
      </c>
      <c r="Z710" s="11" t="n">
        <v>16</v>
      </c>
      <c r="AA710" s="11" t="n">
        <f aca="false">SUM(U710:Z710)</f>
        <v>-57.102</v>
      </c>
      <c r="AB710" s="11" t="n">
        <v>0</v>
      </c>
      <c r="AC710" s="11" t="n">
        <v>-43.602</v>
      </c>
      <c r="AD710" s="11" t="n">
        <v>0</v>
      </c>
      <c r="AE710" s="11" t="n">
        <v>0</v>
      </c>
      <c r="AF710" s="11" t="n">
        <v>0</v>
      </c>
      <c r="AG710" s="11" t="n">
        <v>0</v>
      </c>
      <c r="AH710" s="11" t="n">
        <f aca="false">SUM(AB710:AG710)</f>
        <v>-43.602</v>
      </c>
      <c r="AI710" s="12" t="s">
        <v>1192</v>
      </c>
    </row>
    <row r="711" customFormat="false" ht="15" hidden="false" customHeight="false" outlineLevel="0" collapsed="false">
      <c r="A711" s="8" t="s">
        <v>1522</v>
      </c>
      <c r="B711" s="12" t="s">
        <v>1477</v>
      </c>
      <c r="C711" s="8" t="s">
        <v>1471</v>
      </c>
      <c r="D711" s="12" t="s">
        <v>1472</v>
      </c>
      <c r="E711" s="10" t="str">
        <f aca="true">IFERROR(IF(INDEX(INDIRECT("'"&amp;$AI711&amp;"'!$E$2:$E$71"),MATCH($A711,INDIRECT("'"&amp;$AI711&amp;"'!$A$2:$A$71"),0))="","",INDEX(INDIRECT("'"&amp;$AI711&amp;"'!$E$2:$E$71"),MATCH($A711,INDIRECT("'"&amp;$AI711&amp;"'!$A$2:$A$71"),0))),"")</f>
        <v/>
      </c>
      <c r="F711" s="9" t="str">
        <f aca="false">IF($E711="","",IFERROR(INDEX(担当者マスタ!$B$2:$B$101,MATCH($E711,担当者マスタ!$A$2:$A$101,0)),"※マスタ未登録"))</f>
        <v/>
      </c>
      <c r="G711" s="11" t="n">
        <v>0</v>
      </c>
      <c r="H711" s="11" t="n">
        <v>0</v>
      </c>
      <c r="I711" s="11" t="n">
        <v>0</v>
      </c>
      <c r="J711" s="11" t="n">
        <v>1274</v>
      </c>
      <c r="K711" s="11" t="n">
        <v>0</v>
      </c>
      <c r="L711" s="11" t="n">
        <v>30</v>
      </c>
      <c r="M711" s="11" t="n">
        <f aca="false">SUM(G711:L711)</f>
        <v>1304</v>
      </c>
      <c r="N711" s="11" t="n">
        <v>0</v>
      </c>
      <c r="O711" s="11" t="n">
        <v>0</v>
      </c>
      <c r="P711" s="11" t="n">
        <v>0</v>
      </c>
      <c r="Q711" s="11" t="n">
        <v>110.049</v>
      </c>
      <c r="R711" s="11" t="n">
        <v>0</v>
      </c>
      <c r="S711" s="11" t="n">
        <v>0</v>
      </c>
      <c r="T711" s="11" t="n">
        <f aca="false">SUM(N711:S711)</f>
        <v>110.049</v>
      </c>
      <c r="U711" s="11" t="n">
        <v>175</v>
      </c>
      <c r="V711" s="11" t="n">
        <v>0</v>
      </c>
      <c r="W711" s="11" t="n">
        <v>0</v>
      </c>
      <c r="X711" s="11" t="n">
        <v>5068.736</v>
      </c>
      <c r="Y711" s="11" t="n">
        <v>0</v>
      </c>
      <c r="Z711" s="11" t="n">
        <v>0</v>
      </c>
      <c r="AA711" s="11" t="n">
        <f aca="false">SUM(U711:Z711)</f>
        <v>5243.736</v>
      </c>
      <c r="AB711" s="11" t="n">
        <v>0</v>
      </c>
      <c r="AC711" s="11" t="n">
        <v>0</v>
      </c>
      <c r="AD711" s="11" t="n">
        <v>0</v>
      </c>
      <c r="AE711" s="11" t="n">
        <v>523.437</v>
      </c>
      <c r="AF711" s="11" t="n">
        <v>0</v>
      </c>
      <c r="AG711" s="11" t="n">
        <v>0</v>
      </c>
      <c r="AH711" s="11" t="n">
        <f aca="false">SUM(AB711:AG711)</f>
        <v>523.437</v>
      </c>
      <c r="AI711" s="12" t="s">
        <v>1192</v>
      </c>
    </row>
    <row r="712" customFormat="false" ht="15" hidden="false" customHeight="false" outlineLevel="0" collapsed="false">
      <c r="A712" s="8" t="s">
        <v>1523</v>
      </c>
      <c r="B712" s="12" t="s">
        <v>1524</v>
      </c>
      <c r="C712" s="8" t="s">
        <v>1525</v>
      </c>
      <c r="D712" s="12" t="s">
        <v>1526</v>
      </c>
      <c r="E712" s="10" t="str">
        <f aca="true">IFERROR(IF(INDEX(INDIRECT("'"&amp;$AI712&amp;"'!$E$2:$E$327"),MATCH($A712,INDIRECT("'"&amp;$AI712&amp;"'!$A$2:$A$327"),0))="","",INDEX(INDIRECT("'"&amp;$AI712&amp;"'!$E$2:$E$327"),MATCH($A712,INDIRECT("'"&amp;$AI712&amp;"'!$A$2:$A$327"),0))),"")</f>
        <v/>
      </c>
      <c r="F712" s="9" t="str">
        <f aca="false">IF($E712="","",IFERROR(INDEX(担当者マスタ!$B$2:$B$101,MATCH($E712,担当者マスタ!$A$2:$A$101,0)),"※マスタ未登録"))</f>
        <v/>
      </c>
      <c r="G712" s="11" t="n">
        <v>7.864</v>
      </c>
      <c r="H712" s="11" t="n">
        <v>0</v>
      </c>
      <c r="I712" s="11" t="n">
        <v>2.23</v>
      </c>
      <c r="J712" s="11" t="n">
        <v>0</v>
      </c>
      <c r="K712" s="11" t="n">
        <v>120.015</v>
      </c>
      <c r="L712" s="11" t="n">
        <v>0</v>
      </c>
      <c r="M712" s="11" t="n">
        <f aca="false">SUM(G712:L712)</f>
        <v>130.109</v>
      </c>
      <c r="N712" s="11" t="n">
        <v>2.086</v>
      </c>
      <c r="O712" s="11" t="n">
        <v>0</v>
      </c>
      <c r="P712" s="11" t="n">
        <v>0.36</v>
      </c>
      <c r="Q712" s="11" t="n">
        <v>0</v>
      </c>
      <c r="R712" s="11" t="n">
        <v>33.163</v>
      </c>
      <c r="S712" s="11" t="n">
        <v>0</v>
      </c>
      <c r="T712" s="11" t="n">
        <f aca="false">SUM(N712:S712)</f>
        <v>35.609</v>
      </c>
      <c r="U712" s="11" t="n">
        <v>3.75</v>
      </c>
      <c r="V712" s="11" t="n">
        <v>2.23</v>
      </c>
      <c r="W712" s="11" t="n">
        <v>7.5</v>
      </c>
      <c r="X712" s="11" t="n">
        <v>110.848</v>
      </c>
      <c r="Y712" s="11" t="n">
        <v>13.07</v>
      </c>
      <c r="Z712" s="11" t="n">
        <v>0</v>
      </c>
      <c r="AA712" s="11" t="n">
        <f aca="false">SUM(U712:Z712)</f>
        <v>137.398</v>
      </c>
      <c r="AB712" s="11" t="n">
        <v>1.14</v>
      </c>
      <c r="AC712" s="11" t="n">
        <v>0.38</v>
      </c>
      <c r="AD712" s="11" t="n">
        <v>2.28</v>
      </c>
      <c r="AE712" s="11" t="n">
        <v>30.982</v>
      </c>
      <c r="AF712" s="11" t="n">
        <v>3.581</v>
      </c>
      <c r="AG712" s="11" t="n">
        <v>0</v>
      </c>
      <c r="AH712" s="11" t="n">
        <f aca="false">SUM(AB712:AG712)</f>
        <v>38.363</v>
      </c>
      <c r="AI712" s="12" t="s">
        <v>955</v>
      </c>
    </row>
    <row r="713" customFormat="false" ht="15" hidden="false" customHeight="false" outlineLevel="0" collapsed="false">
      <c r="A713" s="8" t="s">
        <v>1527</v>
      </c>
      <c r="B713" s="9" t="s">
        <v>1528</v>
      </c>
      <c r="C713" s="8" t="s">
        <v>1525</v>
      </c>
      <c r="D713" s="12" t="s">
        <v>1526</v>
      </c>
      <c r="E713" s="10" t="str">
        <f aca="true">IFERROR(IF(INDEX(INDIRECT("'"&amp;$AI713&amp;"'!$E$2:$E$327"),MATCH($A713,INDIRECT("'"&amp;$AI713&amp;"'!$A$2:$A$327"),0))="","",INDEX(INDIRECT("'"&amp;$AI713&amp;"'!$E$2:$E$327"),MATCH($A713,INDIRECT("'"&amp;$AI713&amp;"'!$A$2:$A$327"),0))),"")</f>
        <v/>
      </c>
      <c r="F713" s="9" t="str">
        <f aca="false">IF($E713="","",IFERROR(INDEX(担当者マスタ!$B$2:$B$101,MATCH($E713,担当者マスタ!$A$2:$A$101,0)),"※マスタ未登録"))</f>
        <v/>
      </c>
      <c r="G713" s="11" t="n">
        <v>0</v>
      </c>
      <c r="H713" s="11" t="n">
        <v>0</v>
      </c>
      <c r="I713" s="11" t="n">
        <v>20.65</v>
      </c>
      <c r="J713" s="11" t="n">
        <v>0</v>
      </c>
      <c r="K713" s="11" t="n">
        <v>0</v>
      </c>
      <c r="L713" s="11" t="n">
        <v>0</v>
      </c>
      <c r="M713" s="11" t="n">
        <f aca="false">SUM(G713:L713)</f>
        <v>20.65</v>
      </c>
      <c r="N713" s="11" t="n">
        <v>0</v>
      </c>
      <c r="O713" s="11" t="n">
        <v>0</v>
      </c>
      <c r="P713" s="11" t="n">
        <v>6.915</v>
      </c>
      <c r="Q713" s="11" t="n">
        <v>0</v>
      </c>
      <c r="R713" s="11" t="n">
        <v>0</v>
      </c>
      <c r="S713" s="11" t="n">
        <v>0</v>
      </c>
      <c r="T713" s="11" t="n">
        <f aca="false">SUM(N713:S713)</f>
        <v>6.915</v>
      </c>
      <c r="U713" s="11" t="n">
        <v>0</v>
      </c>
      <c r="V713" s="11" t="n">
        <v>21.07</v>
      </c>
      <c r="W713" s="11" t="n">
        <v>0</v>
      </c>
      <c r="X713" s="11" t="n">
        <v>0</v>
      </c>
      <c r="Y713" s="11" t="n">
        <v>0</v>
      </c>
      <c r="Z713" s="11" t="n">
        <v>1.64</v>
      </c>
      <c r="AA713" s="11" t="n">
        <f aca="false">SUM(U713:Z713)</f>
        <v>22.71</v>
      </c>
      <c r="AB713" s="11" t="n">
        <v>0</v>
      </c>
      <c r="AC713" s="11" t="n">
        <v>8.78</v>
      </c>
      <c r="AD713" s="11" t="n">
        <v>0</v>
      </c>
      <c r="AE713" s="11" t="n">
        <v>0</v>
      </c>
      <c r="AF713" s="11" t="n">
        <v>0</v>
      </c>
      <c r="AG713" s="11" t="n">
        <v>0.116</v>
      </c>
      <c r="AH713" s="11" t="n">
        <f aca="false">SUM(AB713:AG713)</f>
        <v>8.896</v>
      </c>
      <c r="AI713" s="12" t="s">
        <v>955</v>
      </c>
    </row>
    <row r="714" customFormat="false" ht="15" hidden="false" customHeight="false" outlineLevel="0" collapsed="false">
      <c r="A714" s="8" t="s">
        <v>1529</v>
      </c>
      <c r="B714" s="9" t="s">
        <v>1530</v>
      </c>
      <c r="C714" s="8" t="s">
        <v>1525</v>
      </c>
      <c r="D714" s="12" t="s">
        <v>1526</v>
      </c>
      <c r="E714" s="10" t="str">
        <f aca="true">IFERROR(IF(INDEX(INDIRECT("'"&amp;$AI714&amp;"'!$E$2:$E$327"),MATCH($A714,INDIRECT("'"&amp;$AI714&amp;"'!$A$2:$A$327"),0))="","",INDEX(INDIRECT("'"&amp;$AI714&amp;"'!$E$2:$E$327"),MATCH($A714,INDIRECT("'"&amp;$AI714&amp;"'!$A$2:$A$327"),0))),"")</f>
        <v/>
      </c>
      <c r="F714" s="9" t="str">
        <f aca="false">IF($E714="","",IFERROR(INDEX(担当者マスタ!$B$2:$B$101,MATCH($E714,担当者マスタ!$A$2:$A$101,0)),"※マスタ未登録"))</f>
        <v/>
      </c>
      <c r="G714" s="11" t="n">
        <v>71.845</v>
      </c>
      <c r="H714" s="11" t="n">
        <v>31.296</v>
      </c>
      <c r="I714" s="11" t="n">
        <v>22.87</v>
      </c>
      <c r="J714" s="11" t="n">
        <v>17.019</v>
      </c>
      <c r="K714" s="11" t="n">
        <v>42.05</v>
      </c>
      <c r="L714" s="11" t="n">
        <v>52.317</v>
      </c>
      <c r="M714" s="11" t="n">
        <f aca="false">SUM(G714:L714)</f>
        <v>237.397</v>
      </c>
      <c r="N714" s="11" t="n">
        <v>9.174</v>
      </c>
      <c r="O714" s="11" t="n">
        <v>3.462</v>
      </c>
      <c r="P714" s="11" t="n">
        <v>2.52</v>
      </c>
      <c r="Q714" s="11" t="n">
        <v>1.874</v>
      </c>
      <c r="R714" s="11" t="n">
        <v>3.901</v>
      </c>
      <c r="S714" s="11" t="n">
        <v>6.087</v>
      </c>
      <c r="T714" s="11" t="n">
        <f aca="false">SUM(N714:S714)</f>
        <v>27.018</v>
      </c>
      <c r="U714" s="11" t="n">
        <v>51.501</v>
      </c>
      <c r="V714" s="11" t="n">
        <v>70.728</v>
      </c>
      <c r="W714" s="11" t="n">
        <v>93.364</v>
      </c>
      <c r="X714" s="11" t="n">
        <v>5.845</v>
      </c>
      <c r="Y714" s="11" t="n">
        <v>47.253</v>
      </c>
      <c r="Z714" s="11" t="n">
        <v>63.29</v>
      </c>
      <c r="AA714" s="11" t="n">
        <f aca="false">SUM(U714:Z714)</f>
        <v>331.981</v>
      </c>
      <c r="AB714" s="11" t="n">
        <v>4.821</v>
      </c>
      <c r="AC714" s="11" t="n">
        <v>7.805</v>
      </c>
      <c r="AD714" s="11" t="n">
        <v>10.462</v>
      </c>
      <c r="AE714" s="11" t="n">
        <v>0.644</v>
      </c>
      <c r="AF714" s="11" t="n">
        <v>5.231</v>
      </c>
      <c r="AG714" s="11" t="n">
        <v>6.261</v>
      </c>
      <c r="AH714" s="11" t="n">
        <f aca="false">SUM(AB714:AG714)</f>
        <v>35.224</v>
      </c>
      <c r="AI714" s="12" t="s">
        <v>955</v>
      </c>
    </row>
    <row r="715" customFormat="false" ht="15" hidden="false" customHeight="false" outlineLevel="0" collapsed="false">
      <c r="A715" s="8" t="s">
        <v>1531</v>
      </c>
      <c r="B715" s="12" t="s">
        <v>1532</v>
      </c>
      <c r="C715" s="8" t="s">
        <v>1525</v>
      </c>
      <c r="D715" s="12" t="s">
        <v>1526</v>
      </c>
      <c r="E715" s="10" t="str">
        <f aca="true">IFERROR(IF(INDEX(INDIRECT("'"&amp;$AI715&amp;"'!$E$2:$E$327"),MATCH($A715,INDIRECT("'"&amp;$AI715&amp;"'!$A$2:$A$327"),0))="","",INDEX(INDIRECT("'"&amp;$AI715&amp;"'!$E$2:$E$327"),MATCH($A715,INDIRECT("'"&amp;$AI715&amp;"'!$A$2:$A$327"),0))),"")</f>
        <v/>
      </c>
      <c r="F715" s="9" t="str">
        <f aca="false">IF($E715="","",IFERROR(INDEX(担当者マスタ!$B$2:$B$101,MATCH($E715,担当者マスタ!$A$2:$A$101,0)),"※マスタ未登録"))</f>
        <v/>
      </c>
      <c r="G715" s="11" t="n">
        <v>16.55</v>
      </c>
      <c r="H715" s="11" t="n">
        <v>31.9</v>
      </c>
      <c r="I715" s="11" t="n">
        <v>14.2</v>
      </c>
      <c r="J715" s="11" t="n">
        <v>9.8</v>
      </c>
      <c r="K715" s="11" t="n">
        <v>9.8</v>
      </c>
      <c r="L715" s="11" t="n">
        <v>21.25</v>
      </c>
      <c r="M715" s="11" t="n">
        <f aca="false">SUM(G715:L715)</f>
        <v>103.5</v>
      </c>
      <c r="N715" s="11" t="n">
        <v>6.85</v>
      </c>
      <c r="O715" s="11" t="n">
        <v>12.8</v>
      </c>
      <c r="P715" s="11" t="n">
        <v>5.52</v>
      </c>
      <c r="Q715" s="11" t="n">
        <v>3.52</v>
      </c>
      <c r="R715" s="11" t="n">
        <v>3.52</v>
      </c>
      <c r="S715" s="11" t="n">
        <v>7.79</v>
      </c>
      <c r="T715" s="11" t="n">
        <f aca="false">SUM(N715:S715)</f>
        <v>40</v>
      </c>
      <c r="U715" s="11" t="n">
        <v>12.55</v>
      </c>
      <c r="V715" s="11" t="n">
        <v>28.57</v>
      </c>
      <c r="W715" s="11" t="n">
        <v>11.45</v>
      </c>
      <c r="X715" s="11" t="n">
        <v>12.6</v>
      </c>
      <c r="Y715" s="11" t="n">
        <v>21.25</v>
      </c>
      <c r="Z715" s="11" t="n">
        <v>15.35</v>
      </c>
      <c r="AA715" s="11" t="n">
        <f aca="false">SUM(U715:Z715)</f>
        <v>101.77</v>
      </c>
      <c r="AB715" s="11" t="n">
        <v>4.77</v>
      </c>
      <c r="AC715" s="11" t="n">
        <v>11.345</v>
      </c>
      <c r="AD715" s="11" t="n">
        <v>4.27</v>
      </c>
      <c r="AE715" s="11" t="n">
        <v>5.06</v>
      </c>
      <c r="AF715" s="11" t="n">
        <v>7.79</v>
      </c>
      <c r="AG715" s="11" t="n">
        <v>5.98</v>
      </c>
      <c r="AH715" s="11" t="n">
        <f aca="false">SUM(AB715:AG715)</f>
        <v>39.215</v>
      </c>
      <c r="AI715" s="12" t="s">
        <v>955</v>
      </c>
    </row>
    <row r="716" customFormat="false" ht="15" hidden="false" customHeight="false" outlineLevel="0" collapsed="false">
      <c r="A716" s="8" t="s">
        <v>1533</v>
      </c>
      <c r="B716" s="9" t="s">
        <v>1534</v>
      </c>
      <c r="C716" s="8" t="s">
        <v>1525</v>
      </c>
      <c r="D716" s="12" t="s">
        <v>1526</v>
      </c>
      <c r="E716" s="10" t="str">
        <f aca="true">IFERROR(IF(INDEX(INDIRECT("'"&amp;$AI716&amp;"'!$E$2:$E$327"),MATCH($A716,INDIRECT("'"&amp;$AI716&amp;"'!$A$2:$A$327"),0))="","",INDEX(INDIRECT("'"&amp;$AI716&amp;"'!$E$2:$E$327"),MATCH($A716,INDIRECT("'"&amp;$AI716&amp;"'!$A$2:$A$327"),0))),"")</f>
        <v/>
      </c>
      <c r="F716" s="9" t="str">
        <f aca="false">IF($E716="","",IFERROR(INDEX(担当者マスタ!$B$2:$B$101,MATCH($E716,担当者マスタ!$A$2:$A$101,0)),"※マスタ未登録"))</f>
        <v/>
      </c>
      <c r="G716" s="11" t="n">
        <v>14.537</v>
      </c>
      <c r="H716" s="11" t="n">
        <v>8.419</v>
      </c>
      <c r="I716" s="11" t="n">
        <v>8.071</v>
      </c>
      <c r="J716" s="11" t="n">
        <v>23.587</v>
      </c>
      <c r="K716" s="11" t="n">
        <v>1.317</v>
      </c>
      <c r="L716" s="11" t="n">
        <v>15.27</v>
      </c>
      <c r="M716" s="11" t="n">
        <f aca="false">SUM(G716:L716)</f>
        <v>71.201</v>
      </c>
      <c r="N716" s="11" t="n">
        <v>4.537</v>
      </c>
      <c r="O716" s="11" t="n">
        <v>1.154</v>
      </c>
      <c r="P716" s="11" t="n">
        <v>1.533</v>
      </c>
      <c r="Q716" s="11" t="n">
        <v>5.364</v>
      </c>
      <c r="R716" s="11" t="n">
        <v>0.227</v>
      </c>
      <c r="S716" s="11" t="n">
        <v>4.137</v>
      </c>
      <c r="T716" s="11" t="n">
        <f aca="false">SUM(N716:S716)</f>
        <v>16.952</v>
      </c>
      <c r="U716" s="11" t="n">
        <v>18.637</v>
      </c>
      <c r="V716" s="11" t="n">
        <v>5.27</v>
      </c>
      <c r="W716" s="11" t="n">
        <v>14.802</v>
      </c>
      <c r="X716" s="11" t="n">
        <v>8.79</v>
      </c>
      <c r="Y716" s="11" t="n">
        <v>17.557</v>
      </c>
      <c r="Z716" s="11" t="n">
        <v>1.317</v>
      </c>
      <c r="AA716" s="11" t="n">
        <f aca="false">SUM(U716:Z716)</f>
        <v>66.373</v>
      </c>
      <c r="AB716" s="11" t="n">
        <v>3.777</v>
      </c>
      <c r="AC716" s="11" t="n">
        <v>0.662</v>
      </c>
      <c r="AD716" s="11" t="n">
        <v>2.776</v>
      </c>
      <c r="AE716" s="11" t="n">
        <v>1.708</v>
      </c>
      <c r="AF716" s="11" t="n">
        <v>3.669</v>
      </c>
      <c r="AG716" s="11" t="n">
        <v>0.165</v>
      </c>
      <c r="AH716" s="11" t="n">
        <f aca="false">SUM(AB716:AG716)</f>
        <v>12.757</v>
      </c>
      <c r="AI716" s="12" t="s">
        <v>955</v>
      </c>
    </row>
    <row r="717" customFormat="false" ht="15" hidden="false" customHeight="false" outlineLevel="0" collapsed="false">
      <c r="A717" s="8" t="s">
        <v>1535</v>
      </c>
      <c r="B717" s="12" t="s">
        <v>1536</v>
      </c>
      <c r="C717" s="8" t="s">
        <v>1525</v>
      </c>
      <c r="D717" s="12" t="s">
        <v>1526</v>
      </c>
      <c r="E717" s="10" t="str">
        <f aca="true">IFERROR(IF(INDEX(INDIRECT("'"&amp;$AI717&amp;"'!$E$2:$E$327"),MATCH($A717,INDIRECT("'"&amp;$AI717&amp;"'!$A$2:$A$327"),0))="","",INDEX(INDIRECT("'"&amp;$AI717&amp;"'!$E$2:$E$327"),MATCH($A717,INDIRECT("'"&amp;$AI717&amp;"'!$A$2:$A$327"),0))),"")</f>
        <v/>
      </c>
      <c r="F717" s="9" t="str">
        <f aca="false">IF($E717="","",IFERROR(INDEX(担当者マスタ!$B$2:$B$101,MATCH($E717,担当者マスタ!$A$2:$A$101,0)),"※マスタ未登録"))</f>
        <v/>
      </c>
      <c r="G717" s="11" t="n">
        <v>0</v>
      </c>
      <c r="H717" s="11" t="n">
        <v>0</v>
      </c>
      <c r="I717" s="11" t="n">
        <v>53.95</v>
      </c>
      <c r="J717" s="11" t="n">
        <v>0</v>
      </c>
      <c r="K717" s="11" t="n">
        <v>0</v>
      </c>
      <c r="L717" s="11" t="n">
        <v>0</v>
      </c>
      <c r="M717" s="11" t="n">
        <f aca="false">SUM(G717:L717)</f>
        <v>53.95</v>
      </c>
      <c r="N717" s="11" t="n">
        <v>0</v>
      </c>
      <c r="O717" s="11" t="n">
        <v>0</v>
      </c>
      <c r="P717" s="11" t="n">
        <v>5.95</v>
      </c>
      <c r="Q717" s="11" t="n">
        <v>0</v>
      </c>
      <c r="R717" s="11" t="n">
        <v>0</v>
      </c>
      <c r="S717" s="11" t="n">
        <v>0</v>
      </c>
      <c r="T717" s="11" t="n">
        <f aca="false">SUM(N717:S717)</f>
        <v>5.95</v>
      </c>
      <c r="U717" s="11" t="n">
        <v>53.95</v>
      </c>
      <c r="V717" s="11" t="n">
        <v>0</v>
      </c>
      <c r="W717" s="11" t="n">
        <v>0</v>
      </c>
      <c r="X717" s="11" t="n">
        <v>0</v>
      </c>
      <c r="Y717" s="11" t="n">
        <v>0</v>
      </c>
      <c r="Z717" s="11" t="n">
        <v>0</v>
      </c>
      <c r="AA717" s="11" t="n">
        <f aca="false">SUM(U717:Z717)</f>
        <v>53.95</v>
      </c>
      <c r="AB717" s="11" t="n">
        <v>5.95</v>
      </c>
      <c r="AC717" s="11" t="n">
        <v>0</v>
      </c>
      <c r="AD717" s="11" t="n">
        <v>0</v>
      </c>
      <c r="AE717" s="11" t="n">
        <v>0</v>
      </c>
      <c r="AF717" s="11" t="n">
        <v>0</v>
      </c>
      <c r="AG717" s="11" t="n">
        <v>0</v>
      </c>
      <c r="AH717" s="11" t="n">
        <f aca="false">SUM(AB717:AG717)</f>
        <v>5.95</v>
      </c>
      <c r="AI717" s="12" t="s">
        <v>955</v>
      </c>
    </row>
    <row r="718" customFormat="false" ht="15" hidden="false" customHeight="false" outlineLevel="0" collapsed="false">
      <c r="A718" s="8" t="s">
        <v>1537</v>
      </c>
      <c r="B718" s="12" t="s">
        <v>1538</v>
      </c>
      <c r="C718" s="8" t="s">
        <v>1525</v>
      </c>
      <c r="D718" s="12" t="s">
        <v>1526</v>
      </c>
      <c r="E718" s="10" t="str">
        <f aca="true">IFERROR(IF(INDEX(INDIRECT("'"&amp;$AI718&amp;"'!$E$2:$E$327"),MATCH($A718,INDIRECT("'"&amp;$AI718&amp;"'!$A$2:$A$327"),0))="","",INDEX(INDIRECT("'"&amp;$AI718&amp;"'!$E$2:$E$327"),MATCH($A718,INDIRECT("'"&amp;$AI718&amp;"'!$A$2:$A$327"),0))),"")</f>
        <v/>
      </c>
      <c r="F718" s="9" t="str">
        <f aca="false">IF($E718="","",IFERROR(INDEX(担当者マスタ!$B$2:$B$101,MATCH($E718,担当者マスタ!$A$2:$A$101,0)),"※マスタ未登録"))</f>
        <v/>
      </c>
      <c r="G718" s="11" t="n">
        <v>10.45</v>
      </c>
      <c r="H718" s="11" t="n">
        <v>7.6</v>
      </c>
      <c r="I718" s="11" t="n">
        <v>3.8</v>
      </c>
      <c r="J718" s="11" t="n">
        <v>2.85</v>
      </c>
      <c r="K718" s="11" t="n">
        <v>4.4</v>
      </c>
      <c r="L718" s="11" t="n">
        <v>13.385</v>
      </c>
      <c r="M718" s="11" t="n">
        <f aca="false">SUM(G718:L718)</f>
        <v>42.485</v>
      </c>
      <c r="N718" s="11" t="n">
        <v>2.589</v>
      </c>
      <c r="O718" s="11" t="n">
        <v>1.984</v>
      </c>
      <c r="P718" s="11" t="n">
        <v>0.992</v>
      </c>
      <c r="Q718" s="11" t="n">
        <v>0.605</v>
      </c>
      <c r="R718" s="11" t="n">
        <v>1.9</v>
      </c>
      <c r="S718" s="11" t="n">
        <v>3.695</v>
      </c>
      <c r="T718" s="11" t="n">
        <f aca="false">SUM(N718:S718)</f>
        <v>11.765</v>
      </c>
      <c r="U718" s="11" t="n">
        <v>11.9</v>
      </c>
      <c r="V718" s="11" t="n">
        <v>16.2</v>
      </c>
      <c r="W718" s="11" t="n">
        <v>4.3</v>
      </c>
      <c r="X718" s="11" t="n">
        <v>14</v>
      </c>
      <c r="Y718" s="11" t="n">
        <v>4.3</v>
      </c>
      <c r="Z718" s="11" t="n">
        <v>17.175</v>
      </c>
      <c r="AA718" s="11" t="n">
        <f aca="false">SUM(U718:Z718)</f>
        <v>67.875</v>
      </c>
      <c r="AB718" s="11" t="n">
        <v>3.464</v>
      </c>
      <c r="AC718" s="11" t="n">
        <v>4.944</v>
      </c>
      <c r="AD718" s="11" t="n">
        <v>1.48</v>
      </c>
      <c r="AE718" s="11" t="n">
        <v>4.184</v>
      </c>
      <c r="AF718" s="11" t="n">
        <v>1.48</v>
      </c>
      <c r="AG718" s="11" t="n">
        <v>4.77</v>
      </c>
      <c r="AH718" s="11" t="n">
        <f aca="false">SUM(AB718:AG718)</f>
        <v>20.322</v>
      </c>
      <c r="AI718" s="12" t="s">
        <v>955</v>
      </c>
    </row>
    <row r="719" customFormat="false" ht="15" hidden="false" customHeight="false" outlineLevel="0" collapsed="false">
      <c r="A719" s="8" t="s">
        <v>1539</v>
      </c>
      <c r="B719" s="12" t="s">
        <v>1540</v>
      </c>
      <c r="C719" s="8" t="s">
        <v>1525</v>
      </c>
      <c r="D719" s="12" t="s">
        <v>1526</v>
      </c>
      <c r="E719" s="10" t="str">
        <f aca="true">IFERROR(IF(INDEX(INDIRECT("'"&amp;$AI719&amp;"'!$E$2:$E$327"),MATCH($A719,INDIRECT("'"&amp;$AI719&amp;"'!$A$2:$A$327"),0))="","",INDEX(INDIRECT("'"&amp;$AI719&amp;"'!$E$2:$E$327"),MATCH($A719,INDIRECT("'"&amp;$AI719&amp;"'!$A$2:$A$327"),0))),"")</f>
        <v/>
      </c>
      <c r="F719" s="9" t="str">
        <f aca="false">IF($E719="","",IFERROR(INDEX(担当者マスタ!$B$2:$B$101,MATCH($E719,担当者マスタ!$A$2:$A$101,0)),"※マスタ未登録"))</f>
        <v/>
      </c>
      <c r="G719" s="11" t="n">
        <v>0</v>
      </c>
      <c r="H719" s="11" t="n">
        <v>18.56</v>
      </c>
      <c r="I719" s="11" t="n">
        <v>18.56</v>
      </c>
      <c r="J719" s="11" t="n">
        <v>0</v>
      </c>
      <c r="K719" s="11" t="n">
        <v>0</v>
      </c>
      <c r="L719" s="11" t="n">
        <v>0</v>
      </c>
      <c r="M719" s="11" t="n">
        <f aca="false">SUM(G719:L719)</f>
        <v>37.12</v>
      </c>
      <c r="N719" s="11" t="n">
        <v>0</v>
      </c>
      <c r="O719" s="11" t="n">
        <v>1.952</v>
      </c>
      <c r="P719" s="11" t="n">
        <v>1.952</v>
      </c>
      <c r="Q719" s="11" t="n">
        <v>0</v>
      </c>
      <c r="R719" s="11" t="n">
        <v>0</v>
      </c>
      <c r="S719" s="11" t="n">
        <v>0</v>
      </c>
      <c r="T719" s="11" t="n">
        <f aca="false">SUM(N719:S719)</f>
        <v>3.904</v>
      </c>
      <c r="U719" s="11" t="n">
        <v>20.56</v>
      </c>
      <c r="V719" s="11" t="n">
        <v>0</v>
      </c>
      <c r="W719" s="11" t="n">
        <v>0</v>
      </c>
      <c r="X719" s="11" t="n">
        <v>0</v>
      </c>
      <c r="Y719" s="11" t="n">
        <v>0</v>
      </c>
      <c r="Z719" s="11" t="n">
        <v>0</v>
      </c>
      <c r="AA719" s="11" t="n">
        <f aca="false">SUM(U719:Z719)</f>
        <v>20.56</v>
      </c>
      <c r="AB719" s="11" t="n">
        <v>3.952</v>
      </c>
      <c r="AC719" s="11" t="n">
        <v>0</v>
      </c>
      <c r="AD719" s="11" t="n">
        <v>0</v>
      </c>
      <c r="AE719" s="11" t="n">
        <v>0</v>
      </c>
      <c r="AF719" s="11" t="n">
        <v>0</v>
      </c>
      <c r="AG719" s="11" t="n">
        <v>0</v>
      </c>
      <c r="AH719" s="11" t="n">
        <f aca="false">SUM(AB719:AG719)</f>
        <v>3.952</v>
      </c>
      <c r="AI719" s="12" t="s">
        <v>955</v>
      </c>
    </row>
    <row r="720" customFormat="false" ht="15" hidden="false" customHeight="false" outlineLevel="0" collapsed="false">
      <c r="A720" s="8" t="s">
        <v>1541</v>
      </c>
      <c r="B720" s="12" t="s">
        <v>1542</v>
      </c>
      <c r="C720" s="8" t="s">
        <v>1525</v>
      </c>
      <c r="D720" s="12" t="s">
        <v>1526</v>
      </c>
      <c r="E720" s="10" t="str">
        <f aca="true">IFERROR(IF(INDEX(INDIRECT("'"&amp;$AI720&amp;"'!$E$2:$E$327"),MATCH($A720,INDIRECT("'"&amp;$AI720&amp;"'!$A$2:$A$327"),0))="","",INDEX(INDIRECT("'"&amp;$AI720&amp;"'!$E$2:$E$327"),MATCH($A720,INDIRECT("'"&amp;$AI720&amp;"'!$A$2:$A$327"),0))),"")</f>
        <v/>
      </c>
      <c r="F720" s="9" t="str">
        <f aca="false">IF($E720="","",IFERROR(INDEX(担当者マスタ!$B$2:$B$101,MATCH($E720,担当者マスタ!$A$2:$A$101,0)),"※マスタ未登録"))</f>
        <v/>
      </c>
      <c r="G720" s="11" t="n">
        <v>44.06</v>
      </c>
      <c r="H720" s="11" t="n">
        <v>65.12</v>
      </c>
      <c r="I720" s="11" t="n">
        <v>433.5</v>
      </c>
      <c r="J720" s="11" t="n">
        <v>28.3</v>
      </c>
      <c r="K720" s="11" t="n">
        <v>69.925</v>
      </c>
      <c r="L720" s="11" t="n">
        <v>160</v>
      </c>
      <c r="M720" s="11" t="n">
        <f aca="false">SUM(G720:L720)</f>
        <v>800.905</v>
      </c>
      <c r="N720" s="11" t="n">
        <v>8.42</v>
      </c>
      <c r="O720" s="11" t="n">
        <v>13.324</v>
      </c>
      <c r="P720" s="11" t="n">
        <v>72.872</v>
      </c>
      <c r="Q720" s="11" t="n">
        <v>5.44</v>
      </c>
      <c r="R720" s="11" t="n">
        <v>15.225</v>
      </c>
      <c r="S720" s="11" t="n">
        <v>43.5</v>
      </c>
      <c r="T720" s="11" t="n">
        <f aca="false">SUM(N720:S720)</f>
        <v>158.781</v>
      </c>
      <c r="U720" s="11" t="n">
        <v>474.03</v>
      </c>
      <c r="V720" s="11" t="n">
        <v>846.55</v>
      </c>
      <c r="W720" s="11" t="n">
        <v>28.61</v>
      </c>
      <c r="X720" s="11" t="n">
        <v>62.57</v>
      </c>
      <c r="Y720" s="11" t="n">
        <v>323.7</v>
      </c>
      <c r="Z720" s="11" t="n">
        <v>282.2</v>
      </c>
      <c r="AA720" s="11" t="n">
        <f aca="false">SUM(U720:Z720)</f>
        <v>2017.66</v>
      </c>
      <c r="AB720" s="11" t="n">
        <v>101.17</v>
      </c>
      <c r="AC720" s="11" t="n">
        <v>166.205</v>
      </c>
      <c r="AD720" s="11" t="n">
        <v>19.595</v>
      </c>
      <c r="AE720" s="11" t="n">
        <v>17.07</v>
      </c>
      <c r="AF720" s="11" t="n">
        <v>63.345</v>
      </c>
      <c r="AG720" s="11" t="n">
        <v>51.05</v>
      </c>
      <c r="AH720" s="11" t="n">
        <f aca="false">SUM(AB720:AG720)</f>
        <v>418.435</v>
      </c>
      <c r="AI720" s="12" t="s">
        <v>955</v>
      </c>
    </row>
    <row r="721" customFormat="false" ht="15" hidden="false" customHeight="false" outlineLevel="0" collapsed="false">
      <c r="A721" s="8" t="s">
        <v>1543</v>
      </c>
      <c r="B721" s="12" t="s">
        <v>1544</v>
      </c>
      <c r="C721" s="8" t="s">
        <v>1525</v>
      </c>
      <c r="D721" s="12" t="s">
        <v>1526</v>
      </c>
      <c r="E721" s="10" t="str">
        <f aca="true">IFERROR(IF(INDEX(INDIRECT("'"&amp;$AI721&amp;"'!$E$2:$E$327"),MATCH($A721,INDIRECT("'"&amp;$AI721&amp;"'!$A$2:$A$327"),0))="","",INDEX(INDIRECT("'"&amp;$AI721&amp;"'!$E$2:$E$327"),MATCH($A721,INDIRECT("'"&amp;$AI721&amp;"'!$A$2:$A$327"),0))),"")</f>
        <v/>
      </c>
      <c r="F721" s="9" t="str">
        <f aca="false">IF($E721="","",IFERROR(INDEX(担当者マスタ!$B$2:$B$101,MATCH($E721,担当者マスタ!$A$2:$A$101,0)),"※マスタ未登録"))</f>
        <v/>
      </c>
      <c r="G721" s="11" t="n">
        <v>11</v>
      </c>
      <c r="H721" s="11" t="n">
        <v>85.78</v>
      </c>
      <c r="I721" s="11" t="n">
        <v>20.52</v>
      </c>
      <c r="J721" s="11" t="n">
        <v>21.26</v>
      </c>
      <c r="K721" s="11" t="n">
        <v>11</v>
      </c>
      <c r="L721" s="11" t="n">
        <v>37.885</v>
      </c>
      <c r="M721" s="11" t="n">
        <f aca="false">SUM(G721:L721)</f>
        <v>187.445</v>
      </c>
      <c r="N721" s="11" t="n">
        <v>1.5</v>
      </c>
      <c r="O721" s="11" t="n">
        <v>12.9</v>
      </c>
      <c r="P721" s="11" t="n">
        <v>3.6</v>
      </c>
      <c r="Q721" s="11" t="n">
        <v>3.3</v>
      </c>
      <c r="R721" s="11" t="n">
        <v>1.5</v>
      </c>
      <c r="S721" s="11" t="n">
        <v>6.275</v>
      </c>
      <c r="T721" s="11" t="n">
        <f aca="false">SUM(N721:S721)</f>
        <v>29.075</v>
      </c>
      <c r="U721" s="11" t="n">
        <v>37.4</v>
      </c>
      <c r="V721" s="11" t="n">
        <v>66</v>
      </c>
      <c r="W721" s="11" t="n">
        <v>0</v>
      </c>
      <c r="X721" s="11" t="n">
        <v>22</v>
      </c>
      <c r="Y721" s="11" t="n">
        <v>55</v>
      </c>
      <c r="Z721" s="11" t="n">
        <v>7.416</v>
      </c>
      <c r="AA721" s="11" t="n">
        <f aca="false">SUM(U721:Z721)</f>
        <v>187.816</v>
      </c>
      <c r="AB721" s="11" t="n">
        <v>5.82</v>
      </c>
      <c r="AC721" s="11" t="n">
        <v>9</v>
      </c>
      <c r="AD721" s="11" t="n">
        <v>0</v>
      </c>
      <c r="AE721" s="11" t="n">
        <v>3</v>
      </c>
      <c r="AF721" s="11" t="n">
        <v>7.5</v>
      </c>
      <c r="AG721" s="11" t="n">
        <v>1.123</v>
      </c>
      <c r="AH721" s="11" t="n">
        <f aca="false">SUM(AB721:AG721)</f>
        <v>26.443</v>
      </c>
      <c r="AI721" s="12" t="s">
        <v>955</v>
      </c>
    </row>
    <row r="722" customFormat="false" ht="15" hidden="false" customHeight="false" outlineLevel="0" collapsed="false">
      <c r="A722" s="8" t="s">
        <v>1545</v>
      </c>
      <c r="B722" s="12" t="s">
        <v>1546</v>
      </c>
      <c r="C722" s="8" t="s">
        <v>1525</v>
      </c>
      <c r="D722" s="12" t="s">
        <v>1526</v>
      </c>
      <c r="E722" s="10" t="str">
        <f aca="true">IFERROR(IF(INDEX(INDIRECT("'"&amp;$AI722&amp;"'!$E$2:$E$327"),MATCH($A722,INDIRECT("'"&amp;$AI722&amp;"'!$A$2:$A$327"),0))="","",INDEX(INDIRECT("'"&amp;$AI722&amp;"'!$E$2:$E$327"),MATCH($A722,INDIRECT("'"&amp;$AI722&amp;"'!$A$2:$A$327"),0))),"")</f>
        <v/>
      </c>
      <c r="F722" s="9" t="str">
        <f aca="false">IF($E722="","",IFERROR(INDEX(担当者マスタ!$B$2:$B$101,MATCH($E722,担当者マスタ!$A$2:$A$101,0)),"※マスタ未登録"))</f>
        <v/>
      </c>
      <c r="G722" s="11" t="n">
        <v>0</v>
      </c>
      <c r="H722" s="11" t="n">
        <v>0</v>
      </c>
      <c r="I722" s="11" t="n">
        <v>26.36</v>
      </c>
      <c r="J722" s="11" t="n">
        <v>15.45</v>
      </c>
      <c r="K722" s="11" t="n">
        <v>14.214</v>
      </c>
      <c r="L722" s="11" t="n">
        <v>0</v>
      </c>
      <c r="M722" s="11" t="n">
        <f aca="false">SUM(G722:L722)</f>
        <v>56.024</v>
      </c>
      <c r="N722" s="11" t="n">
        <v>0</v>
      </c>
      <c r="O722" s="11" t="n">
        <v>0</v>
      </c>
      <c r="P722" s="11" t="n">
        <v>10.2</v>
      </c>
      <c r="Q722" s="11" t="n">
        <v>7.65</v>
      </c>
      <c r="R722" s="11" t="n">
        <v>7.038</v>
      </c>
      <c r="S722" s="11" t="n">
        <v>0</v>
      </c>
      <c r="T722" s="11" t="n">
        <f aca="false">SUM(N722:S722)</f>
        <v>24.888</v>
      </c>
      <c r="U722" s="11" t="n">
        <v>22.45</v>
      </c>
      <c r="V722" s="11" t="n">
        <v>0</v>
      </c>
      <c r="W722" s="11" t="n">
        <v>0</v>
      </c>
      <c r="X722" s="11" t="n">
        <v>22.45</v>
      </c>
      <c r="Y722" s="11" t="n">
        <v>15.45</v>
      </c>
      <c r="Z722" s="11" t="n">
        <v>0</v>
      </c>
      <c r="AA722" s="11" t="n">
        <f aca="false">SUM(U722:Z722)</f>
        <v>60.35</v>
      </c>
      <c r="AB722" s="11" t="n">
        <v>8.99</v>
      </c>
      <c r="AC722" s="11" t="n">
        <v>0</v>
      </c>
      <c r="AD722" s="11" t="n">
        <v>0</v>
      </c>
      <c r="AE722" s="11" t="n">
        <v>8.99</v>
      </c>
      <c r="AF722" s="11" t="n">
        <v>6.95</v>
      </c>
      <c r="AG722" s="11" t="n">
        <v>0</v>
      </c>
      <c r="AH722" s="11" t="n">
        <f aca="false">SUM(AB722:AG722)</f>
        <v>24.93</v>
      </c>
      <c r="AI722" s="12" t="s">
        <v>955</v>
      </c>
    </row>
    <row r="723" customFormat="false" ht="15" hidden="false" customHeight="false" outlineLevel="0" collapsed="false">
      <c r="A723" s="8" t="s">
        <v>1547</v>
      </c>
      <c r="B723" s="12" t="s">
        <v>1548</v>
      </c>
      <c r="C723" s="8" t="s">
        <v>1525</v>
      </c>
      <c r="D723" s="12" t="s">
        <v>1526</v>
      </c>
      <c r="E723" s="10" t="str">
        <f aca="true">IFERROR(IF(INDEX(INDIRECT("'"&amp;$AI723&amp;"'!$E$2:$E$327"),MATCH($A723,INDIRECT("'"&amp;$AI723&amp;"'!$A$2:$A$327"),0))="","",INDEX(INDIRECT("'"&amp;$AI723&amp;"'!$E$2:$E$327"),MATCH($A723,INDIRECT("'"&amp;$AI723&amp;"'!$A$2:$A$327"),0))),"")</f>
        <v/>
      </c>
      <c r="F723" s="9" t="str">
        <f aca="false">IF($E723="","",IFERROR(INDEX(担当者マスタ!$B$2:$B$101,MATCH($E723,担当者マスタ!$A$2:$A$101,0)),"※マスタ未登録"))</f>
        <v/>
      </c>
      <c r="G723" s="11" t="n">
        <v>0</v>
      </c>
      <c r="H723" s="11" t="n">
        <v>0</v>
      </c>
      <c r="I723" s="11" t="n">
        <v>74.4</v>
      </c>
      <c r="J723" s="11" t="n">
        <v>0</v>
      </c>
      <c r="K723" s="11" t="n">
        <v>32.8</v>
      </c>
      <c r="L723" s="11" t="n">
        <v>0</v>
      </c>
      <c r="M723" s="11" t="n">
        <f aca="false">SUM(G723:L723)</f>
        <v>107.2</v>
      </c>
      <c r="N723" s="11" t="n">
        <v>0</v>
      </c>
      <c r="O723" s="11" t="n">
        <v>0</v>
      </c>
      <c r="P723" s="11" t="n">
        <v>13.5</v>
      </c>
      <c r="Q723" s="11" t="n">
        <v>0</v>
      </c>
      <c r="R723" s="11" t="n">
        <v>6.32</v>
      </c>
      <c r="S723" s="11" t="n">
        <v>0</v>
      </c>
      <c r="T723" s="11" t="n">
        <f aca="false">SUM(N723:S723)</f>
        <v>19.82</v>
      </c>
      <c r="U723" s="11" t="n">
        <v>0</v>
      </c>
      <c r="V723" s="11" t="n">
        <v>0</v>
      </c>
      <c r="W723" s="11" t="n">
        <v>29.82</v>
      </c>
      <c r="X723" s="11" t="n">
        <v>0</v>
      </c>
      <c r="Y723" s="11" t="n">
        <v>0</v>
      </c>
      <c r="Z723" s="11" t="n">
        <v>0</v>
      </c>
      <c r="AA723" s="11" t="n">
        <f aca="false">SUM(U723:Z723)</f>
        <v>29.82</v>
      </c>
      <c r="AB723" s="11" t="n">
        <v>0</v>
      </c>
      <c r="AC723" s="11" t="n">
        <v>0</v>
      </c>
      <c r="AD723" s="11" t="n">
        <v>5.22</v>
      </c>
      <c r="AE723" s="11" t="n">
        <v>0</v>
      </c>
      <c r="AF723" s="11" t="n">
        <v>0</v>
      </c>
      <c r="AG723" s="11" t="n">
        <v>0</v>
      </c>
      <c r="AH723" s="11" t="n">
        <f aca="false">SUM(AB723:AG723)</f>
        <v>5.22</v>
      </c>
      <c r="AI723" s="12" t="s">
        <v>955</v>
      </c>
    </row>
    <row r="724" customFormat="false" ht="15" hidden="false" customHeight="false" outlineLevel="0" collapsed="false">
      <c r="A724" s="8" t="s">
        <v>1549</v>
      </c>
      <c r="B724" s="12" t="s">
        <v>1550</v>
      </c>
      <c r="C724" s="8" t="s">
        <v>1525</v>
      </c>
      <c r="D724" s="12" t="s">
        <v>1526</v>
      </c>
      <c r="E724" s="10" t="str">
        <f aca="true">IFERROR(IF(INDEX(INDIRECT("'"&amp;$AI724&amp;"'!$E$2:$E$327"),MATCH($A724,INDIRECT("'"&amp;$AI724&amp;"'!$A$2:$A$327"),0))="","",INDEX(INDIRECT("'"&amp;$AI724&amp;"'!$E$2:$E$327"),MATCH($A724,INDIRECT("'"&amp;$AI724&amp;"'!$A$2:$A$327"),0))),"")</f>
        <v/>
      </c>
      <c r="F724" s="9" t="str">
        <f aca="false">IF($E724="","",IFERROR(INDEX(担当者マスタ!$B$2:$B$101,MATCH($E724,担当者マスタ!$A$2:$A$101,0)),"※マスタ未登録"))</f>
        <v/>
      </c>
      <c r="G724" s="11" t="n">
        <v>0</v>
      </c>
      <c r="H724" s="11" t="n">
        <v>0</v>
      </c>
      <c r="I724" s="11" t="n">
        <v>88.5</v>
      </c>
      <c r="J724" s="11" t="n">
        <v>88.5</v>
      </c>
      <c r="K724" s="11" t="n">
        <v>0</v>
      </c>
      <c r="L724" s="11" t="n">
        <v>0</v>
      </c>
      <c r="M724" s="11" t="n">
        <f aca="false">SUM(G724:L724)</f>
        <v>177</v>
      </c>
      <c r="N724" s="11" t="n">
        <v>0</v>
      </c>
      <c r="O724" s="11" t="n">
        <v>0</v>
      </c>
      <c r="P724" s="11" t="n">
        <v>12</v>
      </c>
      <c r="Q724" s="11" t="n">
        <v>12</v>
      </c>
      <c r="R724" s="11" t="n">
        <v>0</v>
      </c>
      <c r="S724" s="11" t="n">
        <v>0</v>
      </c>
      <c r="T724" s="11" t="n">
        <f aca="false">SUM(N724:S724)</f>
        <v>24</v>
      </c>
      <c r="U724" s="11" t="n">
        <v>0</v>
      </c>
      <c r="V724" s="11" t="n">
        <v>0</v>
      </c>
      <c r="W724" s="11" t="n">
        <v>0</v>
      </c>
      <c r="X724" s="11" t="n">
        <v>88.5</v>
      </c>
      <c r="Y724" s="11" t="n">
        <v>0</v>
      </c>
      <c r="Z724" s="11" t="n">
        <v>88.5</v>
      </c>
      <c r="AA724" s="11" t="n">
        <f aca="false">SUM(U724:Z724)</f>
        <v>177</v>
      </c>
      <c r="AB724" s="11" t="n">
        <v>0</v>
      </c>
      <c r="AC724" s="11" t="n">
        <v>0</v>
      </c>
      <c r="AD724" s="11" t="n">
        <v>0</v>
      </c>
      <c r="AE724" s="11" t="n">
        <v>12</v>
      </c>
      <c r="AF724" s="11" t="n">
        <v>0</v>
      </c>
      <c r="AG724" s="11" t="n">
        <v>12</v>
      </c>
      <c r="AH724" s="11" t="n">
        <f aca="false">SUM(AB724:AG724)</f>
        <v>24</v>
      </c>
      <c r="AI724" s="12" t="s">
        <v>955</v>
      </c>
    </row>
    <row r="725" customFormat="false" ht="15" hidden="false" customHeight="false" outlineLevel="0" collapsed="false">
      <c r="A725" s="8" t="s">
        <v>1551</v>
      </c>
      <c r="B725" s="12" t="s">
        <v>1552</v>
      </c>
      <c r="C725" s="8" t="s">
        <v>1525</v>
      </c>
      <c r="D725" s="12" t="s">
        <v>1526</v>
      </c>
      <c r="E725" s="10" t="str">
        <f aca="true">IFERROR(IF(INDEX(INDIRECT("'"&amp;$AI725&amp;"'!$E$2:$E$327"),MATCH($A725,INDIRECT("'"&amp;$AI725&amp;"'!$A$2:$A$327"),0))="","",INDEX(INDIRECT("'"&amp;$AI725&amp;"'!$E$2:$E$327"),MATCH($A725,INDIRECT("'"&amp;$AI725&amp;"'!$A$2:$A$327"),0))),"")</f>
        <v/>
      </c>
      <c r="F725" s="9" t="str">
        <f aca="false">IF($E725="","",IFERROR(INDEX(担当者マスタ!$B$2:$B$101,MATCH($E725,担当者マスタ!$A$2:$A$101,0)),"※マスタ未登録"))</f>
        <v/>
      </c>
      <c r="G725" s="11" t="n">
        <v>405.4</v>
      </c>
      <c r="H725" s="11" t="n">
        <v>148.02</v>
      </c>
      <c r="I725" s="11" t="n">
        <v>142.255</v>
      </c>
      <c r="J725" s="11" t="n">
        <v>69.5</v>
      </c>
      <c r="K725" s="11" t="n">
        <v>221.4</v>
      </c>
      <c r="L725" s="11" t="n">
        <v>1604.23</v>
      </c>
      <c r="M725" s="11" t="n">
        <f aca="false">SUM(G725:L725)</f>
        <v>2590.805</v>
      </c>
      <c r="N725" s="11" t="n">
        <v>114.711</v>
      </c>
      <c r="O725" s="11" t="n">
        <v>50.917</v>
      </c>
      <c r="P725" s="11" t="n">
        <v>30.125</v>
      </c>
      <c r="Q725" s="11" t="n">
        <v>14.415</v>
      </c>
      <c r="R725" s="11" t="n">
        <v>44.08</v>
      </c>
      <c r="S725" s="11" t="n">
        <v>218.703</v>
      </c>
      <c r="T725" s="11" t="n">
        <f aca="false">SUM(N725:S725)</f>
        <v>472.951</v>
      </c>
      <c r="U725" s="11" t="n">
        <v>141.2</v>
      </c>
      <c r="V725" s="11" t="n">
        <v>131.94</v>
      </c>
      <c r="W725" s="11" t="n">
        <v>149.82</v>
      </c>
      <c r="X725" s="11" t="n">
        <v>1662.49</v>
      </c>
      <c r="Y725" s="11" t="n">
        <v>81.22</v>
      </c>
      <c r="Z725" s="11" t="n">
        <v>94.46</v>
      </c>
      <c r="AA725" s="11" t="n">
        <f aca="false">SUM(U725:Z725)</f>
        <v>2261.13</v>
      </c>
      <c r="AB725" s="11" t="n">
        <v>29.642</v>
      </c>
      <c r="AC725" s="11" t="n">
        <v>37.133</v>
      </c>
      <c r="AD725" s="11" t="n">
        <v>26.92</v>
      </c>
      <c r="AE725" s="11" t="n">
        <v>175.322</v>
      </c>
      <c r="AF725" s="11" t="n">
        <v>23.34</v>
      </c>
      <c r="AG725" s="11" t="n">
        <v>33.91</v>
      </c>
      <c r="AH725" s="11" t="n">
        <f aca="false">SUM(AB725:AG725)</f>
        <v>326.267</v>
      </c>
      <c r="AI725" s="12" t="s">
        <v>955</v>
      </c>
    </row>
    <row r="726" customFormat="false" ht="15" hidden="false" customHeight="false" outlineLevel="0" collapsed="false">
      <c r="A726" s="8" t="s">
        <v>1553</v>
      </c>
      <c r="B726" s="12" t="s">
        <v>1554</v>
      </c>
      <c r="C726" s="8" t="s">
        <v>1525</v>
      </c>
      <c r="D726" s="12" t="s">
        <v>1526</v>
      </c>
      <c r="E726" s="10" t="str">
        <f aca="true">IFERROR(IF(INDEX(INDIRECT("'"&amp;$AI726&amp;"'!$E$2:$E$327"),MATCH($A726,INDIRECT("'"&amp;$AI726&amp;"'!$A$2:$A$327"),0))="","",INDEX(INDIRECT("'"&amp;$AI726&amp;"'!$E$2:$E$327"),MATCH($A726,INDIRECT("'"&amp;$AI726&amp;"'!$A$2:$A$327"),0))),"")</f>
        <v/>
      </c>
      <c r="F726" s="9" t="str">
        <f aca="false">IF($E726="","",IFERROR(INDEX(担当者マスタ!$B$2:$B$101,MATCH($E726,担当者マスタ!$A$2:$A$101,0)),"※マスタ未登録"))</f>
        <v/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5550</v>
      </c>
      <c r="M726" s="11" t="n">
        <f aca="false">SUM(G726:L726)</f>
        <v>5550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1050</v>
      </c>
      <c r="T726" s="11" t="n">
        <f aca="false">SUM(N726:S726)</f>
        <v>1050</v>
      </c>
      <c r="U726" s="11" t="n">
        <v>0</v>
      </c>
      <c r="V726" s="11" t="n">
        <v>0</v>
      </c>
      <c r="W726" s="11" t="n">
        <v>0</v>
      </c>
      <c r="X726" s="11" t="n">
        <v>2750</v>
      </c>
      <c r="Y726" s="11" t="n">
        <v>0</v>
      </c>
      <c r="Z726" s="11" t="n">
        <v>0</v>
      </c>
      <c r="AA726" s="11" t="n">
        <f aca="false">SUM(U726:Z726)</f>
        <v>2750</v>
      </c>
      <c r="AB726" s="11" t="n">
        <v>0</v>
      </c>
      <c r="AC726" s="11" t="n">
        <v>0</v>
      </c>
      <c r="AD726" s="11" t="n">
        <v>0</v>
      </c>
      <c r="AE726" s="11" t="n">
        <v>614.3</v>
      </c>
      <c r="AF726" s="11" t="n">
        <v>0</v>
      </c>
      <c r="AG726" s="11" t="n">
        <v>0</v>
      </c>
      <c r="AH726" s="11" t="n">
        <f aca="false">SUM(AB726:AG726)</f>
        <v>614.3</v>
      </c>
      <c r="AI726" s="12" t="s">
        <v>955</v>
      </c>
    </row>
    <row r="727" customFormat="false" ht="15" hidden="false" customHeight="false" outlineLevel="0" collapsed="false">
      <c r="A727" s="8" t="s">
        <v>1555</v>
      </c>
      <c r="B727" s="12" t="s">
        <v>1556</v>
      </c>
      <c r="C727" s="8" t="s">
        <v>1525</v>
      </c>
      <c r="D727" s="12" t="s">
        <v>1526</v>
      </c>
      <c r="E727" s="10" t="str">
        <f aca="true">IFERROR(IF(INDEX(INDIRECT("'"&amp;$AI727&amp;"'!$E$2:$E$327"),MATCH($A727,INDIRECT("'"&amp;$AI727&amp;"'!$A$2:$A$327"),0))="","",INDEX(INDIRECT("'"&amp;$AI727&amp;"'!$E$2:$E$327"),MATCH($A727,INDIRECT("'"&amp;$AI727&amp;"'!$A$2:$A$327"),0))),"")</f>
        <v/>
      </c>
      <c r="F727" s="9" t="str">
        <f aca="false">IF($E727="","",IFERROR(INDEX(担当者マスタ!$B$2:$B$101,MATCH($E727,担当者マスタ!$A$2:$A$101,0)),"※マスタ未登録"))</f>
        <v/>
      </c>
      <c r="G727" s="11" t="n">
        <v>792.461</v>
      </c>
      <c r="H727" s="11" t="n">
        <v>482.062</v>
      </c>
      <c r="I727" s="11" t="n">
        <v>521.149</v>
      </c>
      <c r="J727" s="11" t="n">
        <v>858.614</v>
      </c>
      <c r="K727" s="11" t="n">
        <v>580.607</v>
      </c>
      <c r="L727" s="11" t="n">
        <v>802.32</v>
      </c>
      <c r="M727" s="11" t="n">
        <f aca="false">SUM(G727:L727)</f>
        <v>4037.213</v>
      </c>
      <c r="N727" s="11" t="n">
        <v>159.998</v>
      </c>
      <c r="O727" s="11" t="n">
        <v>91.527</v>
      </c>
      <c r="P727" s="11" t="n">
        <v>121.406</v>
      </c>
      <c r="Q727" s="11" t="n">
        <v>159.162</v>
      </c>
      <c r="R727" s="11" t="n">
        <v>142.022</v>
      </c>
      <c r="S727" s="11" t="n">
        <v>169.887</v>
      </c>
      <c r="T727" s="11" t="n">
        <f aca="false">SUM(N727:S727)</f>
        <v>844.002</v>
      </c>
      <c r="U727" s="11" t="n">
        <v>1086.249</v>
      </c>
      <c r="V727" s="11" t="n">
        <v>616.501</v>
      </c>
      <c r="W727" s="11" t="n">
        <v>856.709</v>
      </c>
      <c r="X727" s="11" t="n">
        <v>1041.017</v>
      </c>
      <c r="Y727" s="11" t="n">
        <v>329.484</v>
      </c>
      <c r="Z727" s="11" t="n">
        <v>712.271</v>
      </c>
      <c r="AA727" s="11" t="n">
        <f aca="false">SUM(U727:Z727)</f>
        <v>4642.231</v>
      </c>
      <c r="AB727" s="11" t="n">
        <v>194.834</v>
      </c>
      <c r="AC727" s="11" t="n">
        <v>50.068</v>
      </c>
      <c r="AD727" s="11" t="n">
        <v>156.306</v>
      </c>
      <c r="AE727" s="11" t="n">
        <v>219.754</v>
      </c>
      <c r="AF727" s="11" t="n">
        <v>76.996</v>
      </c>
      <c r="AG727" s="11" t="n">
        <v>187.15</v>
      </c>
      <c r="AH727" s="11" t="n">
        <f aca="false">SUM(AB727:AG727)</f>
        <v>885.108</v>
      </c>
      <c r="AI727" s="12" t="s">
        <v>955</v>
      </c>
    </row>
    <row r="728" customFormat="false" ht="15" hidden="false" customHeight="false" outlineLevel="0" collapsed="false">
      <c r="A728" s="8" t="s">
        <v>1557</v>
      </c>
      <c r="B728" s="12" t="s">
        <v>1558</v>
      </c>
      <c r="C728" s="8" t="s">
        <v>1525</v>
      </c>
      <c r="D728" s="12" t="s">
        <v>1526</v>
      </c>
      <c r="E728" s="10" t="str">
        <f aca="true">IFERROR(IF(INDEX(INDIRECT("'"&amp;$AI728&amp;"'!$E$2:$E$327"),MATCH($A728,INDIRECT("'"&amp;$AI728&amp;"'!$A$2:$A$327"),0))="","",INDEX(INDIRECT("'"&amp;$AI728&amp;"'!$E$2:$E$327"),MATCH($A728,INDIRECT("'"&amp;$AI728&amp;"'!$A$2:$A$327"),0))),"")</f>
        <v/>
      </c>
      <c r="F728" s="9" t="str">
        <f aca="false">IF($E728="","",IFERROR(INDEX(担当者マスタ!$B$2:$B$101,MATCH($E728,担当者マスタ!$A$2:$A$101,0)),"※マスタ未登録"))</f>
        <v/>
      </c>
      <c r="G728" s="11" t="n">
        <v>0</v>
      </c>
      <c r="H728" s="11" t="n">
        <v>22</v>
      </c>
      <c r="I728" s="11" t="n">
        <v>0</v>
      </c>
      <c r="J728" s="11" t="n">
        <v>27.5</v>
      </c>
      <c r="K728" s="11" t="n">
        <v>0</v>
      </c>
      <c r="L728" s="11" t="n">
        <v>22</v>
      </c>
      <c r="M728" s="11" t="n">
        <f aca="false">SUM(G728:L728)</f>
        <v>71.5</v>
      </c>
      <c r="N728" s="11" t="n">
        <v>0</v>
      </c>
      <c r="O728" s="11" t="n">
        <v>6</v>
      </c>
      <c r="P728" s="11" t="n">
        <v>0</v>
      </c>
      <c r="Q728" s="11" t="n">
        <v>7.5</v>
      </c>
      <c r="R728" s="11" t="n">
        <v>0</v>
      </c>
      <c r="S728" s="11" t="n">
        <v>6</v>
      </c>
      <c r="T728" s="11" t="n">
        <f aca="false">SUM(N728:S728)</f>
        <v>19.5</v>
      </c>
      <c r="U728" s="11" t="n">
        <v>22</v>
      </c>
      <c r="V728" s="11" t="n">
        <v>57.5</v>
      </c>
      <c r="W728" s="11" t="n">
        <v>7.7</v>
      </c>
      <c r="X728" s="11" t="n">
        <v>33</v>
      </c>
      <c r="Y728" s="11" t="n">
        <v>0</v>
      </c>
      <c r="Z728" s="11" t="n">
        <v>0</v>
      </c>
      <c r="AA728" s="11" t="n">
        <f aca="false">SUM(U728:Z728)</f>
        <v>120.2</v>
      </c>
      <c r="AB728" s="11" t="n">
        <v>5</v>
      </c>
      <c r="AC728" s="11" t="n">
        <v>19.8</v>
      </c>
      <c r="AD728" s="11" t="n">
        <v>1.85</v>
      </c>
      <c r="AE728" s="11" t="n">
        <v>7.6</v>
      </c>
      <c r="AF728" s="11" t="n">
        <v>0</v>
      </c>
      <c r="AG728" s="11" t="n">
        <v>0</v>
      </c>
      <c r="AH728" s="11" t="n">
        <f aca="false">SUM(AB728:AG728)</f>
        <v>34.25</v>
      </c>
      <c r="AI728" s="12" t="s">
        <v>955</v>
      </c>
    </row>
    <row r="729" customFormat="false" ht="15" hidden="false" customHeight="false" outlineLevel="0" collapsed="false">
      <c r="A729" s="8" t="s">
        <v>1559</v>
      </c>
      <c r="B729" s="12" t="s">
        <v>1560</v>
      </c>
      <c r="C729" s="8" t="s">
        <v>1525</v>
      </c>
      <c r="D729" s="12" t="s">
        <v>1526</v>
      </c>
      <c r="E729" s="10" t="str">
        <f aca="true">IFERROR(IF(INDEX(INDIRECT("'"&amp;$AI729&amp;"'!$E$2:$E$327"),MATCH($A729,INDIRECT("'"&amp;$AI729&amp;"'!$A$2:$A$327"),0))="","",INDEX(INDIRECT("'"&amp;$AI729&amp;"'!$E$2:$E$327"),MATCH($A729,INDIRECT("'"&amp;$AI729&amp;"'!$A$2:$A$327"),0))),"")</f>
        <v/>
      </c>
      <c r="F729" s="9" t="str">
        <f aca="false">IF($E729="","",IFERROR(INDEX(担当者マスタ!$B$2:$B$101,MATCH($E729,担当者マスタ!$A$2:$A$101,0)),"※マスタ未登録"))</f>
        <v/>
      </c>
      <c r="G729" s="11" t="n">
        <v>464.247</v>
      </c>
      <c r="H729" s="11" t="n">
        <v>382.08</v>
      </c>
      <c r="I729" s="11" t="n">
        <v>199.392</v>
      </c>
      <c r="J729" s="11" t="n">
        <v>65.8</v>
      </c>
      <c r="K729" s="11" t="n">
        <v>60.35</v>
      </c>
      <c r="L729" s="11" t="n">
        <v>46.462</v>
      </c>
      <c r="M729" s="11" t="n">
        <f aca="false">SUM(G729:L729)</f>
        <v>1218.331</v>
      </c>
      <c r="N729" s="11" t="n">
        <v>98.592</v>
      </c>
      <c r="O729" s="11" t="n">
        <v>92.106</v>
      </c>
      <c r="P729" s="11" t="n">
        <v>42.218</v>
      </c>
      <c r="Q729" s="11" t="n">
        <v>19.178</v>
      </c>
      <c r="R729" s="11" t="n">
        <v>16.85</v>
      </c>
      <c r="S729" s="11" t="n">
        <v>7.512</v>
      </c>
      <c r="T729" s="11" t="n">
        <f aca="false">SUM(N729:S729)</f>
        <v>276.456</v>
      </c>
      <c r="U729" s="11" t="n">
        <v>122.15</v>
      </c>
      <c r="V729" s="11" t="n">
        <v>179.212</v>
      </c>
      <c r="W729" s="11" t="n">
        <v>153.25</v>
      </c>
      <c r="X729" s="11" t="n">
        <v>67.032</v>
      </c>
      <c r="Y729" s="11" t="n">
        <v>40.85</v>
      </c>
      <c r="Z729" s="11" t="n">
        <v>176.25</v>
      </c>
      <c r="AA729" s="11" t="n">
        <f aca="false">SUM(U729:Z729)</f>
        <v>738.744</v>
      </c>
      <c r="AB729" s="11" t="n">
        <v>10.51</v>
      </c>
      <c r="AC729" s="11" t="n">
        <v>28.462</v>
      </c>
      <c r="AD729" s="11" t="n">
        <v>18.74</v>
      </c>
      <c r="AE729" s="11" t="n">
        <v>17.112</v>
      </c>
      <c r="AF729" s="11" t="n">
        <v>7.225</v>
      </c>
      <c r="AG729" s="11" t="n">
        <v>11.26</v>
      </c>
      <c r="AH729" s="11" t="n">
        <f aca="false">SUM(AB729:AG729)</f>
        <v>93.309</v>
      </c>
      <c r="AI729" s="12" t="s">
        <v>955</v>
      </c>
    </row>
    <row r="730" customFormat="false" ht="15" hidden="false" customHeight="false" outlineLevel="0" collapsed="false">
      <c r="A730" s="8" t="s">
        <v>1561</v>
      </c>
      <c r="B730" s="9" t="s">
        <v>1562</v>
      </c>
      <c r="C730" s="8" t="s">
        <v>1525</v>
      </c>
      <c r="D730" s="12" t="s">
        <v>1526</v>
      </c>
      <c r="E730" s="10" t="str">
        <f aca="true">IFERROR(IF(INDEX(INDIRECT("'"&amp;$AI730&amp;"'!$E$2:$E$327"),MATCH($A730,INDIRECT("'"&amp;$AI730&amp;"'!$A$2:$A$327"),0))="","",INDEX(INDIRECT("'"&amp;$AI730&amp;"'!$E$2:$E$327"),MATCH($A730,INDIRECT("'"&amp;$AI730&amp;"'!$A$2:$A$327"),0))),"")</f>
        <v/>
      </c>
      <c r="F730" s="9" t="str">
        <f aca="false">IF($E730="","",IFERROR(INDEX(担当者マスタ!$B$2:$B$101,MATCH($E730,担当者マスタ!$A$2:$A$101,0)),"※マスタ未登録"))</f>
        <v/>
      </c>
      <c r="G730" s="11" t="n">
        <v>0</v>
      </c>
      <c r="H730" s="11" t="n">
        <v>33.488</v>
      </c>
      <c r="I730" s="11" t="n">
        <v>33.166</v>
      </c>
      <c r="J730" s="11" t="n">
        <v>0</v>
      </c>
      <c r="K730" s="11" t="n">
        <v>34.454</v>
      </c>
      <c r="L730" s="11" t="n">
        <v>0</v>
      </c>
      <c r="M730" s="11" t="n">
        <f aca="false">SUM(G730:L730)</f>
        <v>101.108</v>
      </c>
      <c r="N730" s="11" t="n">
        <v>0</v>
      </c>
      <c r="O730" s="11" t="n">
        <v>5.408</v>
      </c>
      <c r="P730" s="11" t="n">
        <v>5.356</v>
      </c>
      <c r="Q730" s="11" t="n">
        <v>0</v>
      </c>
      <c r="R730" s="11" t="n">
        <v>5.564</v>
      </c>
      <c r="S730" s="11" t="n">
        <v>0</v>
      </c>
      <c r="T730" s="11" t="n">
        <f aca="false">SUM(N730:S730)</f>
        <v>16.328</v>
      </c>
      <c r="U730" s="11" t="n">
        <v>87.644</v>
      </c>
      <c r="V730" s="11" t="n">
        <v>0</v>
      </c>
      <c r="W730" s="11" t="n">
        <v>0</v>
      </c>
      <c r="X730" s="11" t="n">
        <v>25.707</v>
      </c>
      <c r="Y730" s="11" t="n">
        <v>0</v>
      </c>
      <c r="Z730" s="11" t="n">
        <v>38.734</v>
      </c>
      <c r="AA730" s="11" t="n">
        <f aca="false">SUM(U730:Z730)</f>
        <v>152.085</v>
      </c>
      <c r="AB730" s="11" t="n">
        <v>17.834</v>
      </c>
      <c r="AC730" s="11" t="n">
        <v>0</v>
      </c>
      <c r="AD730" s="11" t="n">
        <v>0</v>
      </c>
      <c r="AE730" s="11" t="n">
        <v>5.267</v>
      </c>
      <c r="AF730" s="11" t="n">
        <v>0</v>
      </c>
      <c r="AG730" s="11" t="n">
        <v>7.811</v>
      </c>
      <c r="AH730" s="11" t="n">
        <f aca="false">SUM(AB730:AG730)</f>
        <v>30.912</v>
      </c>
      <c r="AI730" s="12" t="s">
        <v>955</v>
      </c>
    </row>
    <row r="731" customFormat="false" ht="15" hidden="false" customHeight="false" outlineLevel="0" collapsed="false">
      <c r="A731" s="8" t="s">
        <v>1563</v>
      </c>
      <c r="B731" s="12" t="s">
        <v>1564</v>
      </c>
      <c r="C731" s="8" t="s">
        <v>1525</v>
      </c>
      <c r="D731" s="12" t="s">
        <v>1526</v>
      </c>
      <c r="E731" s="10" t="str">
        <f aca="true">IFERROR(IF(INDEX(INDIRECT("'"&amp;$AI731&amp;"'!$E$2:$E$327"),MATCH($A731,INDIRECT("'"&amp;$AI731&amp;"'!$A$2:$A$327"),0))="","",INDEX(INDIRECT("'"&amp;$AI731&amp;"'!$E$2:$E$327"),MATCH($A731,INDIRECT("'"&amp;$AI731&amp;"'!$A$2:$A$327"),0))),"")</f>
        <v/>
      </c>
      <c r="F731" s="9" t="str">
        <f aca="false">IF($E731="","",IFERROR(INDEX(担当者マスタ!$B$2:$B$101,MATCH($E731,担当者マスタ!$A$2:$A$101,0)),"※マスタ未登録"))</f>
        <v/>
      </c>
      <c r="G731" s="11" t="n">
        <v>2.08</v>
      </c>
      <c r="H731" s="11" t="n">
        <v>10.43</v>
      </c>
      <c r="I731" s="11" t="n">
        <v>12.705</v>
      </c>
      <c r="J731" s="11" t="n">
        <v>4.365</v>
      </c>
      <c r="K731" s="11" t="n">
        <v>0.56</v>
      </c>
      <c r="L731" s="11" t="n">
        <v>0.56</v>
      </c>
      <c r="M731" s="11" t="n">
        <f aca="false">SUM(G731:L731)</f>
        <v>30.7</v>
      </c>
      <c r="N731" s="11" t="n">
        <v>0.528</v>
      </c>
      <c r="O731" s="11" t="n">
        <v>2.84</v>
      </c>
      <c r="P731" s="11" t="n">
        <v>3.366</v>
      </c>
      <c r="Q731" s="11" t="n">
        <v>1.182</v>
      </c>
      <c r="R731" s="11" t="n">
        <v>0.135</v>
      </c>
      <c r="S731" s="11" t="n">
        <v>0.135</v>
      </c>
      <c r="T731" s="11" t="n">
        <f aca="false">SUM(N731:S731)</f>
        <v>8.186</v>
      </c>
      <c r="U731" s="11" t="n">
        <v>1.22</v>
      </c>
      <c r="V731" s="11" t="n">
        <v>7.835</v>
      </c>
      <c r="W731" s="11" t="n">
        <v>13.06</v>
      </c>
      <c r="X731" s="11" t="n">
        <v>2.08</v>
      </c>
      <c r="Y731" s="11" t="n">
        <v>3.6</v>
      </c>
      <c r="Z731" s="11" t="n">
        <v>0</v>
      </c>
      <c r="AA731" s="11" t="n">
        <f aca="false">SUM(U731:Z731)</f>
        <v>27.795</v>
      </c>
      <c r="AB731" s="11" t="n">
        <v>0.366</v>
      </c>
      <c r="AC731" s="11" t="n">
        <v>2.149</v>
      </c>
      <c r="AD731" s="11" t="n">
        <v>3.393</v>
      </c>
      <c r="AE731" s="11" t="n">
        <v>0.508</v>
      </c>
      <c r="AF731" s="11" t="n">
        <v>1.01</v>
      </c>
      <c r="AG731" s="11" t="n">
        <v>0</v>
      </c>
      <c r="AH731" s="11" t="n">
        <f aca="false">SUM(AB731:AG731)</f>
        <v>7.426</v>
      </c>
      <c r="AI731" s="12" t="s">
        <v>955</v>
      </c>
    </row>
    <row r="732" customFormat="false" ht="15" hidden="false" customHeight="false" outlineLevel="0" collapsed="false">
      <c r="A732" s="8" t="s">
        <v>1565</v>
      </c>
      <c r="B732" s="12" t="s">
        <v>1566</v>
      </c>
      <c r="C732" s="8" t="s">
        <v>1525</v>
      </c>
      <c r="D732" s="12" t="s">
        <v>1526</v>
      </c>
      <c r="E732" s="10" t="str">
        <f aca="true">IFERROR(IF(INDEX(INDIRECT("'"&amp;$AI732&amp;"'!$E$2:$E$327"),MATCH($A732,INDIRECT("'"&amp;$AI732&amp;"'!$A$2:$A$327"),0))="","",INDEX(INDIRECT("'"&amp;$AI732&amp;"'!$E$2:$E$327"),MATCH($A732,INDIRECT("'"&amp;$AI732&amp;"'!$A$2:$A$327"),0))),"")</f>
        <v/>
      </c>
      <c r="F732" s="9" t="str">
        <f aca="false">IF($E732="","",IFERROR(INDEX(担当者マスタ!$B$2:$B$101,MATCH($E732,担当者マスタ!$A$2:$A$101,0)),"※マスタ未登録"))</f>
        <v/>
      </c>
      <c r="G732" s="11" t="n">
        <v>297.4</v>
      </c>
      <c r="H732" s="11" t="n">
        <v>483.15</v>
      </c>
      <c r="I732" s="11" t="n">
        <v>133.47</v>
      </c>
      <c r="J732" s="11" t="n">
        <v>510.9</v>
      </c>
      <c r="K732" s="11" t="n">
        <v>132.78</v>
      </c>
      <c r="L732" s="11" t="n">
        <v>92.35</v>
      </c>
      <c r="M732" s="11" t="n">
        <f aca="false">SUM(G732:L732)</f>
        <v>1650.05</v>
      </c>
      <c r="N732" s="11" t="n">
        <v>56.8</v>
      </c>
      <c r="O732" s="11" t="n">
        <v>92.7</v>
      </c>
      <c r="P732" s="11" t="n">
        <v>18.066</v>
      </c>
      <c r="Q732" s="11" t="n">
        <v>95.46</v>
      </c>
      <c r="R732" s="11" t="n">
        <v>45.094</v>
      </c>
      <c r="S732" s="11" t="n">
        <v>13.892</v>
      </c>
      <c r="T732" s="11" t="n">
        <f aca="false">SUM(N732:S732)</f>
        <v>322.012</v>
      </c>
      <c r="U732" s="11" t="n">
        <v>563.26</v>
      </c>
      <c r="V732" s="11" t="n">
        <v>494.44</v>
      </c>
      <c r="W732" s="11" t="n">
        <v>588.03</v>
      </c>
      <c r="X732" s="11" t="n">
        <v>15.6</v>
      </c>
      <c r="Y732" s="11" t="n">
        <v>51</v>
      </c>
      <c r="Z732" s="11" t="n">
        <v>225.21</v>
      </c>
      <c r="AA732" s="11" t="n">
        <f aca="false">SUM(U732:Z732)</f>
        <v>1937.54</v>
      </c>
      <c r="AB732" s="11" t="n">
        <v>112.561</v>
      </c>
      <c r="AC732" s="11" t="n">
        <v>91.805</v>
      </c>
      <c r="AD732" s="11" t="n">
        <v>124.481</v>
      </c>
      <c r="AE732" s="11" t="n">
        <v>2</v>
      </c>
      <c r="AF732" s="11" t="n">
        <v>7.84</v>
      </c>
      <c r="AG732" s="11" t="n">
        <v>34.142</v>
      </c>
      <c r="AH732" s="11" t="n">
        <f aca="false">SUM(AB732:AG732)</f>
        <v>372.829</v>
      </c>
      <c r="AI732" s="12" t="s">
        <v>955</v>
      </c>
    </row>
    <row r="733" customFormat="false" ht="15" hidden="false" customHeight="false" outlineLevel="0" collapsed="false">
      <c r="A733" s="8" t="s">
        <v>1567</v>
      </c>
      <c r="B733" s="9" t="s">
        <v>1568</v>
      </c>
      <c r="C733" s="8" t="s">
        <v>1525</v>
      </c>
      <c r="D733" s="12" t="s">
        <v>1526</v>
      </c>
      <c r="E733" s="10" t="str">
        <f aca="true">IFERROR(IF(INDEX(INDIRECT("'"&amp;$AI733&amp;"'!$E$2:$E$327"),MATCH($A733,INDIRECT("'"&amp;$AI733&amp;"'!$A$2:$A$327"),0))="","",INDEX(INDIRECT("'"&amp;$AI733&amp;"'!$E$2:$E$327"),MATCH($A733,INDIRECT("'"&amp;$AI733&amp;"'!$A$2:$A$327"),0))),"")</f>
        <v/>
      </c>
      <c r="F733" s="9" t="str">
        <f aca="false">IF($E733="","",IFERROR(INDEX(担当者マスタ!$B$2:$B$101,MATCH($E733,担当者マスタ!$A$2:$A$101,0)),"※マスタ未登録"))</f>
        <v/>
      </c>
      <c r="G733" s="11" t="n">
        <v>0</v>
      </c>
      <c r="H733" s="11" t="n">
        <v>0</v>
      </c>
      <c r="I733" s="11" t="n">
        <v>17.44</v>
      </c>
      <c r="J733" s="11" t="n">
        <v>0</v>
      </c>
      <c r="K733" s="11" t="n">
        <v>0</v>
      </c>
      <c r="L733" s="11" t="n">
        <v>17.44</v>
      </c>
      <c r="M733" s="11" t="n">
        <f aca="false">SUM(G733:L733)</f>
        <v>34.88</v>
      </c>
      <c r="N733" s="11" t="n">
        <v>0</v>
      </c>
      <c r="O733" s="11" t="n">
        <v>0</v>
      </c>
      <c r="P733" s="11" t="n">
        <v>2.936</v>
      </c>
      <c r="Q733" s="11" t="n">
        <v>0</v>
      </c>
      <c r="R733" s="11" t="n">
        <v>0</v>
      </c>
      <c r="S733" s="11" t="n">
        <v>2.936</v>
      </c>
      <c r="T733" s="11" t="n">
        <f aca="false">SUM(N733:S733)</f>
        <v>5.872</v>
      </c>
      <c r="U733" s="11" t="n">
        <v>0</v>
      </c>
      <c r="V733" s="11" t="n">
        <v>0</v>
      </c>
      <c r="W733" s="11" t="n">
        <v>0</v>
      </c>
      <c r="X733" s="11" t="n">
        <v>0</v>
      </c>
      <c r="Y733" s="11" t="n">
        <v>0</v>
      </c>
      <c r="Z733" s="11" t="n">
        <v>0</v>
      </c>
      <c r="AA733" s="11" t="n">
        <f aca="false">SUM(U733:Z733)</f>
        <v>0</v>
      </c>
      <c r="AB733" s="11" t="n">
        <v>0</v>
      </c>
      <c r="AC733" s="11" t="n">
        <v>0</v>
      </c>
      <c r="AD733" s="11" t="n">
        <v>0</v>
      </c>
      <c r="AE733" s="11" t="n">
        <v>0</v>
      </c>
      <c r="AF733" s="11" t="n">
        <v>0</v>
      </c>
      <c r="AG733" s="11" t="n">
        <v>0</v>
      </c>
      <c r="AH733" s="11" t="n">
        <f aca="false">SUM(AB733:AG733)</f>
        <v>0</v>
      </c>
      <c r="AI733" s="12" t="s">
        <v>955</v>
      </c>
    </row>
    <row r="734" customFormat="false" ht="15" hidden="false" customHeight="false" outlineLevel="0" collapsed="false">
      <c r="A734" s="8" t="s">
        <v>1569</v>
      </c>
      <c r="B734" s="12" t="s">
        <v>1570</v>
      </c>
      <c r="C734" s="8" t="s">
        <v>1525</v>
      </c>
      <c r="D734" s="12" t="s">
        <v>1526</v>
      </c>
      <c r="E734" s="10" t="str">
        <f aca="true">IFERROR(IF(INDEX(INDIRECT("'"&amp;$AI734&amp;"'!$E$2:$E$327"),MATCH($A734,INDIRECT("'"&amp;$AI734&amp;"'!$A$2:$A$327"),0))="","",INDEX(INDIRECT("'"&amp;$AI734&amp;"'!$E$2:$E$327"),MATCH($A734,INDIRECT("'"&amp;$AI734&amp;"'!$A$2:$A$327"),0))),"")</f>
        <v/>
      </c>
      <c r="F734" s="9" t="str">
        <f aca="false">IF($E734="","",IFERROR(INDEX(担当者マスタ!$B$2:$B$101,MATCH($E734,担当者マスタ!$A$2:$A$101,0)),"※マスタ未登録"))</f>
        <v/>
      </c>
      <c r="G734" s="11" t="n">
        <v>194.19</v>
      </c>
      <c r="H734" s="11" t="n">
        <v>664.9</v>
      </c>
      <c r="I734" s="11" t="n">
        <v>112.91</v>
      </c>
      <c r="J734" s="11" t="n">
        <v>0</v>
      </c>
      <c r="K734" s="11" t="n">
        <v>0</v>
      </c>
      <c r="L734" s="11" t="n">
        <v>0</v>
      </c>
      <c r="M734" s="11" t="n">
        <f aca="false">SUM(G734:L734)</f>
        <v>972</v>
      </c>
      <c r="N734" s="11" t="n">
        <v>42.99</v>
      </c>
      <c r="O734" s="11" t="n">
        <v>129.469</v>
      </c>
      <c r="P734" s="11" t="n">
        <v>23.085</v>
      </c>
      <c r="Q734" s="11" t="n">
        <v>0</v>
      </c>
      <c r="R734" s="11" t="n">
        <v>0</v>
      </c>
      <c r="S734" s="11" t="n">
        <v>0</v>
      </c>
      <c r="T734" s="11" t="n">
        <f aca="false">SUM(N734:S734)</f>
        <v>195.544</v>
      </c>
      <c r="U734" s="11" t="n">
        <v>316.443</v>
      </c>
      <c r="V734" s="11" t="n">
        <v>155.5</v>
      </c>
      <c r="W734" s="11" t="n">
        <v>133.77</v>
      </c>
      <c r="X734" s="11" t="n">
        <v>0</v>
      </c>
      <c r="Y734" s="11" t="n">
        <v>0</v>
      </c>
      <c r="Z734" s="11" t="n">
        <v>0</v>
      </c>
      <c r="AA734" s="11" t="n">
        <f aca="false">SUM(U734:Z734)</f>
        <v>605.713</v>
      </c>
      <c r="AB734" s="11" t="n">
        <v>63.3825</v>
      </c>
      <c r="AC734" s="11" t="n">
        <v>35.95</v>
      </c>
      <c r="AD734" s="11" t="n">
        <v>27.85</v>
      </c>
      <c r="AE734" s="11" t="n">
        <v>0</v>
      </c>
      <c r="AF734" s="11" t="n">
        <v>0</v>
      </c>
      <c r="AG734" s="11" t="n">
        <v>0</v>
      </c>
      <c r="AH734" s="11" t="n">
        <f aca="false">SUM(AB734:AG734)</f>
        <v>127.1825</v>
      </c>
      <c r="AI734" s="12" t="s">
        <v>955</v>
      </c>
    </row>
    <row r="735" customFormat="false" ht="15" hidden="false" customHeight="false" outlineLevel="0" collapsed="false">
      <c r="A735" s="8" t="s">
        <v>1571</v>
      </c>
      <c r="B735" s="12" t="s">
        <v>1572</v>
      </c>
      <c r="C735" s="8" t="s">
        <v>1525</v>
      </c>
      <c r="D735" s="12" t="s">
        <v>1526</v>
      </c>
      <c r="E735" s="10" t="str">
        <f aca="true">IFERROR(IF(INDEX(INDIRECT("'"&amp;$AI735&amp;"'!$E$2:$E$327"),MATCH($A735,INDIRECT("'"&amp;$AI735&amp;"'!$A$2:$A$327"),0))="","",INDEX(INDIRECT("'"&amp;$AI735&amp;"'!$E$2:$E$327"),MATCH($A735,INDIRECT("'"&amp;$AI735&amp;"'!$A$2:$A$327"),0))),"")</f>
        <v/>
      </c>
      <c r="F735" s="9" t="str">
        <f aca="false">IF($E735="","",IFERROR(INDEX(担当者マスタ!$B$2:$B$101,MATCH($E735,担当者マスタ!$A$2:$A$101,0)),"※マスタ未登録"))</f>
        <v/>
      </c>
      <c r="G735" s="11" t="n">
        <v>5.53</v>
      </c>
      <c r="H735" s="11" t="n">
        <v>76.44</v>
      </c>
      <c r="I735" s="11" t="n">
        <v>49.666</v>
      </c>
      <c r="J735" s="11" t="n">
        <v>9.36</v>
      </c>
      <c r="K735" s="11" t="n">
        <v>15.33</v>
      </c>
      <c r="L735" s="11" t="n">
        <v>62.82</v>
      </c>
      <c r="M735" s="11" t="n">
        <f aca="false">SUM(G735:L735)</f>
        <v>219.146</v>
      </c>
      <c r="N735" s="11" t="n">
        <v>0.744</v>
      </c>
      <c r="O735" s="11" t="n">
        <v>26.184</v>
      </c>
      <c r="P735" s="11" t="n">
        <v>9.829</v>
      </c>
      <c r="Q735" s="11" t="n">
        <v>3.19</v>
      </c>
      <c r="R735" s="11" t="n">
        <v>4.052</v>
      </c>
      <c r="S735" s="11" t="n">
        <v>27.38</v>
      </c>
      <c r="T735" s="11" t="n">
        <f aca="false">SUM(N735:S735)</f>
        <v>71.379</v>
      </c>
      <c r="U735" s="11" t="n">
        <v>18.6</v>
      </c>
      <c r="V735" s="11" t="n">
        <v>6.4</v>
      </c>
      <c r="W735" s="11" t="n">
        <v>16.121</v>
      </c>
      <c r="X735" s="11" t="n">
        <v>0</v>
      </c>
      <c r="Y735" s="11" t="n">
        <v>35.575</v>
      </c>
      <c r="Z735" s="11" t="n">
        <v>25.29</v>
      </c>
      <c r="AA735" s="11" t="n">
        <f aca="false">SUM(U735:Z735)</f>
        <v>101.986</v>
      </c>
      <c r="AB735" s="11" t="n">
        <v>3.069</v>
      </c>
      <c r="AC735" s="11" t="n">
        <v>1.61</v>
      </c>
      <c r="AD735" s="11" t="n">
        <v>1.837</v>
      </c>
      <c r="AE735" s="11" t="n">
        <v>0</v>
      </c>
      <c r="AF735" s="11" t="n">
        <v>3.339</v>
      </c>
      <c r="AG735" s="11" t="n">
        <v>7.55</v>
      </c>
      <c r="AH735" s="11" t="n">
        <f aca="false">SUM(AB735:AG735)</f>
        <v>17.405</v>
      </c>
      <c r="AI735" s="12" t="s">
        <v>955</v>
      </c>
    </row>
    <row r="736" customFormat="false" ht="15" hidden="false" customHeight="false" outlineLevel="0" collapsed="false">
      <c r="A736" s="8" t="s">
        <v>1573</v>
      </c>
      <c r="B736" s="12" t="s">
        <v>1574</v>
      </c>
      <c r="C736" s="8" t="s">
        <v>1525</v>
      </c>
      <c r="D736" s="12" t="s">
        <v>1526</v>
      </c>
      <c r="E736" s="10" t="str">
        <f aca="true">IFERROR(IF(INDEX(INDIRECT("'"&amp;$AI736&amp;"'!$E$2:$E$327"),MATCH($A736,INDIRECT("'"&amp;$AI736&amp;"'!$A$2:$A$327"),0))="","",INDEX(INDIRECT("'"&amp;$AI736&amp;"'!$E$2:$E$327"),MATCH($A736,INDIRECT("'"&amp;$AI736&amp;"'!$A$2:$A$327"),0))),"")</f>
        <v/>
      </c>
      <c r="F736" s="9" t="str">
        <f aca="false">IF($E736="","",IFERROR(INDEX(担当者マスタ!$B$2:$B$101,MATCH($E736,担当者マスタ!$A$2:$A$101,0)),"※マスタ未登録"))</f>
        <v/>
      </c>
      <c r="G736" s="11" t="n">
        <v>0</v>
      </c>
      <c r="H736" s="11" t="n">
        <v>1570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f aca="false">SUM(G736:L736)</f>
        <v>1570</v>
      </c>
      <c r="N736" s="11" t="n">
        <v>0</v>
      </c>
      <c r="O736" s="11" t="n">
        <v>150</v>
      </c>
      <c r="P736" s="11" t="n">
        <v>0</v>
      </c>
      <c r="Q736" s="11" t="n">
        <v>0</v>
      </c>
      <c r="R736" s="11" t="n">
        <v>0</v>
      </c>
      <c r="S736" s="11" t="n">
        <v>0</v>
      </c>
      <c r="T736" s="11" t="n">
        <f aca="false">SUM(N736:S736)</f>
        <v>150</v>
      </c>
      <c r="U736" s="11" t="n">
        <v>1410</v>
      </c>
      <c r="V736" s="11" t="n">
        <v>0</v>
      </c>
      <c r="W736" s="11" t="n">
        <v>0</v>
      </c>
      <c r="X736" s="11" t="n">
        <v>0</v>
      </c>
      <c r="Y736" s="11" t="n">
        <v>0</v>
      </c>
      <c r="Z736" s="11" t="n">
        <v>0</v>
      </c>
      <c r="AA736" s="11" t="n">
        <f aca="false">SUM(U736:Z736)</f>
        <v>1410</v>
      </c>
      <c r="AB736" s="11" t="n">
        <v>310</v>
      </c>
      <c r="AC736" s="11" t="n">
        <v>0</v>
      </c>
      <c r="AD736" s="11" t="n">
        <v>0</v>
      </c>
      <c r="AE736" s="11" t="n">
        <v>0</v>
      </c>
      <c r="AF736" s="11" t="n">
        <v>0</v>
      </c>
      <c r="AG736" s="11" t="n">
        <v>0</v>
      </c>
      <c r="AH736" s="11" t="n">
        <f aca="false">SUM(AB736:AG736)</f>
        <v>310</v>
      </c>
      <c r="AI736" s="12" t="s">
        <v>955</v>
      </c>
    </row>
    <row r="737" customFormat="false" ht="15" hidden="false" customHeight="false" outlineLevel="0" collapsed="false">
      <c r="A737" s="8" t="s">
        <v>1575</v>
      </c>
      <c r="B737" s="9" t="s">
        <v>1576</v>
      </c>
      <c r="C737" s="8" t="s">
        <v>1525</v>
      </c>
      <c r="D737" s="12" t="s">
        <v>1526</v>
      </c>
      <c r="E737" s="10" t="str">
        <f aca="true">IFERROR(IF(INDEX(INDIRECT("'"&amp;$AI737&amp;"'!$E$2:$E$327"),MATCH($A737,INDIRECT("'"&amp;$AI737&amp;"'!$A$2:$A$327"),0))="","",INDEX(INDIRECT("'"&amp;$AI737&amp;"'!$E$2:$E$327"),MATCH($A737,INDIRECT("'"&amp;$AI737&amp;"'!$A$2:$A$327"),0))),"")</f>
        <v/>
      </c>
      <c r="F737" s="9" t="str">
        <f aca="false">IF($E737="","",IFERROR(INDEX(担当者マスタ!$B$2:$B$101,MATCH($E737,担当者マスタ!$A$2:$A$101,0)),"※マスタ未登録"))</f>
        <v/>
      </c>
      <c r="G737" s="11" t="n">
        <v>19.45</v>
      </c>
      <c r="H737" s="11" t="n">
        <v>20.588</v>
      </c>
      <c r="I737" s="11" t="n">
        <v>28.08</v>
      </c>
      <c r="J737" s="11" t="n">
        <v>17</v>
      </c>
      <c r="K737" s="11" t="n">
        <v>0</v>
      </c>
      <c r="L737" s="11" t="n">
        <v>24.198</v>
      </c>
      <c r="M737" s="11" t="n">
        <f aca="false">SUM(G737:L737)</f>
        <v>109.316</v>
      </c>
      <c r="N737" s="11" t="n">
        <v>8.38</v>
      </c>
      <c r="O737" s="11" t="n">
        <v>6.45</v>
      </c>
      <c r="P737" s="11" t="n">
        <v>9.474</v>
      </c>
      <c r="Q737" s="11" t="n">
        <v>6.47</v>
      </c>
      <c r="R737" s="11" t="n">
        <v>0</v>
      </c>
      <c r="S737" s="11" t="n">
        <v>8.384</v>
      </c>
      <c r="T737" s="11" t="n">
        <f aca="false">SUM(N737:S737)</f>
        <v>39.158</v>
      </c>
      <c r="U737" s="11" t="n">
        <v>20.53</v>
      </c>
      <c r="V737" s="11" t="n">
        <v>6.148</v>
      </c>
      <c r="W737" s="11" t="n">
        <v>45.575</v>
      </c>
      <c r="X737" s="11" t="n">
        <v>12.72</v>
      </c>
      <c r="Y737" s="11" t="n">
        <v>7.82</v>
      </c>
      <c r="Z737" s="11" t="n">
        <v>13.3</v>
      </c>
      <c r="AA737" s="11" t="n">
        <f aca="false">SUM(U737:Z737)</f>
        <v>106.093</v>
      </c>
      <c r="AB737" s="11" t="n">
        <v>7.937</v>
      </c>
      <c r="AC737" s="11" t="n">
        <v>2.308</v>
      </c>
      <c r="AD737" s="11" t="n">
        <v>17.491</v>
      </c>
      <c r="AE737" s="11" t="n">
        <v>3.289</v>
      </c>
      <c r="AF737" s="11" t="n">
        <v>2.227</v>
      </c>
      <c r="AG737" s="11" t="n">
        <v>4.928</v>
      </c>
      <c r="AH737" s="11" t="n">
        <f aca="false">SUM(AB737:AG737)</f>
        <v>38.18</v>
      </c>
      <c r="AI737" s="12" t="s">
        <v>955</v>
      </c>
    </row>
    <row r="738" customFormat="false" ht="15" hidden="false" customHeight="false" outlineLevel="0" collapsed="false">
      <c r="A738" s="8" t="s">
        <v>1577</v>
      </c>
      <c r="B738" s="12" t="s">
        <v>1578</v>
      </c>
      <c r="C738" s="8" t="s">
        <v>1525</v>
      </c>
      <c r="D738" s="12" t="s">
        <v>1526</v>
      </c>
      <c r="E738" s="10" t="str">
        <f aca="true">IFERROR(IF(INDEX(INDIRECT("'"&amp;$AI738&amp;"'!$E$2:$E$327"),MATCH($A738,INDIRECT("'"&amp;$AI738&amp;"'!$A$2:$A$327"),0))="","",INDEX(INDIRECT("'"&amp;$AI738&amp;"'!$E$2:$E$327"),MATCH($A738,INDIRECT("'"&amp;$AI738&amp;"'!$A$2:$A$327"),0))),"")</f>
        <v/>
      </c>
      <c r="F738" s="9" t="str">
        <f aca="false">IF($E738="","",IFERROR(INDEX(担当者マスタ!$B$2:$B$101,MATCH($E738,担当者マスタ!$A$2:$A$101,0)),"※マスタ未登録"))</f>
        <v/>
      </c>
      <c r="G738" s="11" t="n">
        <v>7.427</v>
      </c>
      <c r="H738" s="11" t="n">
        <v>37.6</v>
      </c>
      <c r="I738" s="11" t="n">
        <v>44.533</v>
      </c>
      <c r="J738" s="11" t="n">
        <v>0</v>
      </c>
      <c r="K738" s="11" t="n">
        <v>24.1</v>
      </c>
      <c r="L738" s="11" t="n">
        <v>32.406</v>
      </c>
      <c r="M738" s="11" t="n">
        <f aca="false">SUM(G738:L738)</f>
        <v>146.066</v>
      </c>
      <c r="N738" s="11" t="n">
        <v>0.949</v>
      </c>
      <c r="O738" s="11" t="n">
        <v>4.373</v>
      </c>
      <c r="P738" s="11" t="n">
        <v>5.263</v>
      </c>
      <c r="Q738" s="11" t="n">
        <v>0</v>
      </c>
      <c r="R738" s="11" t="n">
        <v>2.79</v>
      </c>
      <c r="S738" s="11" t="n">
        <v>3.684</v>
      </c>
      <c r="T738" s="11" t="n">
        <f aca="false">SUM(N738:S738)</f>
        <v>17.059</v>
      </c>
      <c r="U738" s="11" t="n">
        <v>23.832</v>
      </c>
      <c r="V738" s="11" t="n">
        <v>45.85</v>
      </c>
      <c r="W738" s="11" t="n">
        <v>84.538</v>
      </c>
      <c r="X738" s="11" t="n">
        <v>32.773</v>
      </c>
      <c r="Y738" s="11" t="n">
        <v>2.598</v>
      </c>
      <c r="Z738" s="11" t="n">
        <v>3.7</v>
      </c>
      <c r="AA738" s="11" t="n">
        <f aca="false">SUM(U738:Z738)</f>
        <v>193.291</v>
      </c>
      <c r="AB738" s="11" t="n">
        <v>1.605</v>
      </c>
      <c r="AC738" s="11" t="n">
        <v>5.104</v>
      </c>
      <c r="AD738" s="11" t="n">
        <v>9.381</v>
      </c>
      <c r="AE738" s="11" t="n">
        <v>3.943</v>
      </c>
      <c r="AF738" s="11" t="n">
        <v>0.286</v>
      </c>
      <c r="AG738" s="11" t="n">
        <v>0.408</v>
      </c>
      <c r="AH738" s="11" t="n">
        <f aca="false">SUM(AB738:AG738)</f>
        <v>20.727</v>
      </c>
      <c r="AI738" s="12" t="s">
        <v>955</v>
      </c>
    </row>
    <row r="739" customFormat="false" ht="15" hidden="false" customHeight="false" outlineLevel="0" collapsed="false">
      <c r="A739" s="8" t="s">
        <v>1579</v>
      </c>
      <c r="B739" s="12" t="s">
        <v>1580</v>
      </c>
      <c r="C739" s="8" t="s">
        <v>1525</v>
      </c>
      <c r="D739" s="12" t="s">
        <v>1526</v>
      </c>
      <c r="E739" s="10" t="str">
        <f aca="true">IFERROR(IF(INDEX(INDIRECT("'"&amp;$AI739&amp;"'!$E$2:$E$327"),MATCH($A739,INDIRECT("'"&amp;$AI739&amp;"'!$A$2:$A$327"),0))="","",INDEX(INDIRECT("'"&amp;$AI739&amp;"'!$E$2:$E$327"),MATCH($A739,INDIRECT("'"&amp;$AI739&amp;"'!$A$2:$A$327"),0))),"")</f>
        <v/>
      </c>
      <c r="F739" s="9" t="str">
        <f aca="false">IF($E739="","",IFERROR(INDEX(担当者マスタ!$B$2:$B$101,MATCH($E739,担当者マスタ!$A$2:$A$101,0)),"※マスタ未登録"))</f>
        <v/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f aca="false">SUM(G739:L739)</f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1" t="n">
        <f aca="false">SUM(N739:S739)</f>
        <v>0</v>
      </c>
      <c r="U739" s="11" t="n">
        <v>0</v>
      </c>
      <c r="V739" s="11" t="n">
        <v>0</v>
      </c>
      <c r="W739" s="11" t="n">
        <v>0</v>
      </c>
      <c r="X739" s="11" t="n">
        <v>0</v>
      </c>
      <c r="Y739" s="11" t="n">
        <v>3</v>
      </c>
      <c r="Z739" s="11" t="n">
        <v>0</v>
      </c>
      <c r="AA739" s="11" t="n">
        <f aca="false">SUM(U739:Z739)</f>
        <v>3</v>
      </c>
      <c r="AB739" s="11" t="n">
        <v>0</v>
      </c>
      <c r="AC739" s="11" t="n">
        <v>0</v>
      </c>
      <c r="AD739" s="11" t="n">
        <v>0</v>
      </c>
      <c r="AE739" s="11" t="n">
        <v>0</v>
      </c>
      <c r="AF739" s="11" t="n">
        <v>0.96</v>
      </c>
      <c r="AG739" s="11" t="n">
        <v>0</v>
      </c>
      <c r="AH739" s="11" t="n">
        <f aca="false">SUM(AB739:AG739)</f>
        <v>0.96</v>
      </c>
      <c r="AI739" s="12" t="s">
        <v>955</v>
      </c>
    </row>
    <row r="740" customFormat="false" ht="15" hidden="false" customHeight="false" outlineLevel="0" collapsed="false">
      <c r="A740" s="8" t="s">
        <v>1581</v>
      </c>
      <c r="B740" s="9" t="s">
        <v>1582</v>
      </c>
      <c r="C740" s="8" t="s">
        <v>1525</v>
      </c>
      <c r="D740" s="12" t="s">
        <v>1526</v>
      </c>
      <c r="E740" s="10" t="str">
        <f aca="true">IFERROR(IF(INDEX(INDIRECT("'"&amp;$AI740&amp;"'!$E$2:$E$327"),MATCH($A740,INDIRECT("'"&amp;$AI740&amp;"'!$A$2:$A$327"),0))="","",INDEX(INDIRECT("'"&amp;$AI740&amp;"'!$E$2:$E$327"),MATCH($A740,INDIRECT("'"&amp;$AI740&amp;"'!$A$2:$A$327"),0))),"")</f>
        <v/>
      </c>
      <c r="F740" s="9" t="str">
        <f aca="false">IF($E740="","",IFERROR(INDEX(担当者マスタ!$B$2:$B$101,MATCH($E740,担当者マスタ!$A$2:$A$101,0)),"※マスタ未登録"))</f>
        <v/>
      </c>
      <c r="G740" s="11" t="n">
        <v>132.72</v>
      </c>
      <c r="H740" s="11" t="n">
        <v>162.855</v>
      </c>
      <c r="I740" s="11" t="n">
        <v>79</v>
      </c>
      <c r="J740" s="11" t="n">
        <v>0</v>
      </c>
      <c r="K740" s="11" t="n">
        <v>18.4</v>
      </c>
      <c r="L740" s="11" t="n">
        <v>0</v>
      </c>
      <c r="M740" s="11" t="n">
        <f aca="false">SUM(G740:L740)</f>
        <v>392.975</v>
      </c>
      <c r="N740" s="11" t="n">
        <v>8.32</v>
      </c>
      <c r="O740" s="11" t="n">
        <v>12.425</v>
      </c>
      <c r="P740" s="11" t="n">
        <v>4.15</v>
      </c>
      <c r="Q740" s="11" t="n">
        <v>0</v>
      </c>
      <c r="R740" s="11" t="n">
        <v>5</v>
      </c>
      <c r="S740" s="11" t="n">
        <v>0</v>
      </c>
      <c r="T740" s="11" t="n">
        <f aca="false">SUM(N740:S740)</f>
        <v>29.895</v>
      </c>
      <c r="U740" s="11" t="n">
        <v>0</v>
      </c>
      <c r="V740" s="11" t="n">
        <v>133.855</v>
      </c>
      <c r="W740" s="11" t="n">
        <v>110.6</v>
      </c>
      <c r="X740" s="11" t="n">
        <v>15.8</v>
      </c>
      <c r="Y740" s="11" t="n">
        <v>0</v>
      </c>
      <c r="Z740" s="11" t="n">
        <v>0</v>
      </c>
      <c r="AA740" s="11" t="n">
        <f aca="false">SUM(U740:Z740)</f>
        <v>260.255</v>
      </c>
      <c r="AB740" s="11" t="n">
        <v>0</v>
      </c>
      <c r="AC740" s="11" t="n">
        <v>12.765</v>
      </c>
      <c r="AD740" s="11" t="n">
        <v>5.81</v>
      </c>
      <c r="AE740" s="11" t="n">
        <v>0.83</v>
      </c>
      <c r="AF740" s="11" t="n">
        <v>0</v>
      </c>
      <c r="AG740" s="11" t="n">
        <v>0</v>
      </c>
      <c r="AH740" s="11" t="n">
        <f aca="false">SUM(AB740:AG740)</f>
        <v>19.405</v>
      </c>
      <c r="AI740" s="12" t="s">
        <v>955</v>
      </c>
    </row>
    <row r="741" customFormat="false" ht="15" hidden="false" customHeight="false" outlineLevel="0" collapsed="false">
      <c r="A741" s="8" t="s">
        <v>1583</v>
      </c>
      <c r="B741" s="12" t="s">
        <v>1584</v>
      </c>
      <c r="C741" s="8" t="s">
        <v>1525</v>
      </c>
      <c r="D741" s="12" t="s">
        <v>1526</v>
      </c>
      <c r="E741" s="10" t="str">
        <f aca="true">IFERROR(IF(INDEX(INDIRECT("'"&amp;$AI741&amp;"'!$E$2:$E$327"),MATCH($A741,INDIRECT("'"&amp;$AI741&amp;"'!$A$2:$A$327"),0))="","",INDEX(INDIRECT("'"&amp;$AI741&amp;"'!$E$2:$E$327"),MATCH($A741,INDIRECT("'"&amp;$AI741&amp;"'!$A$2:$A$327"),0))),"")</f>
        <v/>
      </c>
      <c r="F741" s="9" t="str">
        <f aca="false">IF($E741="","",IFERROR(INDEX(担当者マスタ!$B$2:$B$101,MATCH($E741,担当者マスタ!$A$2:$A$101,0)),"※マスタ未登録"))</f>
        <v/>
      </c>
      <c r="G741" s="11" t="n">
        <v>8.88</v>
      </c>
      <c r="H741" s="11" t="n">
        <v>0</v>
      </c>
      <c r="I741" s="11" t="n">
        <v>8</v>
      </c>
      <c r="J741" s="11" t="n">
        <v>0</v>
      </c>
      <c r="K741" s="11" t="n">
        <v>0</v>
      </c>
      <c r="L741" s="11" t="n">
        <v>0</v>
      </c>
      <c r="M741" s="11" t="n">
        <f aca="false">SUM(G741:L741)</f>
        <v>16.88</v>
      </c>
      <c r="N741" s="11" t="n">
        <v>1.86</v>
      </c>
      <c r="O741" s="11" t="n">
        <v>0</v>
      </c>
      <c r="P741" s="11" t="n">
        <v>8</v>
      </c>
      <c r="Q741" s="11" t="n">
        <v>0</v>
      </c>
      <c r="R741" s="11" t="n">
        <v>0</v>
      </c>
      <c r="S741" s="11" t="n">
        <v>0</v>
      </c>
      <c r="T741" s="11" t="n">
        <f aca="false">SUM(N741:S741)</f>
        <v>9.86</v>
      </c>
      <c r="U741" s="11" t="n">
        <v>0</v>
      </c>
      <c r="V741" s="11" t="n">
        <v>0</v>
      </c>
      <c r="W741" s="11" t="n">
        <v>0</v>
      </c>
      <c r="X741" s="11" t="n">
        <v>0</v>
      </c>
      <c r="Y741" s="11" t="n">
        <v>0</v>
      </c>
      <c r="Z741" s="11" t="n">
        <v>0</v>
      </c>
      <c r="AA741" s="11" t="n">
        <f aca="false">SUM(U741:Z741)</f>
        <v>0</v>
      </c>
      <c r="AB741" s="11" t="n">
        <v>0</v>
      </c>
      <c r="AC741" s="11" t="n">
        <v>0</v>
      </c>
      <c r="AD741" s="11" t="n">
        <v>0</v>
      </c>
      <c r="AE741" s="11" t="n">
        <v>0</v>
      </c>
      <c r="AF741" s="11" t="n">
        <v>0</v>
      </c>
      <c r="AG741" s="11" t="n">
        <v>0</v>
      </c>
      <c r="AH741" s="11" t="n">
        <f aca="false">SUM(AB741:AG741)</f>
        <v>0</v>
      </c>
      <c r="AI741" s="12" t="s">
        <v>955</v>
      </c>
    </row>
    <row r="742" customFormat="false" ht="15" hidden="false" customHeight="false" outlineLevel="0" collapsed="false">
      <c r="A742" s="8" t="s">
        <v>1585</v>
      </c>
      <c r="B742" s="9" t="s">
        <v>1586</v>
      </c>
      <c r="C742" s="8" t="s">
        <v>1525</v>
      </c>
      <c r="D742" s="12" t="s">
        <v>1526</v>
      </c>
      <c r="E742" s="10" t="str">
        <f aca="true">IFERROR(IF(INDEX(INDIRECT("'"&amp;$AI742&amp;"'!$E$2:$E$327"),MATCH($A742,INDIRECT("'"&amp;$AI742&amp;"'!$A$2:$A$327"),0))="","",INDEX(INDIRECT("'"&amp;$AI742&amp;"'!$E$2:$E$327"),MATCH($A742,INDIRECT("'"&amp;$AI742&amp;"'!$A$2:$A$327"),0))),"")</f>
        <v/>
      </c>
      <c r="F742" s="9" t="str">
        <f aca="false">IF($E742="","",IFERROR(INDEX(担当者マスタ!$B$2:$B$101,MATCH($E742,担当者マスタ!$A$2:$A$101,0)),"※マスタ未登録"))</f>
        <v/>
      </c>
      <c r="G742" s="11" t="n">
        <v>4.83</v>
      </c>
      <c r="H742" s="11" t="n">
        <v>40.515</v>
      </c>
      <c r="I742" s="11" t="n">
        <v>59.587</v>
      </c>
      <c r="J742" s="11" t="n">
        <v>68.815</v>
      </c>
      <c r="K742" s="11" t="n">
        <v>14.85</v>
      </c>
      <c r="L742" s="11" t="n">
        <v>17.36</v>
      </c>
      <c r="M742" s="11" t="n">
        <f aca="false">SUM(G742:L742)</f>
        <v>205.957</v>
      </c>
      <c r="N742" s="11" t="n">
        <v>1.654</v>
      </c>
      <c r="O742" s="11" t="n">
        <v>7.125</v>
      </c>
      <c r="P742" s="11" t="n">
        <v>15.039</v>
      </c>
      <c r="Q742" s="11" t="n">
        <v>12.676</v>
      </c>
      <c r="R742" s="11" t="n">
        <v>3.16</v>
      </c>
      <c r="S742" s="11" t="n">
        <v>4.275</v>
      </c>
      <c r="T742" s="11" t="n">
        <f aca="false">SUM(N742:S742)</f>
        <v>43.929</v>
      </c>
      <c r="U742" s="11" t="n">
        <v>62.52</v>
      </c>
      <c r="V742" s="11" t="n">
        <v>0.45</v>
      </c>
      <c r="W742" s="11" t="n">
        <v>119.555</v>
      </c>
      <c r="X742" s="11" t="n">
        <v>1.7</v>
      </c>
      <c r="Y742" s="11" t="n">
        <v>23.705</v>
      </c>
      <c r="Z742" s="11" t="n">
        <v>21</v>
      </c>
      <c r="AA742" s="11" t="n">
        <f aca="false">SUM(U742:Z742)</f>
        <v>228.93</v>
      </c>
      <c r="AB742" s="11" t="n">
        <v>13.094</v>
      </c>
      <c r="AC742" s="11" t="n">
        <v>0.1</v>
      </c>
      <c r="AD742" s="11" t="n">
        <v>26.703</v>
      </c>
      <c r="AE742" s="11" t="n">
        <v>0.56</v>
      </c>
      <c r="AF742" s="11" t="n">
        <v>8.46</v>
      </c>
      <c r="AG742" s="11" t="n">
        <v>4.2</v>
      </c>
      <c r="AH742" s="11" t="n">
        <f aca="false">SUM(AB742:AG742)</f>
        <v>53.117</v>
      </c>
      <c r="AI742" s="12" t="s">
        <v>955</v>
      </c>
    </row>
    <row r="743" customFormat="false" ht="15" hidden="false" customHeight="false" outlineLevel="0" collapsed="false">
      <c r="A743" s="8" t="s">
        <v>1587</v>
      </c>
      <c r="B743" s="9" t="s">
        <v>1588</v>
      </c>
      <c r="C743" s="8" t="s">
        <v>1525</v>
      </c>
      <c r="D743" s="12" t="s">
        <v>1526</v>
      </c>
      <c r="E743" s="10" t="str">
        <f aca="true">IFERROR(IF(INDEX(INDIRECT("'"&amp;$AI743&amp;"'!$E$2:$E$327"),MATCH($A743,INDIRECT("'"&amp;$AI743&amp;"'!$A$2:$A$327"),0))="","",INDEX(INDIRECT("'"&amp;$AI743&amp;"'!$E$2:$E$327"),MATCH($A743,INDIRECT("'"&amp;$AI743&amp;"'!$A$2:$A$327"),0))),"")</f>
        <v/>
      </c>
      <c r="F743" s="9" t="str">
        <f aca="false">IF($E743="","",IFERROR(INDEX(担当者マスタ!$B$2:$B$101,MATCH($E743,担当者マスタ!$A$2:$A$101,0)),"※マスタ未登録"))</f>
        <v/>
      </c>
      <c r="G743" s="11" t="n">
        <v>104.775</v>
      </c>
      <c r="H743" s="11" t="n">
        <v>65.417</v>
      </c>
      <c r="I743" s="11" t="n">
        <v>36.07</v>
      </c>
      <c r="J743" s="11" t="n">
        <v>149.425</v>
      </c>
      <c r="K743" s="11" t="n">
        <v>61.62</v>
      </c>
      <c r="L743" s="11" t="n">
        <v>33.93</v>
      </c>
      <c r="M743" s="11" t="n">
        <f aca="false">SUM(G743:L743)</f>
        <v>451.237</v>
      </c>
      <c r="N743" s="11" t="n">
        <v>26.732</v>
      </c>
      <c r="O743" s="11" t="n">
        <v>17.606</v>
      </c>
      <c r="P743" s="11" t="n">
        <v>15.491</v>
      </c>
      <c r="Q743" s="11" t="n">
        <v>33.137</v>
      </c>
      <c r="R743" s="11" t="n">
        <v>14.393</v>
      </c>
      <c r="S743" s="11" t="n">
        <v>12.625</v>
      </c>
      <c r="T743" s="11" t="n">
        <f aca="false">SUM(N743:S743)</f>
        <v>119.984</v>
      </c>
      <c r="U743" s="11" t="n">
        <v>88.197</v>
      </c>
      <c r="V743" s="11" t="n">
        <v>27.81</v>
      </c>
      <c r="W743" s="11" t="n">
        <v>79.505</v>
      </c>
      <c r="X743" s="11" t="n">
        <v>38.23</v>
      </c>
      <c r="Y743" s="11" t="n">
        <v>54.68</v>
      </c>
      <c r="Z743" s="11" t="n">
        <v>62.923</v>
      </c>
      <c r="AA743" s="11" t="n">
        <f aca="false">SUM(U743:Z743)</f>
        <v>351.345</v>
      </c>
      <c r="AB743" s="11" t="n">
        <v>33.352</v>
      </c>
      <c r="AC743" s="11" t="n">
        <v>10.593</v>
      </c>
      <c r="AD743" s="11" t="n">
        <v>24.539</v>
      </c>
      <c r="AE743" s="11" t="n">
        <v>14.909</v>
      </c>
      <c r="AF743" s="11" t="n">
        <v>15.738</v>
      </c>
      <c r="AG743" s="11" t="n">
        <v>24.078</v>
      </c>
      <c r="AH743" s="11" t="n">
        <f aca="false">SUM(AB743:AG743)</f>
        <v>123.209</v>
      </c>
      <c r="AI743" s="12" t="s">
        <v>955</v>
      </c>
    </row>
    <row r="744" customFormat="false" ht="15" hidden="false" customHeight="false" outlineLevel="0" collapsed="false">
      <c r="A744" s="8" t="s">
        <v>1589</v>
      </c>
      <c r="B744" s="12" t="s">
        <v>1590</v>
      </c>
      <c r="C744" s="8" t="s">
        <v>1525</v>
      </c>
      <c r="D744" s="12" t="s">
        <v>1526</v>
      </c>
      <c r="E744" s="10" t="str">
        <f aca="true">IFERROR(IF(INDEX(INDIRECT("'"&amp;$AI744&amp;"'!$E$2:$E$327"),MATCH($A744,INDIRECT("'"&amp;$AI744&amp;"'!$A$2:$A$327"),0))="","",INDEX(INDIRECT("'"&amp;$AI744&amp;"'!$E$2:$E$327"),MATCH($A744,INDIRECT("'"&amp;$AI744&amp;"'!$A$2:$A$327"),0))),"")</f>
        <v/>
      </c>
      <c r="F744" s="9" t="str">
        <f aca="false">IF($E744="","",IFERROR(INDEX(担当者マスタ!$B$2:$B$101,MATCH($E744,担当者マスタ!$A$2:$A$101,0)),"※マスタ未登録"))</f>
        <v/>
      </c>
      <c r="G744" s="11" t="n">
        <v>171.5</v>
      </c>
      <c r="H744" s="11" t="n">
        <v>198.094</v>
      </c>
      <c r="I744" s="11" t="n">
        <v>385.117</v>
      </c>
      <c r="J744" s="11" t="n">
        <v>0</v>
      </c>
      <c r="K744" s="11" t="n">
        <v>6.2</v>
      </c>
      <c r="L744" s="11" t="n">
        <v>26.4</v>
      </c>
      <c r="M744" s="11" t="n">
        <f aca="false">SUM(G744:L744)</f>
        <v>787.311</v>
      </c>
      <c r="N744" s="11" t="n">
        <v>32.2</v>
      </c>
      <c r="O744" s="11" t="n">
        <v>48.154</v>
      </c>
      <c r="P744" s="11" t="n">
        <v>79.722</v>
      </c>
      <c r="Q744" s="11" t="n">
        <v>0</v>
      </c>
      <c r="R744" s="11" t="n">
        <v>1.2</v>
      </c>
      <c r="S744" s="11" t="n">
        <v>6</v>
      </c>
      <c r="T744" s="11" t="n">
        <f aca="false">SUM(N744:S744)</f>
        <v>167.276</v>
      </c>
      <c r="U744" s="11" t="n">
        <v>265.35</v>
      </c>
      <c r="V744" s="11" t="n">
        <v>81</v>
      </c>
      <c r="W744" s="11" t="n">
        <v>632.644</v>
      </c>
      <c r="X744" s="11" t="n">
        <v>207.87</v>
      </c>
      <c r="Y744" s="11" t="n">
        <v>6.2</v>
      </c>
      <c r="Z744" s="11" t="n">
        <v>81.6</v>
      </c>
      <c r="AA744" s="11" t="n">
        <f aca="false">SUM(U744:Z744)</f>
        <v>1274.664</v>
      </c>
      <c r="AB744" s="11" t="n">
        <v>58.35</v>
      </c>
      <c r="AC744" s="11" t="n">
        <v>24.092</v>
      </c>
      <c r="AD744" s="11" t="n">
        <v>127.509</v>
      </c>
      <c r="AE744" s="11" t="n">
        <v>41.73</v>
      </c>
      <c r="AF744" s="11" t="n">
        <v>1.2</v>
      </c>
      <c r="AG744" s="11" t="n">
        <v>16.16</v>
      </c>
      <c r="AH744" s="11" t="n">
        <f aca="false">SUM(AB744:AG744)</f>
        <v>269.041</v>
      </c>
      <c r="AI744" s="12" t="s">
        <v>955</v>
      </c>
    </row>
    <row r="745" customFormat="false" ht="15" hidden="false" customHeight="false" outlineLevel="0" collapsed="false">
      <c r="A745" s="8" t="s">
        <v>1591</v>
      </c>
      <c r="B745" s="12" t="s">
        <v>1592</v>
      </c>
      <c r="C745" s="8" t="s">
        <v>1525</v>
      </c>
      <c r="D745" s="12" t="s">
        <v>1526</v>
      </c>
      <c r="E745" s="10" t="str">
        <f aca="true">IFERROR(IF(INDEX(INDIRECT("'"&amp;$AI745&amp;"'!$E$2:$E$327"),MATCH($A745,INDIRECT("'"&amp;$AI745&amp;"'!$A$2:$A$327"),0))="","",INDEX(INDIRECT("'"&amp;$AI745&amp;"'!$E$2:$E$327"),MATCH($A745,INDIRECT("'"&amp;$AI745&amp;"'!$A$2:$A$327"),0))),"")</f>
        <v/>
      </c>
      <c r="F745" s="9" t="str">
        <f aca="false">IF($E745="","",IFERROR(INDEX(担当者マスタ!$B$2:$B$101,MATCH($E745,担当者マスタ!$A$2:$A$101,0)),"※マスタ未登録"))</f>
        <v/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200</v>
      </c>
      <c r="L745" s="11" t="n">
        <v>0</v>
      </c>
      <c r="M745" s="11" t="n">
        <f aca="false">SUM(G745:L745)</f>
        <v>200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44.9</v>
      </c>
      <c r="S745" s="11" t="n">
        <v>0</v>
      </c>
      <c r="T745" s="11" t="n">
        <f aca="false">SUM(N745:S745)</f>
        <v>44.9</v>
      </c>
      <c r="U745" s="11" t="n">
        <v>0</v>
      </c>
      <c r="V745" s="11" t="n">
        <v>0</v>
      </c>
      <c r="W745" s="11" t="n">
        <v>0</v>
      </c>
      <c r="X745" s="11" t="n">
        <v>0</v>
      </c>
      <c r="Y745" s="11" t="n">
        <v>0</v>
      </c>
      <c r="Z745" s="11" t="n">
        <v>0</v>
      </c>
      <c r="AA745" s="11" t="n">
        <f aca="false">SUM(U745:Z745)</f>
        <v>0</v>
      </c>
      <c r="AB745" s="11" t="n">
        <v>0</v>
      </c>
      <c r="AC745" s="11" t="n">
        <v>0</v>
      </c>
      <c r="AD745" s="11" t="n">
        <v>0</v>
      </c>
      <c r="AE745" s="11" t="n">
        <v>0</v>
      </c>
      <c r="AF745" s="11" t="n">
        <v>0</v>
      </c>
      <c r="AG745" s="11" t="n">
        <v>0</v>
      </c>
      <c r="AH745" s="11" t="n">
        <f aca="false">SUM(AB745:AG745)</f>
        <v>0</v>
      </c>
      <c r="AI745" s="12" t="s">
        <v>955</v>
      </c>
    </row>
    <row r="746" customFormat="false" ht="15" hidden="false" customHeight="false" outlineLevel="0" collapsed="false">
      <c r="A746" s="8" t="s">
        <v>1593</v>
      </c>
      <c r="B746" s="9" t="s">
        <v>1594</v>
      </c>
      <c r="C746" s="8" t="s">
        <v>1525</v>
      </c>
      <c r="D746" s="12" t="s">
        <v>1526</v>
      </c>
      <c r="E746" s="10" t="str">
        <f aca="true">IFERROR(IF(INDEX(INDIRECT("'"&amp;$AI746&amp;"'!$E$2:$E$327"),MATCH($A746,INDIRECT("'"&amp;$AI746&amp;"'!$A$2:$A$327"),0))="","",INDEX(INDIRECT("'"&amp;$AI746&amp;"'!$E$2:$E$327"),MATCH($A746,INDIRECT("'"&amp;$AI746&amp;"'!$A$2:$A$327"),0))),"")</f>
        <v/>
      </c>
      <c r="F746" s="9" t="str">
        <f aca="false">IF($E746="","",IFERROR(INDEX(担当者マスタ!$B$2:$B$101,MATCH($E746,担当者マスタ!$A$2:$A$101,0)),"※マスタ未登録"))</f>
        <v/>
      </c>
      <c r="G746" s="11" t="n">
        <v>114.703</v>
      </c>
      <c r="H746" s="11" t="n">
        <v>185.82</v>
      </c>
      <c r="I746" s="11" t="n">
        <v>0</v>
      </c>
      <c r="J746" s="11" t="n">
        <v>28.915</v>
      </c>
      <c r="K746" s="11" t="n">
        <v>107.15</v>
      </c>
      <c r="L746" s="11" t="n">
        <v>14.3</v>
      </c>
      <c r="M746" s="11" t="n">
        <f aca="false">SUM(G746:L746)</f>
        <v>450.888</v>
      </c>
      <c r="N746" s="11" t="n">
        <v>21.436</v>
      </c>
      <c r="O746" s="11" t="n">
        <v>21.6</v>
      </c>
      <c r="P746" s="11" t="n">
        <v>0</v>
      </c>
      <c r="Q746" s="11" t="n">
        <v>4.095</v>
      </c>
      <c r="R746" s="11" t="n">
        <v>20.63</v>
      </c>
      <c r="S746" s="11" t="n">
        <v>2.3</v>
      </c>
      <c r="T746" s="11" t="n">
        <f aca="false">SUM(N746:S746)</f>
        <v>70.061</v>
      </c>
      <c r="U746" s="11" t="n">
        <v>106.05</v>
      </c>
      <c r="V746" s="11" t="n">
        <v>117.63</v>
      </c>
      <c r="W746" s="11" t="n">
        <v>68.8</v>
      </c>
      <c r="X746" s="11" t="n">
        <v>24.38</v>
      </c>
      <c r="Y746" s="11" t="n">
        <v>0</v>
      </c>
      <c r="Z746" s="11" t="n">
        <v>47.554</v>
      </c>
      <c r="AA746" s="11" t="n">
        <f aca="false">SUM(U746:Z746)</f>
        <v>364.414</v>
      </c>
      <c r="AB746" s="11" t="n">
        <v>8.13</v>
      </c>
      <c r="AC746" s="11" t="n">
        <v>22.8</v>
      </c>
      <c r="AD746" s="11" t="n">
        <v>11.488</v>
      </c>
      <c r="AE746" s="11" t="n">
        <v>8.14</v>
      </c>
      <c r="AF746" s="11" t="n">
        <v>0</v>
      </c>
      <c r="AG746" s="11" t="n">
        <v>4.764</v>
      </c>
      <c r="AH746" s="11" t="n">
        <f aca="false">SUM(AB746:AG746)</f>
        <v>55.322</v>
      </c>
      <c r="AI746" s="12" t="s">
        <v>955</v>
      </c>
    </row>
    <row r="747" customFormat="false" ht="15" hidden="false" customHeight="false" outlineLevel="0" collapsed="false">
      <c r="A747" s="8" t="s">
        <v>1595</v>
      </c>
      <c r="B747" s="9" t="s">
        <v>1596</v>
      </c>
      <c r="C747" s="8" t="s">
        <v>1525</v>
      </c>
      <c r="D747" s="12" t="s">
        <v>1526</v>
      </c>
      <c r="E747" s="10" t="str">
        <f aca="true">IFERROR(IF(INDEX(INDIRECT("'"&amp;$AI747&amp;"'!$E$2:$E$327"),MATCH($A747,INDIRECT("'"&amp;$AI747&amp;"'!$A$2:$A$327"),0))="","",INDEX(INDIRECT("'"&amp;$AI747&amp;"'!$E$2:$E$327"),MATCH($A747,INDIRECT("'"&amp;$AI747&amp;"'!$A$2:$A$327"),0))),"")</f>
        <v/>
      </c>
      <c r="F747" s="9" t="str">
        <f aca="false">IF($E747="","",IFERROR(INDEX(担当者マスタ!$B$2:$B$101,MATCH($E747,担当者マスタ!$A$2:$A$101,0)),"※マスタ未登録"))</f>
        <v/>
      </c>
      <c r="G747" s="11" t="n">
        <v>0</v>
      </c>
      <c r="H747" s="11" t="n">
        <v>0</v>
      </c>
      <c r="I747" s="11" t="n">
        <v>0</v>
      </c>
      <c r="J747" s="11" t="n">
        <v>110.1</v>
      </c>
      <c r="K747" s="11" t="n">
        <v>6.18</v>
      </c>
      <c r="L747" s="11" t="n">
        <v>0</v>
      </c>
      <c r="M747" s="11" t="n">
        <f aca="false">SUM(G747:L747)</f>
        <v>116.28</v>
      </c>
      <c r="N747" s="11" t="n">
        <v>0</v>
      </c>
      <c r="O747" s="11" t="n">
        <v>0</v>
      </c>
      <c r="P747" s="11" t="n">
        <v>0</v>
      </c>
      <c r="Q747" s="11" t="n">
        <v>37.4</v>
      </c>
      <c r="R747" s="11" t="n">
        <v>0.99</v>
      </c>
      <c r="S747" s="11" t="n">
        <v>0</v>
      </c>
      <c r="T747" s="11" t="n">
        <f aca="false">SUM(N747:S747)</f>
        <v>38.39</v>
      </c>
      <c r="U747" s="11" t="n">
        <v>58.4</v>
      </c>
      <c r="V747" s="11" t="n">
        <v>0</v>
      </c>
      <c r="W747" s="11" t="n">
        <v>0</v>
      </c>
      <c r="X747" s="11" t="n">
        <v>0</v>
      </c>
      <c r="Y747" s="11" t="n">
        <v>78.9</v>
      </c>
      <c r="Z747" s="11" t="n">
        <v>11.385</v>
      </c>
      <c r="AA747" s="11" t="n">
        <f aca="false">SUM(U747:Z747)</f>
        <v>148.685</v>
      </c>
      <c r="AB747" s="11" t="n">
        <v>27</v>
      </c>
      <c r="AC747" s="11" t="n">
        <v>0</v>
      </c>
      <c r="AD747" s="11" t="n">
        <v>0</v>
      </c>
      <c r="AE747" s="11" t="n">
        <v>0</v>
      </c>
      <c r="AF747" s="11" t="n">
        <v>17.763</v>
      </c>
      <c r="AG747" s="11" t="n">
        <v>3.064</v>
      </c>
      <c r="AH747" s="11" t="n">
        <f aca="false">SUM(AB747:AG747)</f>
        <v>47.827</v>
      </c>
      <c r="AI747" s="12" t="s">
        <v>955</v>
      </c>
    </row>
    <row r="748" customFormat="false" ht="15" hidden="false" customHeight="false" outlineLevel="0" collapsed="false">
      <c r="A748" s="8" t="s">
        <v>1597</v>
      </c>
      <c r="B748" s="12" t="s">
        <v>1598</v>
      </c>
      <c r="C748" s="8" t="s">
        <v>1525</v>
      </c>
      <c r="D748" s="12" t="s">
        <v>1526</v>
      </c>
      <c r="E748" s="10" t="str">
        <f aca="true">IFERROR(IF(INDEX(INDIRECT("'"&amp;$AI748&amp;"'!$E$2:$E$327"),MATCH($A748,INDIRECT("'"&amp;$AI748&amp;"'!$A$2:$A$327"),0))="","",INDEX(INDIRECT("'"&amp;$AI748&amp;"'!$E$2:$E$327"),MATCH($A748,INDIRECT("'"&amp;$AI748&amp;"'!$A$2:$A$327"),0))),"")</f>
        <v/>
      </c>
      <c r="F748" s="9" t="str">
        <f aca="false">IF($E748="","",IFERROR(INDEX(担当者マスタ!$B$2:$B$101,MATCH($E748,担当者マスタ!$A$2:$A$101,0)),"※マスタ未登録"))</f>
        <v/>
      </c>
      <c r="G748" s="11" t="n">
        <v>0</v>
      </c>
      <c r="H748" s="11" t="n">
        <v>0</v>
      </c>
      <c r="I748" s="11" t="n">
        <v>96</v>
      </c>
      <c r="J748" s="11" t="n">
        <v>0</v>
      </c>
      <c r="K748" s="11" t="n">
        <v>0</v>
      </c>
      <c r="L748" s="11" t="n">
        <v>0</v>
      </c>
      <c r="M748" s="11" t="n">
        <f aca="false">SUM(G748:L748)</f>
        <v>96</v>
      </c>
      <c r="N748" s="11" t="n">
        <v>0</v>
      </c>
      <c r="O748" s="11" t="n">
        <v>0</v>
      </c>
      <c r="P748" s="11" t="n">
        <v>18</v>
      </c>
      <c r="Q748" s="11" t="n">
        <v>0</v>
      </c>
      <c r="R748" s="11" t="n">
        <v>0</v>
      </c>
      <c r="S748" s="11" t="n">
        <v>0</v>
      </c>
      <c r="T748" s="11" t="n">
        <f aca="false">SUM(N748:S748)</f>
        <v>18</v>
      </c>
      <c r="U748" s="11" t="n">
        <v>0</v>
      </c>
      <c r="V748" s="11" t="n">
        <v>0</v>
      </c>
      <c r="W748" s="11" t="n">
        <v>68</v>
      </c>
      <c r="X748" s="11" t="n">
        <v>31.8</v>
      </c>
      <c r="Y748" s="11" t="n">
        <v>0</v>
      </c>
      <c r="Z748" s="11" t="n">
        <v>0</v>
      </c>
      <c r="AA748" s="11" t="n">
        <f aca="false">SUM(U748:Z748)</f>
        <v>99.8</v>
      </c>
      <c r="AB748" s="11" t="n">
        <v>0</v>
      </c>
      <c r="AC748" s="11" t="n">
        <v>0</v>
      </c>
      <c r="AD748" s="11" t="n">
        <v>12</v>
      </c>
      <c r="AE748" s="11" t="n">
        <v>5.6</v>
      </c>
      <c r="AF748" s="11" t="n">
        <v>0</v>
      </c>
      <c r="AG748" s="11" t="n">
        <v>0</v>
      </c>
      <c r="AH748" s="11" t="n">
        <f aca="false">SUM(AB748:AG748)</f>
        <v>17.6</v>
      </c>
      <c r="AI748" s="12" t="s">
        <v>955</v>
      </c>
    </row>
    <row r="749" customFormat="false" ht="15" hidden="false" customHeight="false" outlineLevel="0" collapsed="false">
      <c r="A749" s="8" t="s">
        <v>1599</v>
      </c>
      <c r="B749" s="12" t="s">
        <v>1600</v>
      </c>
      <c r="C749" s="8" t="s">
        <v>1525</v>
      </c>
      <c r="D749" s="12" t="s">
        <v>1526</v>
      </c>
      <c r="E749" s="10" t="str">
        <f aca="true">IFERROR(IF(INDEX(INDIRECT("'"&amp;$AI749&amp;"'!$E$2:$E$327"),MATCH($A749,INDIRECT("'"&amp;$AI749&amp;"'!$A$2:$A$327"),0))="","",INDEX(INDIRECT("'"&amp;$AI749&amp;"'!$E$2:$E$327"),MATCH($A749,INDIRECT("'"&amp;$AI749&amp;"'!$A$2:$A$327"),0))),"")</f>
        <v/>
      </c>
      <c r="F749" s="9" t="str">
        <f aca="false">IF($E749="","",IFERROR(INDEX(担当者マスタ!$B$2:$B$101,MATCH($E749,担当者マスタ!$A$2:$A$101,0)),"※マスタ未登録"))</f>
        <v/>
      </c>
      <c r="G749" s="11" t="n">
        <v>53</v>
      </c>
      <c r="H749" s="11" t="n">
        <v>34.75</v>
      </c>
      <c r="I749" s="11" t="n">
        <v>0</v>
      </c>
      <c r="J749" s="11" t="n">
        <v>0</v>
      </c>
      <c r="K749" s="11" t="n">
        <v>34.75</v>
      </c>
      <c r="L749" s="11" t="n">
        <v>0</v>
      </c>
      <c r="M749" s="11" t="n">
        <f aca="false">SUM(G749:L749)</f>
        <v>122.5</v>
      </c>
      <c r="N749" s="11" t="n">
        <v>5.5</v>
      </c>
      <c r="O749" s="11" t="n">
        <v>3.5</v>
      </c>
      <c r="P749" s="11" t="n">
        <v>0</v>
      </c>
      <c r="Q749" s="11" t="n">
        <v>0</v>
      </c>
      <c r="R749" s="11" t="n">
        <v>3.5</v>
      </c>
      <c r="S749" s="11" t="n">
        <v>0</v>
      </c>
      <c r="T749" s="11" t="n">
        <f aca="false">SUM(N749:S749)</f>
        <v>12.5</v>
      </c>
      <c r="U749" s="11" t="n">
        <v>61.15</v>
      </c>
      <c r="V749" s="11" t="n">
        <v>34.75</v>
      </c>
      <c r="W749" s="11" t="n">
        <v>0</v>
      </c>
      <c r="X749" s="11" t="n">
        <v>34.75</v>
      </c>
      <c r="Y749" s="11" t="n">
        <v>0</v>
      </c>
      <c r="Z749" s="11" t="n">
        <v>0</v>
      </c>
      <c r="AA749" s="11" t="n">
        <f aca="false">SUM(U749:Z749)</f>
        <v>130.65</v>
      </c>
      <c r="AB749" s="11" t="n">
        <v>6.2</v>
      </c>
      <c r="AC749" s="11" t="n">
        <v>3.5</v>
      </c>
      <c r="AD749" s="11" t="n">
        <v>0</v>
      </c>
      <c r="AE749" s="11" t="n">
        <v>3.5</v>
      </c>
      <c r="AF749" s="11" t="n">
        <v>0</v>
      </c>
      <c r="AG749" s="11" t="n">
        <v>0</v>
      </c>
      <c r="AH749" s="11" t="n">
        <f aca="false">SUM(AB749:AG749)</f>
        <v>13.2</v>
      </c>
      <c r="AI749" s="12" t="s">
        <v>955</v>
      </c>
    </row>
    <row r="750" customFormat="false" ht="15" hidden="false" customHeight="false" outlineLevel="0" collapsed="false">
      <c r="A750" s="8" t="s">
        <v>1601</v>
      </c>
      <c r="B750" s="12" t="s">
        <v>1602</v>
      </c>
      <c r="C750" s="8" t="s">
        <v>1525</v>
      </c>
      <c r="D750" s="12" t="s">
        <v>1526</v>
      </c>
      <c r="E750" s="10" t="str">
        <f aca="true">IFERROR(IF(INDEX(INDIRECT("'"&amp;$AI750&amp;"'!$E$2:$E$327"),MATCH($A750,INDIRECT("'"&amp;$AI750&amp;"'!$A$2:$A$327"),0))="","",INDEX(INDIRECT("'"&amp;$AI750&amp;"'!$E$2:$E$327"),MATCH($A750,INDIRECT("'"&amp;$AI750&amp;"'!$A$2:$A$327"),0))),"")</f>
        <v/>
      </c>
      <c r="F750" s="9" t="str">
        <f aca="false">IF($E750="","",IFERROR(INDEX(担当者マスタ!$B$2:$B$101,MATCH($E750,担当者マスタ!$A$2:$A$101,0)),"※マスタ未登録"))</f>
        <v/>
      </c>
      <c r="G750" s="11" t="n">
        <v>49.495</v>
      </c>
      <c r="H750" s="11" t="n">
        <v>1087.677</v>
      </c>
      <c r="I750" s="11" t="n">
        <v>70.335</v>
      </c>
      <c r="J750" s="11" t="n">
        <v>58.43</v>
      </c>
      <c r="K750" s="11" t="n">
        <v>27.875</v>
      </c>
      <c r="L750" s="11" t="n">
        <v>30.91</v>
      </c>
      <c r="M750" s="11" t="n">
        <f aca="false">SUM(G750:L750)</f>
        <v>1324.722</v>
      </c>
      <c r="N750" s="11" t="n">
        <v>10.226</v>
      </c>
      <c r="O750" s="11" t="n">
        <v>173.998</v>
      </c>
      <c r="P750" s="11" t="n">
        <v>15.046</v>
      </c>
      <c r="Q750" s="11" t="n">
        <v>15.629</v>
      </c>
      <c r="R750" s="11" t="n">
        <v>6.499</v>
      </c>
      <c r="S750" s="11" t="n">
        <v>8.808</v>
      </c>
      <c r="T750" s="11" t="n">
        <f aca="false">SUM(N750:S750)</f>
        <v>230.206</v>
      </c>
      <c r="U750" s="11" t="n">
        <v>136.24</v>
      </c>
      <c r="V750" s="11" t="n">
        <v>99.215</v>
      </c>
      <c r="W750" s="11" t="n">
        <v>56.1</v>
      </c>
      <c r="X750" s="11" t="n">
        <v>38.385</v>
      </c>
      <c r="Y750" s="11" t="n">
        <v>24.24</v>
      </c>
      <c r="Z750" s="11" t="n">
        <v>26.88</v>
      </c>
      <c r="AA750" s="11" t="n">
        <f aca="false">SUM(U750:Z750)</f>
        <v>381.06</v>
      </c>
      <c r="AB750" s="11" t="n">
        <v>38.236</v>
      </c>
      <c r="AC750" s="11" t="n">
        <v>21.543</v>
      </c>
      <c r="AD750" s="11" t="n">
        <v>12.014</v>
      </c>
      <c r="AE750" s="11" t="n">
        <v>8.911</v>
      </c>
      <c r="AF750" s="11" t="n">
        <v>4.386</v>
      </c>
      <c r="AG750" s="11" t="n">
        <v>6.436</v>
      </c>
      <c r="AH750" s="11" t="n">
        <f aca="false">SUM(AB750:AG750)</f>
        <v>91.526</v>
      </c>
      <c r="AI750" s="12" t="s">
        <v>955</v>
      </c>
    </row>
    <row r="751" customFormat="false" ht="15" hidden="false" customHeight="false" outlineLevel="0" collapsed="false">
      <c r="A751" s="8" t="s">
        <v>1603</v>
      </c>
      <c r="B751" s="12" t="s">
        <v>1604</v>
      </c>
      <c r="C751" s="8" t="s">
        <v>1525</v>
      </c>
      <c r="D751" s="12" t="s">
        <v>1526</v>
      </c>
      <c r="E751" s="10" t="str">
        <f aca="true">IFERROR(IF(INDEX(INDIRECT("'"&amp;$AI751&amp;"'!$E$2:$E$327"),MATCH($A751,INDIRECT("'"&amp;$AI751&amp;"'!$A$2:$A$327"),0))="","",INDEX(INDIRECT("'"&amp;$AI751&amp;"'!$E$2:$E$327"),MATCH($A751,INDIRECT("'"&amp;$AI751&amp;"'!$A$2:$A$327"),0))),"")</f>
        <v/>
      </c>
      <c r="F751" s="9" t="str">
        <f aca="false">IF($E751="","",IFERROR(INDEX(担当者マスタ!$B$2:$B$101,MATCH($E751,担当者マスタ!$A$2:$A$101,0)),"※マスタ未登録"))</f>
        <v/>
      </c>
      <c r="G751" s="11" t="n">
        <v>0</v>
      </c>
      <c r="H751" s="11" t="n">
        <v>29.6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f aca="false">SUM(G751:L751)</f>
        <v>29.6</v>
      </c>
      <c r="N751" s="11" t="n">
        <v>0</v>
      </c>
      <c r="O751" s="11" t="n">
        <v>7.4</v>
      </c>
      <c r="P751" s="11" t="n">
        <v>0</v>
      </c>
      <c r="Q751" s="11" t="n">
        <v>0</v>
      </c>
      <c r="R751" s="11" t="n">
        <v>0</v>
      </c>
      <c r="S751" s="11" t="n">
        <v>0</v>
      </c>
      <c r="T751" s="11" t="n">
        <f aca="false">SUM(N751:S751)</f>
        <v>7.4</v>
      </c>
      <c r="U751" s="11" t="n">
        <v>0</v>
      </c>
      <c r="V751" s="11" t="n">
        <v>14.8</v>
      </c>
      <c r="W751" s="11" t="n">
        <v>0</v>
      </c>
      <c r="X751" s="11" t="n">
        <v>0</v>
      </c>
      <c r="Y751" s="11" t="n">
        <v>14.8</v>
      </c>
      <c r="Z751" s="11" t="n">
        <v>0</v>
      </c>
      <c r="AA751" s="11" t="n">
        <f aca="false">SUM(U751:Z751)</f>
        <v>29.6</v>
      </c>
      <c r="AB751" s="11" t="n">
        <v>0</v>
      </c>
      <c r="AC751" s="11" t="n">
        <v>3.7</v>
      </c>
      <c r="AD751" s="11" t="n">
        <v>0</v>
      </c>
      <c r="AE751" s="11" t="n">
        <v>0</v>
      </c>
      <c r="AF751" s="11" t="n">
        <v>3.7</v>
      </c>
      <c r="AG751" s="11" t="n">
        <v>0</v>
      </c>
      <c r="AH751" s="11" t="n">
        <f aca="false">SUM(AB751:AG751)</f>
        <v>7.4</v>
      </c>
      <c r="AI751" s="12" t="s">
        <v>955</v>
      </c>
    </row>
    <row r="752" customFormat="false" ht="15" hidden="false" customHeight="false" outlineLevel="0" collapsed="false">
      <c r="A752" s="8" t="s">
        <v>1605</v>
      </c>
      <c r="B752" s="12" t="s">
        <v>1606</v>
      </c>
      <c r="C752" s="8" t="s">
        <v>1525</v>
      </c>
      <c r="D752" s="12" t="s">
        <v>1526</v>
      </c>
      <c r="E752" s="10" t="str">
        <f aca="true">IFERROR(IF(INDEX(INDIRECT("'"&amp;$AI752&amp;"'!$E$2:$E$327"),MATCH($A752,INDIRECT("'"&amp;$AI752&amp;"'!$A$2:$A$327"),0))="","",INDEX(INDIRECT("'"&amp;$AI752&amp;"'!$E$2:$E$327"),MATCH($A752,INDIRECT("'"&amp;$AI752&amp;"'!$A$2:$A$327"),0))),"")</f>
        <v/>
      </c>
      <c r="F752" s="9" t="str">
        <f aca="false">IF($E752="","",IFERROR(INDEX(担当者マスタ!$B$2:$B$101,MATCH($E752,担当者マスタ!$A$2:$A$101,0)),"※マスタ未登録"))</f>
        <v/>
      </c>
      <c r="G752" s="11" t="n">
        <v>192.73</v>
      </c>
      <c r="H752" s="11" t="n">
        <v>25.44</v>
      </c>
      <c r="I752" s="11" t="n">
        <v>135.659</v>
      </c>
      <c r="J752" s="11" t="n">
        <v>0</v>
      </c>
      <c r="K752" s="11" t="n">
        <v>0</v>
      </c>
      <c r="L752" s="11" t="n">
        <v>0</v>
      </c>
      <c r="M752" s="11" t="n">
        <f aca="false">SUM(G752:L752)</f>
        <v>353.829</v>
      </c>
      <c r="N752" s="11" t="n">
        <v>60.714</v>
      </c>
      <c r="O752" s="11" t="n">
        <v>6.4</v>
      </c>
      <c r="P752" s="11" t="n">
        <v>26.034</v>
      </c>
      <c r="Q752" s="11" t="n">
        <v>0</v>
      </c>
      <c r="R752" s="11" t="n">
        <v>0</v>
      </c>
      <c r="S752" s="11" t="n">
        <v>0</v>
      </c>
      <c r="T752" s="11" t="n">
        <f aca="false">SUM(N752:S752)</f>
        <v>93.148</v>
      </c>
      <c r="U752" s="11" t="n">
        <v>6.08</v>
      </c>
      <c r="V752" s="11" t="n">
        <v>92.98</v>
      </c>
      <c r="W752" s="11" t="n">
        <v>0</v>
      </c>
      <c r="X752" s="11" t="n">
        <v>0</v>
      </c>
      <c r="Y752" s="11" t="n">
        <v>7.35</v>
      </c>
      <c r="Z752" s="11" t="n">
        <v>12</v>
      </c>
      <c r="AA752" s="11" t="n">
        <f aca="false">SUM(U752:Z752)</f>
        <v>118.41</v>
      </c>
      <c r="AB752" s="11" t="n">
        <v>1.535</v>
      </c>
      <c r="AC752" s="11" t="n">
        <v>25.76</v>
      </c>
      <c r="AD752" s="11" t="n">
        <v>0</v>
      </c>
      <c r="AE752" s="11" t="n">
        <v>0</v>
      </c>
      <c r="AF752" s="11" t="n">
        <v>1.5</v>
      </c>
      <c r="AG752" s="11" t="n">
        <v>3.6</v>
      </c>
      <c r="AH752" s="11" t="n">
        <f aca="false">SUM(AB752:AG752)</f>
        <v>32.395</v>
      </c>
      <c r="AI752" s="12" t="s">
        <v>955</v>
      </c>
    </row>
    <row r="753" customFormat="false" ht="15" hidden="false" customHeight="false" outlineLevel="0" collapsed="false">
      <c r="A753" s="8" t="s">
        <v>1607</v>
      </c>
      <c r="B753" s="12" t="s">
        <v>1608</v>
      </c>
      <c r="C753" s="8" t="s">
        <v>1525</v>
      </c>
      <c r="D753" s="12" t="s">
        <v>1526</v>
      </c>
      <c r="E753" s="10" t="str">
        <f aca="true">IFERROR(IF(INDEX(INDIRECT("'"&amp;$AI753&amp;"'!$E$2:$E$327"),MATCH($A753,INDIRECT("'"&amp;$AI753&amp;"'!$A$2:$A$327"),0))="","",INDEX(INDIRECT("'"&amp;$AI753&amp;"'!$E$2:$E$327"),MATCH($A753,INDIRECT("'"&amp;$AI753&amp;"'!$A$2:$A$327"),0))),"")</f>
        <v/>
      </c>
      <c r="F753" s="9" t="str">
        <f aca="false">IF($E753="","",IFERROR(INDEX(担当者マスタ!$B$2:$B$101,MATCH($E753,担当者マスタ!$A$2:$A$101,0)),"※マスタ未登録"))</f>
        <v/>
      </c>
      <c r="G753" s="11" t="n">
        <v>0</v>
      </c>
      <c r="H753" s="11" t="n">
        <v>24.5</v>
      </c>
      <c r="I753" s="11" t="n">
        <v>45.1</v>
      </c>
      <c r="J753" s="11" t="n">
        <v>0</v>
      </c>
      <c r="K753" s="11" t="n">
        <v>0</v>
      </c>
      <c r="L753" s="11" t="n">
        <v>0</v>
      </c>
      <c r="M753" s="11" t="n">
        <f aca="false">SUM(G753:L753)</f>
        <v>69.6</v>
      </c>
      <c r="N753" s="11" t="n">
        <v>0</v>
      </c>
      <c r="O753" s="11" t="n">
        <v>6.5</v>
      </c>
      <c r="P753" s="11" t="n">
        <v>8.839</v>
      </c>
      <c r="Q753" s="11" t="n">
        <v>0</v>
      </c>
      <c r="R753" s="11" t="n">
        <v>0</v>
      </c>
      <c r="S753" s="11" t="n">
        <v>0</v>
      </c>
      <c r="T753" s="11" t="n">
        <f aca="false">SUM(N753:S753)</f>
        <v>15.339</v>
      </c>
      <c r="U753" s="11" t="n">
        <v>0</v>
      </c>
      <c r="V753" s="11" t="n">
        <v>180</v>
      </c>
      <c r="W753" s="11" t="n">
        <v>0</v>
      </c>
      <c r="X753" s="11" t="n">
        <v>0</v>
      </c>
      <c r="Y753" s="11" t="n">
        <v>0</v>
      </c>
      <c r="Z753" s="11" t="n">
        <v>0</v>
      </c>
      <c r="AA753" s="11" t="n">
        <f aca="false">SUM(U753:Z753)</f>
        <v>180</v>
      </c>
      <c r="AB753" s="11" t="n">
        <v>0</v>
      </c>
      <c r="AC753" s="11" t="n">
        <v>44.679</v>
      </c>
      <c r="AD753" s="11" t="n">
        <v>0</v>
      </c>
      <c r="AE753" s="11" t="n">
        <v>0</v>
      </c>
      <c r="AF753" s="11" t="n">
        <v>0</v>
      </c>
      <c r="AG753" s="11" t="n">
        <v>0</v>
      </c>
      <c r="AH753" s="11" t="n">
        <f aca="false">SUM(AB753:AG753)</f>
        <v>44.679</v>
      </c>
      <c r="AI753" s="12" t="s">
        <v>955</v>
      </c>
    </row>
    <row r="754" customFormat="false" ht="15" hidden="false" customHeight="false" outlineLevel="0" collapsed="false">
      <c r="A754" s="8" t="s">
        <v>1609</v>
      </c>
      <c r="B754" s="12" t="s">
        <v>1610</v>
      </c>
      <c r="C754" s="8" t="s">
        <v>1525</v>
      </c>
      <c r="D754" s="12" t="s">
        <v>1526</v>
      </c>
      <c r="E754" s="10" t="str">
        <f aca="true">IFERROR(IF(INDEX(INDIRECT("'"&amp;$AI754&amp;"'!$E$2:$E$327"),MATCH($A754,INDIRECT("'"&amp;$AI754&amp;"'!$A$2:$A$327"),0))="","",INDEX(INDIRECT("'"&amp;$AI754&amp;"'!$E$2:$E$327"),MATCH($A754,INDIRECT("'"&amp;$AI754&amp;"'!$A$2:$A$327"),0))),"")</f>
        <v/>
      </c>
      <c r="F754" s="9" t="str">
        <f aca="false">IF($E754="","",IFERROR(INDEX(担当者マスタ!$B$2:$B$101,MATCH($E754,担当者マスタ!$A$2:$A$101,0)),"※マスタ未登録"))</f>
        <v/>
      </c>
      <c r="G754" s="11" t="n">
        <v>0</v>
      </c>
      <c r="H754" s="11" t="n">
        <v>0</v>
      </c>
      <c r="I754" s="11" t="n">
        <v>9.762</v>
      </c>
      <c r="J754" s="11" t="n">
        <v>0</v>
      </c>
      <c r="K754" s="11" t="n">
        <v>0</v>
      </c>
      <c r="L754" s="11" t="n">
        <v>41.332</v>
      </c>
      <c r="M754" s="11" t="n">
        <f aca="false">SUM(G754:L754)</f>
        <v>51.094</v>
      </c>
      <c r="N754" s="11" t="n">
        <v>0</v>
      </c>
      <c r="O754" s="11" t="n">
        <v>0</v>
      </c>
      <c r="P754" s="11" t="n">
        <v>1.952</v>
      </c>
      <c r="Q754" s="11" t="n">
        <v>0</v>
      </c>
      <c r="R754" s="11" t="n">
        <v>0</v>
      </c>
      <c r="S754" s="11" t="n">
        <v>8.01</v>
      </c>
      <c r="T754" s="11" t="n">
        <f aca="false">SUM(N754:S754)</f>
        <v>9.962</v>
      </c>
      <c r="U754" s="11" t="n">
        <v>19.191</v>
      </c>
      <c r="V754" s="11" t="n">
        <v>29.88</v>
      </c>
      <c r="W754" s="11" t="n">
        <v>1.579</v>
      </c>
      <c r="X754" s="11" t="n">
        <v>16.084</v>
      </c>
      <c r="Y754" s="11" t="n">
        <v>0</v>
      </c>
      <c r="Z754" s="11" t="n">
        <v>0</v>
      </c>
      <c r="AA754" s="11" t="n">
        <f aca="false">SUM(U754:Z754)</f>
        <v>66.734</v>
      </c>
      <c r="AB754" s="11" t="n">
        <v>4.678</v>
      </c>
      <c r="AC754" s="11" t="n">
        <v>5.976</v>
      </c>
      <c r="AD754" s="11" t="n">
        <v>0.591</v>
      </c>
      <c r="AE754" s="11" t="n">
        <v>3.703</v>
      </c>
      <c r="AF754" s="11" t="n">
        <v>0</v>
      </c>
      <c r="AG754" s="11" t="n">
        <v>0</v>
      </c>
      <c r="AH754" s="11" t="n">
        <f aca="false">SUM(AB754:AG754)</f>
        <v>14.948</v>
      </c>
      <c r="AI754" s="12" t="s">
        <v>955</v>
      </c>
    </row>
    <row r="755" customFormat="false" ht="15" hidden="false" customHeight="false" outlineLevel="0" collapsed="false">
      <c r="A755" s="8" t="s">
        <v>1611</v>
      </c>
      <c r="B755" s="12" t="s">
        <v>1612</v>
      </c>
      <c r="C755" s="8" t="s">
        <v>1525</v>
      </c>
      <c r="D755" s="12" t="s">
        <v>1526</v>
      </c>
      <c r="E755" s="10" t="str">
        <f aca="true">IFERROR(IF(INDEX(INDIRECT("'"&amp;$AI755&amp;"'!$E$2:$E$327"),MATCH($A755,INDIRECT("'"&amp;$AI755&amp;"'!$A$2:$A$327"),0))="","",INDEX(INDIRECT("'"&amp;$AI755&amp;"'!$E$2:$E$327"),MATCH($A755,INDIRECT("'"&amp;$AI755&amp;"'!$A$2:$A$327"),0))),"")</f>
        <v/>
      </c>
      <c r="F755" s="9" t="str">
        <f aca="false">IF($E755="","",IFERROR(INDEX(担当者マスタ!$B$2:$B$101,MATCH($E755,担当者マスタ!$A$2:$A$101,0)),"※マスタ未登録"))</f>
        <v/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15.9</v>
      </c>
      <c r="L755" s="11" t="n">
        <v>0</v>
      </c>
      <c r="M755" s="11" t="n">
        <f aca="false">SUM(G755:L755)</f>
        <v>15.9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5.4</v>
      </c>
      <c r="S755" s="11" t="n">
        <v>0</v>
      </c>
      <c r="T755" s="11" t="n">
        <f aca="false">SUM(N755:S755)</f>
        <v>5.4</v>
      </c>
      <c r="U755" s="11" t="n">
        <v>0</v>
      </c>
      <c r="V755" s="11" t="n">
        <v>0</v>
      </c>
      <c r="W755" s="11" t="n">
        <v>15.9</v>
      </c>
      <c r="X755" s="11" t="n">
        <v>0</v>
      </c>
      <c r="Y755" s="11" t="n">
        <v>0</v>
      </c>
      <c r="Z755" s="11" t="n">
        <v>0</v>
      </c>
      <c r="AA755" s="11" t="n">
        <f aca="false">SUM(U755:Z755)</f>
        <v>15.9</v>
      </c>
      <c r="AB755" s="11" t="n">
        <v>0</v>
      </c>
      <c r="AC755" s="11" t="n">
        <v>0</v>
      </c>
      <c r="AD755" s="11" t="n">
        <v>5.4</v>
      </c>
      <c r="AE755" s="11" t="n">
        <v>0</v>
      </c>
      <c r="AF755" s="11" t="n">
        <v>0</v>
      </c>
      <c r="AG755" s="11" t="n">
        <v>0</v>
      </c>
      <c r="AH755" s="11" t="n">
        <f aca="false">SUM(AB755:AG755)</f>
        <v>5.4</v>
      </c>
      <c r="AI755" s="12" t="s">
        <v>955</v>
      </c>
    </row>
    <row r="756" customFormat="false" ht="15" hidden="false" customHeight="false" outlineLevel="0" collapsed="false">
      <c r="A756" s="8" t="s">
        <v>1613</v>
      </c>
      <c r="B756" s="12" t="s">
        <v>1614</v>
      </c>
      <c r="C756" s="8" t="s">
        <v>1525</v>
      </c>
      <c r="D756" s="12" t="s">
        <v>1526</v>
      </c>
      <c r="E756" s="10" t="str">
        <f aca="true">IFERROR(IF(INDEX(INDIRECT("'"&amp;$AI756&amp;"'!$E$2:$E$327"),MATCH($A756,INDIRECT("'"&amp;$AI756&amp;"'!$A$2:$A$327"),0))="","",INDEX(INDIRECT("'"&amp;$AI756&amp;"'!$E$2:$E$327"),MATCH($A756,INDIRECT("'"&amp;$AI756&amp;"'!$A$2:$A$327"),0))),"")</f>
        <v/>
      </c>
      <c r="F756" s="9" t="str">
        <f aca="false">IF($E756="","",IFERROR(INDEX(担当者マスタ!$B$2:$B$101,MATCH($E756,担当者マスタ!$A$2:$A$101,0)),"※マスタ未登録"))</f>
        <v/>
      </c>
      <c r="G756" s="11" t="n">
        <v>0</v>
      </c>
      <c r="H756" s="11" t="n">
        <v>0</v>
      </c>
      <c r="I756" s="11" t="n">
        <v>15</v>
      </c>
      <c r="J756" s="11" t="n">
        <v>0</v>
      </c>
      <c r="K756" s="11" t="n">
        <v>0</v>
      </c>
      <c r="L756" s="11" t="n">
        <v>0</v>
      </c>
      <c r="M756" s="11" t="n">
        <f aca="false">SUM(G756:L756)</f>
        <v>15</v>
      </c>
      <c r="N756" s="11" t="n">
        <v>0</v>
      </c>
      <c r="O756" s="11" t="n">
        <v>0</v>
      </c>
      <c r="P756" s="11" t="n">
        <v>4.5</v>
      </c>
      <c r="Q756" s="11" t="n">
        <v>0</v>
      </c>
      <c r="R756" s="11" t="n">
        <v>0</v>
      </c>
      <c r="S756" s="11" t="n">
        <v>0</v>
      </c>
      <c r="T756" s="11" t="n">
        <f aca="false">SUM(N756:S756)</f>
        <v>4.5</v>
      </c>
      <c r="U756" s="11" t="n">
        <v>0</v>
      </c>
      <c r="V756" s="11" t="n">
        <v>15</v>
      </c>
      <c r="W756" s="11" t="n">
        <v>0</v>
      </c>
      <c r="X756" s="11" t="n">
        <v>0</v>
      </c>
      <c r="Y756" s="11" t="n">
        <v>15</v>
      </c>
      <c r="Z756" s="11" t="n">
        <v>0</v>
      </c>
      <c r="AA756" s="11" t="n">
        <f aca="false">SUM(U756:Z756)</f>
        <v>30</v>
      </c>
      <c r="AB756" s="11" t="n">
        <v>0</v>
      </c>
      <c r="AC756" s="11" t="n">
        <v>4.5</v>
      </c>
      <c r="AD756" s="11" t="n">
        <v>0</v>
      </c>
      <c r="AE756" s="11" t="n">
        <v>0</v>
      </c>
      <c r="AF756" s="11" t="n">
        <v>4.5</v>
      </c>
      <c r="AG756" s="11" t="n">
        <v>0</v>
      </c>
      <c r="AH756" s="11" t="n">
        <f aca="false">SUM(AB756:AG756)</f>
        <v>9</v>
      </c>
      <c r="AI756" s="12" t="s">
        <v>955</v>
      </c>
    </row>
    <row r="757" customFormat="false" ht="15" hidden="false" customHeight="false" outlineLevel="0" collapsed="false">
      <c r="A757" s="8" t="s">
        <v>1615</v>
      </c>
      <c r="B757" s="12" t="s">
        <v>1616</v>
      </c>
      <c r="C757" s="8" t="s">
        <v>1525</v>
      </c>
      <c r="D757" s="12" t="s">
        <v>1526</v>
      </c>
      <c r="E757" s="10" t="str">
        <f aca="true">IFERROR(IF(INDEX(INDIRECT("'"&amp;$AI757&amp;"'!$E$2:$E$327"),MATCH($A757,INDIRECT("'"&amp;$AI757&amp;"'!$A$2:$A$327"),0))="","",INDEX(INDIRECT("'"&amp;$AI757&amp;"'!$E$2:$E$327"),MATCH($A757,INDIRECT("'"&amp;$AI757&amp;"'!$A$2:$A$327"),0))),"")</f>
        <v/>
      </c>
      <c r="F757" s="9" t="str">
        <f aca="false">IF($E757="","",IFERROR(INDEX(担当者マスタ!$B$2:$B$101,MATCH($E757,担当者マスタ!$A$2:$A$101,0)),"※マスタ未登録"))</f>
        <v/>
      </c>
      <c r="G757" s="11" t="n">
        <v>10.5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f aca="false">SUM(G757:L757)</f>
        <v>10.5</v>
      </c>
      <c r="N757" s="11" t="n">
        <v>2.1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1" t="n">
        <f aca="false">SUM(N757:S757)</f>
        <v>2.1</v>
      </c>
      <c r="U757" s="11" t="n">
        <v>0</v>
      </c>
      <c r="V757" s="11" t="n">
        <v>0</v>
      </c>
      <c r="W757" s="11" t="n">
        <v>0</v>
      </c>
      <c r="X757" s="11" t="n">
        <v>0</v>
      </c>
      <c r="Y757" s="11" t="n">
        <v>0</v>
      </c>
      <c r="Z757" s="11" t="n">
        <v>0</v>
      </c>
      <c r="AA757" s="11" t="n">
        <f aca="false">SUM(U757:Z757)</f>
        <v>0</v>
      </c>
      <c r="AB757" s="11" t="n">
        <v>0</v>
      </c>
      <c r="AC757" s="11" t="n">
        <v>0</v>
      </c>
      <c r="AD757" s="11" t="n">
        <v>0</v>
      </c>
      <c r="AE757" s="11" t="n">
        <v>0</v>
      </c>
      <c r="AF757" s="11" t="n">
        <v>0</v>
      </c>
      <c r="AG757" s="11" t="n">
        <v>0</v>
      </c>
      <c r="AH757" s="11" t="n">
        <f aca="false">SUM(AB757:AG757)</f>
        <v>0</v>
      </c>
      <c r="AI757" s="12" t="s">
        <v>955</v>
      </c>
    </row>
    <row r="758" customFormat="false" ht="15" hidden="false" customHeight="false" outlineLevel="0" collapsed="false">
      <c r="A758" s="8" t="s">
        <v>1617</v>
      </c>
      <c r="B758" s="12" t="s">
        <v>1618</v>
      </c>
      <c r="C758" s="8" t="s">
        <v>1525</v>
      </c>
      <c r="D758" s="12" t="s">
        <v>1526</v>
      </c>
      <c r="E758" s="10" t="str">
        <f aca="true">IFERROR(IF(INDEX(INDIRECT("'"&amp;$AI758&amp;"'!$E$2:$E$327"),MATCH($A758,INDIRECT("'"&amp;$AI758&amp;"'!$A$2:$A$327"),0))="","",INDEX(INDIRECT("'"&amp;$AI758&amp;"'!$E$2:$E$327"),MATCH($A758,INDIRECT("'"&amp;$AI758&amp;"'!$A$2:$A$327"),0))),"")</f>
        <v/>
      </c>
      <c r="F758" s="9" t="str">
        <f aca="false">IF($E758="","",IFERROR(INDEX(担当者マスタ!$B$2:$B$101,MATCH($E758,担当者マスタ!$A$2:$A$101,0)),"※マスタ未登録"))</f>
        <v/>
      </c>
      <c r="G758" s="11" t="n">
        <v>275.06</v>
      </c>
      <c r="H758" s="11" t="n">
        <v>228.846</v>
      </c>
      <c r="I758" s="11" t="n">
        <v>424.111</v>
      </c>
      <c r="J758" s="11" t="n">
        <v>145.612</v>
      </c>
      <c r="K758" s="11" t="n">
        <v>345.299</v>
      </c>
      <c r="L758" s="11" t="n">
        <v>151.451</v>
      </c>
      <c r="M758" s="11" t="n">
        <f aca="false">SUM(G758:L758)</f>
        <v>1570.379</v>
      </c>
      <c r="N758" s="11" t="n">
        <v>73.467</v>
      </c>
      <c r="O758" s="11" t="n">
        <v>56.523</v>
      </c>
      <c r="P758" s="11" t="n">
        <v>95.486</v>
      </c>
      <c r="Q758" s="11" t="n">
        <v>36.266</v>
      </c>
      <c r="R758" s="11" t="n">
        <v>56.636</v>
      </c>
      <c r="S758" s="11" t="n">
        <v>37.134</v>
      </c>
      <c r="T758" s="11" t="n">
        <f aca="false">SUM(N758:S758)</f>
        <v>355.512</v>
      </c>
      <c r="U758" s="11" t="n">
        <v>263.658</v>
      </c>
      <c r="V758" s="11" t="n">
        <v>140.005</v>
      </c>
      <c r="W758" s="11" t="n">
        <v>434.759</v>
      </c>
      <c r="X758" s="11" t="n">
        <v>156.655</v>
      </c>
      <c r="Y758" s="11" t="n">
        <v>257.833</v>
      </c>
      <c r="Z758" s="11" t="n">
        <v>98.785</v>
      </c>
      <c r="AA758" s="11" t="n">
        <f aca="false">SUM(U758:Z758)</f>
        <v>1351.695</v>
      </c>
      <c r="AB758" s="11" t="n">
        <v>62.971</v>
      </c>
      <c r="AC758" s="11" t="n">
        <v>38.618</v>
      </c>
      <c r="AD758" s="11" t="n">
        <v>102.203</v>
      </c>
      <c r="AE758" s="11" t="n">
        <v>37.354</v>
      </c>
      <c r="AF758" s="11" t="n">
        <v>60.987</v>
      </c>
      <c r="AG758" s="11" t="n">
        <v>26.661</v>
      </c>
      <c r="AH758" s="11" t="n">
        <f aca="false">SUM(AB758:AG758)</f>
        <v>328.794</v>
      </c>
      <c r="AI758" s="12" t="s">
        <v>955</v>
      </c>
    </row>
    <row r="759" customFormat="false" ht="15" hidden="false" customHeight="false" outlineLevel="0" collapsed="false">
      <c r="A759" s="8" t="s">
        <v>1619</v>
      </c>
      <c r="B759" s="12" t="s">
        <v>1620</v>
      </c>
      <c r="C759" s="8" t="s">
        <v>1525</v>
      </c>
      <c r="D759" s="12" t="s">
        <v>1526</v>
      </c>
      <c r="E759" s="10" t="str">
        <f aca="true">IFERROR(IF(INDEX(INDIRECT("'"&amp;$AI759&amp;"'!$E$2:$E$327"),MATCH($A759,INDIRECT("'"&amp;$AI759&amp;"'!$A$2:$A$327"),0))="","",INDEX(INDIRECT("'"&amp;$AI759&amp;"'!$E$2:$E$327"),MATCH($A759,INDIRECT("'"&amp;$AI759&amp;"'!$A$2:$A$327"),0))),"")</f>
        <v/>
      </c>
      <c r="F759" s="9" t="str">
        <f aca="false">IF($E759="","",IFERROR(INDEX(担当者マスタ!$B$2:$B$101,MATCH($E759,担当者マスタ!$A$2:$A$101,0)),"※マスタ未登録"))</f>
        <v/>
      </c>
      <c r="G759" s="11" t="n">
        <v>0</v>
      </c>
      <c r="H759" s="11" t="n">
        <v>55.56</v>
      </c>
      <c r="I759" s="11" t="n">
        <v>24.8</v>
      </c>
      <c r="J759" s="11" t="n">
        <v>80.4</v>
      </c>
      <c r="K759" s="11" t="n">
        <v>0</v>
      </c>
      <c r="L759" s="11" t="n">
        <v>0</v>
      </c>
      <c r="M759" s="11" t="n">
        <f aca="false">SUM(G759:L759)</f>
        <v>160.76</v>
      </c>
      <c r="N759" s="11" t="n">
        <v>0</v>
      </c>
      <c r="O759" s="11" t="n">
        <v>11.165</v>
      </c>
      <c r="P759" s="11" t="n">
        <v>7.3</v>
      </c>
      <c r="Q759" s="11" t="n">
        <v>16.83</v>
      </c>
      <c r="R759" s="11" t="n">
        <v>0</v>
      </c>
      <c r="S759" s="11" t="n">
        <v>0</v>
      </c>
      <c r="T759" s="11" t="n">
        <f aca="false">SUM(N759:S759)</f>
        <v>35.295</v>
      </c>
      <c r="U759" s="11" t="n">
        <v>0</v>
      </c>
      <c r="V759" s="11" t="n">
        <v>0</v>
      </c>
      <c r="W759" s="11" t="n">
        <v>0</v>
      </c>
      <c r="X759" s="11" t="n">
        <v>65.47</v>
      </c>
      <c r="Y759" s="11" t="n">
        <v>0</v>
      </c>
      <c r="Z759" s="11" t="n">
        <v>0</v>
      </c>
      <c r="AA759" s="11" t="n">
        <f aca="false">SUM(U759:Z759)</f>
        <v>65.47</v>
      </c>
      <c r="AB759" s="11" t="n">
        <v>0</v>
      </c>
      <c r="AC759" s="11" t="n">
        <v>0</v>
      </c>
      <c r="AD759" s="11" t="n">
        <v>0</v>
      </c>
      <c r="AE759" s="11" t="n">
        <v>12.38</v>
      </c>
      <c r="AF759" s="11" t="n">
        <v>0</v>
      </c>
      <c r="AG759" s="11" t="n">
        <v>0</v>
      </c>
      <c r="AH759" s="11" t="n">
        <f aca="false">SUM(AB759:AG759)</f>
        <v>12.38</v>
      </c>
      <c r="AI759" s="12" t="s">
        <v>955</v>
      </c>
    </row>
    <row r="760" customFormat="false" ht="15" hidden="false" customHeight="false" outlineLevel="0" collapsed="false">
      <c r="A760" s="8" t="s">
        <v>1621</v>
      </c>
      <c r="B760" s="9" t="s">
        <v>1622</v>
      </c>
      <c r="C760" s="8" t="s">
        <v>1525</v>
      </c>
      <c r="D760" s="12" t="s">
        <v>1526</v>
      </c>
      <c r="E760" s="10" t="str">
        <f aca="true">IFERROR(IF(INDEX(INDIRECT("'"&amp;$AI760&amp;"'!$E$2:$E$327"),MATCH($A760,INDIRECT("'"&amp;$AI760&amp;"'!$A$2:$A$327"),0))="","",INDEX(INDIRECT("'"&amp;$AI760&amp;"'!$E$2:$E$327"),MATCH($A760,INDIRECT("'"&amp;$AI760&amp;"'!$A$2:$A$327"),0))),"")</f>
        <v/>
      </c>
      <c r="F760" s="9" t="str">
        <f aca="false">IF($E760="","",IFERROR(INDEX(担当者マスタ!$B$2:$B$101,MATCH($E760,担当者マスタ!$A$2:$A$101,0)),"※マスタ未登録"))</f>
        <v/>
      </c>
      <c r="G760" s="11" t="n">
        <v>73.5</v>
      </c>
      <c r="H760" s="11" t="n">
        <v>17.5</v>
      </c>
      <c r="I760" s="11" t="n">
        <v>16.05</v>
      </c>
      <c r="J760" s="11" t="n">
        <v>54.83</v>
      </c>
      <c r="K760" s="11" t="n">
        <v>39.81</v>
      </c>
      <c r="L760" s="11" t="n">
        <v>27.93</v>
      </c>
      <c r="M760" s="11" t="n">
        <f aca="false">SUM(G760:L760)</f>
        <v>229.62</v>
      </c>
      <c r="N760" s="11" t="n">
        <v>13.981</v>
      </c>
      <c r="O760" s="11" t="n">
        <v>3.3</v>
      </c>
      <c r="P760" s="11" t="n">
        <v>3.53</v>
      </c>
      <c r="Q760" s="11" t="n">
        <v>10.031</v>
      </c>
      <c r="R760" s="11" t="n">
        <v>6.957</v>
      </c>
      <c r="S760" s="11" t="n">
        <v>6.41</v>
      </c>
      <c r="T760" s="11" t="n">
        <f aca="false">SUM(N760:S760)</f>
        <v>44.209</v>
      </c>
      <c r="U760" s="11" t="n">
        <v>71.6</v>
      </c>
      <c r="V760" s="11" t="n">
        <v>79.24</v>
      </c>
      <c r="W760" s="11" t="n">
        <v>158.43</v>
      </c>
      <c r="X760" s="11" t="n">
        <v>16.1</v>
      </c>
      <c r="Y760" s="11" t="n">
        <v>22.575</v>
      </c>
      <c r="Z760" s="11" t="n">
        <v>63.76</v>
      </c>
      <c r="AA760" s="11" t="n">
        <f aca="false">SUM(U760:Z760)</f>
        <v>411.705</v>
      </c>
      <c r="AB760" s="11" t="n">
        <v>10.846</v>
      </c>
      <c r="AC760" s="11" t="n">
        <v>13.662</v>
      </c>
      <c r="AD760" s="11" t="n">
        <v>24.757</v>
      </c>
      <c r="AE760" s="11" t="n">
        <v>3.3</v>
      </c>
      <c r="AF760" s="11" t="n">
        <v>3.213</v>
      </c>
      <c r="AG760" s="11" t="n">
        <v>11.436</v>
      </c>
      <c r="AH760" s="11" t="n">
        <f aca="false">SUM(AB760:AG760)</f>
        <v>67.214</v>
      </c>
      <c r="AI760" s="12" t="s">
        <v>955</v>
      </c>
    </row>
    <row r="761" customFormat="false" ht="15" hidden="false" customHeight="false" outlineLevel="0" collapsed="false">
      <c r="A761" s="8" t="s">
        <v>1623</v>
      </c>
      <c r="B761" s="12" t="s">
        <v>1624</v>
      </c>
      <c r="C761" s="8" t="s">
        <v>1525</v>
      </c>
      <c r="D761" s="12" t="s">
        <v>1526</v>
      </c>
      <c r="E761" s="10" t="str">
        <f aca="true">IFERROR(IF(INDEX(INDIRECT("'"&amp;$AI761&amp;"'!$E$2:$E$327"),MATCH($A761,INDIRECT("'"&amp;$AI761&amp;"'!$A$2:$A$327"),0))="","",INDEX(INDIRECT("'"&amp;$AI761&amp;"'!$E$2:$E$327"),MATCH($A761,INDIRECT("'"&amp;$AI761&amp;"'!$A$2:$A$327"),0))),"")</f>
        <v/>
      </c>
      <c r="F761" s="9" t="str">
        <f aca="false">IF($E761="","",IFERROR(INDEX(担当者マスタ!$B$2:$B$101,MATCH($E761,担当者マスタ!$A$2:$A$101,0)),"※マスタ未登録"))</f>
        <v/>
      </c>
      <c r="G761" s="11" t="n">
        <v>0</v>
      </c>
      <c r="H761" s="11" t="n">
        <v>18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f aca="false">SUM(G761:L761)</f>
        <v>18</v>
      </c>
      <c r="N761" s="11" t="n">
        <v>0</v>
      </c>
      <c r="O761" s="11" t="n">
        <v>10.72</v>
      </c>
      <c r="P761" s="11" t="n">
        <v>0</v>
      </c>
      <c r="Q761" s="11" t="n">
        <v>0</v>
      </c>
      <c r="R761" s="11" t="n">
        <v>0</v>
      </c>
      <c r="S761" s="11" t="n">
        <v>0</v>
      </c>
      <c r="T761" s="11" t="n">
        <f aca="false">SUM(N761:S761)</f>
        <v>10.72</v>
      </c>
      <c r="U761" s="11" t="n">
        <v>0</v>
      </c>
      <c r="V761" s="11" t="n">
        <v>0</v>
      </c>
      <c r="W761" s="11" t="n">
        <v>4</v>
      </c>
      <c r="X761" s="11" t="n">
        <v>0</v>
      </c>
      <c r="Y761" s="11" t="n">
        <v>4</v>
      </c>
      <c r="Z761" s="11" t="n">
        <v>0</v>
      </c>
      <c r="AA761" s="11" t="n">
        <f aca="false">SUM(U761:Z761)</f>
        <v>8</v>
      </c>
      <c r="AB761" s="11" t="n">
        <v>0</v>
      </c>
      <c r="AC761" s="11" t="n">
        <v>0</v>
      </c>
      <c r="AD761" s="11" t="n">
        <v>1.1</v>
      </c>
      <c r="AE761" s="11" t="n">
        <v>0</v>
      </c>
      <c r="AF761" s="11" t="n">
        <v>1.1</v>
      </c>
      <c r="AG761" s="11" t="n">
        <v>0</v>
      </c>
      <c r="AH761" s="11" t="n">
        <f aca="false">SUM(AB761:AG761)</f>
        <v>2.2</v>
      </c>
      <c r="AI761" s="12" t="s">
        <v>955</v>
      </c>
    </row>
    <row r="762" customFormat="false" ht="15" hidden="false" customHeight="false" outlineLevel="0" collapsed="false">
      <c r="A762" s="8" t="s">
        <v>1625</v>
      </c>
      <c r="B762" s="12" t="s">
        <v>1626</v>
      </c>
      <c r="C762" s="8" t="s">
        <v>1525</v>
      </c>
      <c r="D762" s="12" t="s">
        <v>1526</v>
      </c>
      <c r="E762" s="10" t="str">
        <f aca="true">IFERROR(IF(INDEX(INDIRECT("'"&amp;$AI762&amp;"'!$E$2:$E$327"),MATCH($A762,INDIRECT("'"&amp;$AI762&amp;"'!$A$2:$A$327"),0))="","",INDEX(INDIRECT("'"&amp;$AI762&amp;"'!$E$2:$E$327"),MATCH($A762,INDIRECT("'"&amp;$AI762&amp;"'!$A$2:$A$327"),0))),"")</f>
        <v/>
      </c>
      <c r="F762" s="9" t="str">
        <f aca="false">IF($E762="","",IFERROR(INDEX(担当者マスタ!$B$2:$B$101,MATCH($E762,担当者マスタ!$A$2:$A$101,0)),"※マスタ未登録"))</f>
        <v/>
      </c>
      <c r="G762" s="11" t="n">
        <v>24.78</v>
      </c>
      <c r="H762" s="11" t="n">
        <v>73.46</v>
      </c>
      <c r="I762" s="11" t="n">
        <v>786.42</v>
      </c>
      <c r="J762" s="11" t="n">
        <v>0</v>
      </c>
      <c r="K762" s="11" t="n">
        <v>32</v>
      </c>
      <c r="L762" s="11" t="n">
        <v>16.52</v>
      </c>
      <c r="M762" s="11" t="n">
        <f aca="false">SUM(G762:L762)</f>
        <v>933.18</v>
      </c>
      <c r="N762" s="11" t="n">
        <v>5.22</v>
      </c>
      <c r="O762" s="11" t="n">
        <v>8.24</v>
      </c>
      <c r="P762" s="11" t="n">
        <v>84.46</v>
      </c>
      <c r="Q762" s="11" t="n">
        <v>0</v>
      </c>
      <c r="R762" s="11" t="n">
        <v>6.97</v>
      </c>
      <c r="S762" s="11" t="n">
        <v>2.6</v>
      </c>
      <c r="T762" s="11" t="n">
        <f aca="false">SUM(N762:S762)</f>
        <v>107.49</v>
      </c>
      <c r="U762" s="11" t="n">
        <v>36.86</v>
      </c>
      <c r="V762" s="11" t="n">
        <v>16.52</v>
      </c>
      <c r="W762" s="11" t="n">
        <v>172.16</v>
      </c>
      <c r="X762" s="11" t="n">
        <v>0</v>
      </c>
      <c r="Y762" s="11" t="n">
        <v>0</v>
      </c>
      <c r="Z762" s="11" t="n">
        <v>0</v>
      </c>
      <c r="AA762" s="11" t="n">
        <f aca="false">SUM(U762:Z762)</f>
        <v>225.54</v>
      </c>
      <c r="AB762" s="11" t="n">
        <v>5.66</v>
      </c>
      <c r="AC762" s="11" t="n">
        <v>2.6</v>
      </c>
      <c r="AD762" s="11" t="n">
        <v>22.48</v>
      </c>
      <c r="AE762" s="11" t="n">
        <v>0</v>
      </c>
      <c r="AF762" s="11" t="n">
        <v>0</v>
      </c>
      <c r="AG762" s="11" t="n">
        <v>0</v>
      </c>
      <c r="AH762" s="11" t="n">
        <f aca="false">SUM(AB762:AG762)</f>
        <v>30.74</v>
      </c>
      <c r="AI762" s="12" t="s">
        <v>955</v>
      </c>
    </row>
    <row r="763" customFormat="false" ht="15" hidden="false" customHeight="false" outlineLevel="0" collapsed="false">
      <c r="A763" s="8" t="s">
        <v>1627</v>
      </c>
      <c r="B763" s="12" t="s">
        <v>1628</v>
      </c>
      <c r="C763" s="8" t="s">
        <v>1525</v>
      </c>
      <c r="D763" s="12" t="s">
        <v>1526</v>
      </c>
      <c r="E763" s="10" t="str">
        <f aca="true">IFERROR(IF(INDEX(INDIRECT("'"&amp;$AI763&amp;"'!$E$2:$E$327"),MATCH($A763,INDIRECT("'"&amp;$AI763&amp;"'!$A$2:$A$327"),0))="","",INDEX(INDIRECT("'"&amp;$AI763&amp;"'!$E$2:$E$327"),MATCH($A763,INDIRECT("'"&amp;$AI763&amp;"'!$A$2:$A$327"),0))),"")</f>
        <v/>
      </c>
      <c r="F763" s="9" t="str">
        <f aca="false">IF($E763="","",IFERROR(INDEX(担当者マスタ!$B$2:$B$101,MATCH($E763,担当者マスタ!$A$2:$A$101,0)),"※マスタ未登録"))</f>
        <v/>
      </c>
      <c r="G763" s="11" t="n">
        <v>0</v>
      </c>
      <c r="H763" s="11" t="n">
        <v>0</v>
      </c>
      <c r="I763" s="11" t="n">
        <v>10.99</v>
      </c>
      <c r="J763" s="11" t="n">
        <v>0</v>
      </c>
      <c r="K763" s="11" t="n">
        <v>0</v>
      </c>
      <c r="L763" s="11" t="n">
        <v>0</v>
      </c>
      <c r="M763" s="11" t="n">
        <f aca="false">SUM(G763:L763)</f>
        <v>10.99</v>
      </c>
      <c r="N763" s="11" t="n">
        <v>0</v>
      </c>
      <c r="O763" s="11" t="n">
        <v>0</v>
      </c>
      <c r="P763" s="11" t="n">
        <v>1.8</v>
      </c>
      <c r="Q763" s="11" t="n">
        <v>0</v>
      </c>
      <c r="R763" s="11" t="n">
        <v>0</v>
      </c>
      <c r="S763" s="11" t="n">
        <v>0</v>
      </c>
      <c r="T763" s="11" t="n">
        <f aca="false">SUM(N763:S763)</f>
        <v>1.8</v>
      </c>
      <c r="U763" s="11" t="n">
        <v>0</v>
      </c>
      <c r="V763" s="11" t="n">
        <v>0</v>
      </c>
      <c r="W763" s="11" t="n">
        <v>0</v>
      </c>
      <c r="X763" s="11" t="n">
        <v>10.99</v>
      </c>
      <c r="Y763" s="11" t="n">
        <v>0</v>
      </c>
      <c r="Z763" s="11" t="n">
        <v>0</v>
      </c>
      <c r="AA763" s="11" t="n">
        <f aca="false">SUM(U763:Z763)</f>
        <v>10.99</v>
      </c>
      <c r="AB763" s="11" t="n">
        <v>0</v>
      </c>
      <c r="AC763" s="11" t="n">
        <v>0</v>
      </c>
      <c r="AD763" s="11" t="n">
        <v>0</v>
      </c>
      <c r="AE763" s="11" t="n">
        <v>1.8</v>
      </c>
      <c r="AF763" s="11" t="n">
        <v>0</v>
      </c>
      <c r="AG763" s="11" t="n">
        <v>0</v>
      </c>
      <c r="AH763" s="11" t="n">
        <f aca="false">SUM(AB763:AG763)</f>
        <v>1.8</v>
      </c>
      <c r="AI763" s="12" t="s">
        <v>955</v>
      </c>
    </row>
    <row r="764" customFormat="false" ht="15" hidden="false" customHeight="false" outlineLevel="0" collapsed="false">
      <c r="A764" s="8" t="s">
        <v>1629</v>
      </c>
      <c r="B764" s="12" t="s">
        <v>1630</v>
      </c>
      <c r="C764" s="8" t="s">
        <v>1525</v>
      </c>
      <c r="D764" s="12" t="s">
        <v>1526</v>
      </c>
      <c r="E764" s="10" t="str">
        <f aca="true">IFERROR(IF(INDEX(INDIRECT("'"&amp;$AI764&amp;"'!$E$2:$E$327"),MATCH($A764,INDIRECT("'"&amp;$AI764&amp;"'!$A$2:$A$327"),0))="","",INDEX(INDIRECT("'"&amp;$AI764&amp;"'!$E$2:$E$327"),MATCH($A764,INDIRECT("'"&amp;$AI764&amp;"'!$A$2:$A$327"),0))),"")</f>
        <v/>
      </c>
      <c r="F764" s="9" t="str">
        <f aca="false">IF($E764="","",IFERROR(INDEX(担当者マスタ!$B$2:$B$101,MATCH($E764,担当者マスタ!$A$2:$A$101,0)),"※マスタ未登録"))</f>
        <v/>
      </c>
      <c r="G764" s="11" t="n">
        <v>0</v>
      </c>
      <c r="H764" s="11" t="n">
        <v>31.71</v>
      </c>
      <c r="I764" s="11" t="n">
        <v>16.34</v>
      </c>
      <c r="J764" s="11" t="n">
        <v>0</v>
      </c>
      <c r="K764" s="11" t="n">
        <v>1.28</v>
      </c>
      <c r="L764" s="11" t="n">
        <v>0</v>
      </c>
      <c r="M764" s="11" t="n">
        <f aca="false">SUM(G764:L764)</f>
        <v>49.33</v>
      </c>
      <c r="N764" s="11" t="n">
        <v>0</v>
      </c>
      <c r="O764" s="11" t="n">
        <v>9.468</v>
      </c>
      <c r="P764" s="11" t="n">
        <v>4.86</v>
      </c>
      <c r="Q764" s="11" t="n">
        <v>0</v>
      </c>
      <c r="R764" s="11" t="n">
        <v>0.249</v>
      </c>
      <c r="S764" s="11" t="n">
        <v>0</v>
      </c>
      <c r="T764" s="11" t="n">
        <f aca="false">SUM(N764:S764)</f>
        <v>14.577</v>
      </c>
      <c r="U764" s="11" t="n">
        <v>0</v>
      </c>
      <c r="V764" s="11" t="n">
        <v>16.555</v>
      </c>
      <c r="W764" s="11" t="n">
        <v>0</v>
      </c>
      <c r="X764" s="11" t="n">
        <v>0</v>
      </c>
      <c r="Y764" s="11" t="n">
        <v>0</v>
      </c>
      <c r="Z764" s="11" t="n">
        <v>0</v>
      </c>
      <c r="AA764" s="11" t="n">
        <f aca="false">SUM(U764:Z764)</f>
        <v>16.555</v>
      </c>
      <c r="AB764" s="11" t="n">
        <v>0</v>
      </c>
      <c r="AC764" s="11" t="n">
        <v>5.202</v>
      </c>
      <c r="AD764" s="11" t="n">
        <v>0</v>
      </c>
      <c r="AE764" s="11" t="n">
        <v>0</v>
      </c>
      <c r="AF764" s="11" t="n">
        <v>0</v>
      </c>
      <c r="AG764" s="11" t="n">
        <v>0</v>
      </c>
      <c r="AH764" s="11" t="n">
        <f aca="false">SUM(AB764:AG764)</f>
        <v>5.202</v>
      </c>
      <c r="AI764" s="12" t="s">
        <v>955</v>
      </c>
    </row>
    <row r="765" customFormat="false" ht="15" hidden="false" customHeight="false" outlineLevel="0" collapsed="false">
      <c r="A765" s="8" t="s">
        <v>1631</v>
      </c>
      <c r="B765" s="12" t="s">
        <v>1632</v>
      </c>
      <c r="C765" s="8" t="s">
        <v>1525</v>
      </c>
      <c r="D765" s="12" t="s">
        <v>1526</v>
      </c>
      <c r="E765" s="10" t="str">
        <f aca="true">IFERROR(IF(INDEX(INDIRECT("'"&amp;$AI765&amp;"'!$E$2:$E$327"),MATCH($A765,INDIRECT("'"&amp;$AI765&amp;"'!$A$2:$A$327"),0))="","",INDEX(INDIRECT("'"&amp;$AI765&amp;"'!$E$2:$E$327"),MATCH($A765,INDIRECT("'"&amp;$AI765&amp;"'!$A$2:$A$327"),0))),"")</f>
        <v/>
      </c>
      <c r="F765" s="9" t="str">
        <f aca="false">IF($E765="","",IFERROR(INDEX(担当者マスタ!$B$2:$B$101,MATCH($E765,担当者マスタ!$A$2:$A$101,0)),"※マスタ未登録"))</f>
        <v/>
      </c>
      <c r="G765" s="11" t="n">
        <v>2.86</v>
      </c>
      <c r="H765" s="11" t="n">
        <v>2.21</v>
      </c>
      <c r="I765" s="11" t="n">
        <v>0.78</v>
      </c>
      <c r="J765" s="11" t="n">
        <v>2.412</v>
      </c>
      <c r="K765" s="11" t="n">
        <v>1.19</v>
      </c>
      <c r="L765" s="11" t="n">
        <v>2.44</v>
      </c>
      <c r="M765" s="11" t="n">
        <f aca="false">SUM(G765:L765)</f>
        <v>11.892</v>
      </c>
      <c r="N765" s="11" t="n">
        <v>1.24</v>
      </c>
      <c r="O765" s="11" t="n">
        <v>0.916</v>
      </c>
      <c r="P765" s="11" t="n">
        <v>0.33</v>
      </c>
      <c r="Q765" s="11" t="n">
        <v>0.383</v>
      </c>
      <c r="R765" s="11" t="n">
        <v>0.496</v>
      </c>
      <c r="S765" s="11" t="n">
        <v>1.026</v>
      </c>
      <c r="T765" s="11" t="n">
        <f aca="false">SUM(N765:S765)</f>
        <v>4.391</v>
      </c>
      <c r="U765" s="11" t="n">
        <v>6.66</v>
      </c>
      <c r="V765" s="11" t="n">
        <v>1.51</v>
      </c>
      <c r="W765" s="11" t="n">
        <v>1.19</v>
      </c>
      <c r="X765" s="11" t="n">
        <v>5.439</v>
      </c>
      <c r="Y765" s="11" t="n">
        <v>1.115</v>
      </c>
      <c r="Z765" s="11" t="n">
        <v>0.94</v>
      </c>
      <c r="AA765" s="11" t="n">
        <f aca="false">SUM(U765:Z765)</f>
        <v>16.854</v>
      </c>
      <c r="AB765" s="11" t="n">
        <v>2.026</v>
      </c>
      <c r="AC765" s="11" t="n">
        <v>0.52</v>
      </c>
      <c r="AD765" s="11" t="n">
        <v>0.496</v>
      </c>
      <c r="AE765" s="11" t="n">
        <v>2.264</v>
      </c>
      <c r="AF765" s="11" t="n">
        <v>0.468</v>
      </c>
      <c r="AG765" s="11" t="n">
        <v>0.34</v>
      </c>
      <c r="AH765" s="11" t="n">
        <f aca="false">SUM(AB765:AG765)</f>
        <v>6.114</v>
      </c>
      <c r="AI765" s="12" t="s">
        <v>955</v>
      </c>
    </row>
    <row r="766" customFormat="false" ht="15" hidden="false" customHeight="false" outlineLevel="0" collapsed="false">
      <c r="A766" s="8" t="s">
        <v>1633</v>
      </c>
      <c r="B766" s="9" t="s">
        <v>1634</v>
      </c>
      <c r="C766" s="8" t="s">
        <v>1525</v>
      </c>
      <c r="D766" s="12" t="s">
        <v>1526</v>
      </c>
      <c r="E766" s="10" t="str">
        <f aca="true">IFERROR(IF(INDEX(INDIRECT("'"&amp;$AI766&amp;"'!$E$2:$E$327"),MATCH($A766,INDIRECT("'"&amp;$AI766&amp;"'!$A$2:$A$327"),0))="","",INDEX(INDIRECT("'"&amp;$AI766&amp;"'!$E$2:$E$327"),MATCH($A766,INDIRECT("'"&amp;$AI766&amp;"'!$A$2:$A$327"),0))),"")</f>
        <v/>
      </c>
      <c r="F766" s="9" t="str">
        <f aca="false">IF($E766="","",IFERROR(INDEX(担当者マスタ!$B$2:$B$101,MATCH($E766,担当者マスタ!$A$2:$A$101,0)),"※マスタ未登録"))</f>
        <v/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14.6</v>
      </c>
      <c r="L766" s="11" t="n">
        <v>0</v>
      </c>
      <c r="M766" s="11" t="n">
        <f aca="false">SUM(G766:L766)</f>
        <v>14.6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2.36</v>
      </c>
      <c r="S766" s="11" t="n">
        <v>0</v>
      </c>
      <c r="T766" s="11" t="n">
        <f aca="false">SUM(N766:S766)</f>
        <v>2.36</v>
      </c>
      <c r="U766" s="11" t="n">
        <v>0</v>
      </c>
      <c r="V766" s="11" t="n">
        <v>0</v>
      </c>
      <c r="W766" s="11" t="n">
        <v>17.2</v>
      </c>
      <c r="X766" s="11" t="n">
        <v>0</v>
      </c>
      <c r="Y766" s="11" t="n">
        <v>0</v>
      </c>
      <c r="Z766" s="11" t="n">
        <v>0</v>
      </c>
      <c r="AA766" s="11" t="n">
        <f aca="false">SUM(U766:Z766)</f>
        <v>17.2</v>
      </c>
      <c r="AB766" s="11" t="n">
        <v>0</v>
      </c>
      <c r="AC766" s="11" t="n">
        <v>0</v>
      </c>
      <c r="AD766" s="11" t="n">
        <v>9.65</v>
      </c>
      <c r="AE766" s="11" t="n">
        <v>0</v>
      </c>
      <c r="AF766" s="11" t="n">
        <v>0</v>
      </c>
      <c r="AG766" s="11" t="n">
        <v>0</v>
      </c>
      <c r="AH766" s="11" t="n">
        <f aca="false">SUM(AB766:AG766)</f>
        <v>9.65</v>
      </c>
      <c r="AI766" s="12" t="s">
        <v>955</v>
      </c>
    </row>
    <row r="767" customFormat="false" ht="15" hidden="false" customHeight="false" outlineLevel="0" collapsed="false">
      <c r="A767" s="8" t="s">
        <v>1635</v>
      </c>
      <c r="B767" s="12" t="s">
        <v>1636</v>
      </c>
      <c r="C767" s="8" t="s">
        <v>1525</v>
      </c>
      <c r="D767" s="12" t="s">
        <v>1526</v>
      </c>
      <c r="E767" s="10" t="str">
        <f aca="true">IFERROR(IF(INDEX(INDIRECT("'"&amp;$AI767&amp;"'!$E$2:$E$327"),MATCH($A767,INDIRECT("'"&amp;$AI767&amp;"'!$A$2:$A$327"),0))="","",INDEX(INDIRECT("'"&amp;$AI767&amp;"'!$E$2:$E$327"),MATCH($A767,INDIRECT("'"&amp;$AI767&amp;"'!$A$2:$A$327"),0))),"")</f>
        <v/>
      </c>
      <c r="F767" s="9" t="str">
        <f aca="false">IF($E767="","",IFERROR(INDEX(担当者マスタ!$B$2:$B$101,MATCH($E767,担当者マスタ!$A$2:$A$101,0)),"※マスタ未登録"))</f>
        <v/>
      </c>
      <c r="G767" s="11" t="n">
        <v>18.378</v>
      </c>
      <c r="H767" s="11" t="n">
        <v>8.004</v>
      </c>
      <c r="I767" s="11" t="n">
        <v>16.513</v>
      </c>
      <c r="J767" s="11" t="n">
        <v>0</v>
      </c>
      <c r="K767" s="11" t="n">
        <v>6.503</v>
      </c>
      <c r="L767" s="11" t="n">
        <v>14.768</v>
      </c>
      <c r="M767" s="11" t="n">
        <f aca="false">SUM(G767:L767)</f>
        <v>64.166</v>
      </c>
      <c r="N767" s="11" t="n">
        <v>4.415</v>
      </c>
      <c r="O767" s="11" t="n">
        <v>2.046</v>
      </c>
      <c r="P767" s="11" t="n">
        <v>4.433</v>
      </c>
      <c r="Q767" s="11" t="n">
        <v>0</v>
      </c>
      <c r="R767" s="11" t="n">
        <v>1.608</v>
      </c>
      <c r="S767" s="11" t="n">
        <v>2.918</v>
      </c>
      <c r="T767" s="11" t="n">
        <f aca="false">SUM(N767:S767)</f>
        <v>15.42</v>
      </c>
      <c r="U767" s="11" t="n">
        <v>16.595</v>
      </c>
      <c r="V767" s="11" t="n">
        <v>5.948</v>
      </c>
      <c r="W767" s="11" t="n">
        <v>4.38</v>
      </c>
      <c r="X767" s="11" t="n">
        <v>1.648</v>
      </c>
      <c r="Y767" s="11" t="n">
        <v>18.745</v>
      </c>
      <c r="Z767" s="11" t="n">
        <v>1.72</v>
      </c>
      <c r="AA767" s="11" t="n">
        <f aca="false">SUM(U767:Z767)</f>
        <v>49.036</v>
      </c>
      <c r="AB767" s="11" t="n">
        <v>4.152</v>
      </c>
      <c r="AC767" s="11" t="n">
        <v>1.516</v>
      </c>
      <c r="AD767" s="11" t="n">
        <v>1.35</v>
      </c>
      <c r="AE767" s="11" t="n">
        <v>0.508</v>
      </c>
      <c r="AF767" s="11" t="n">
        <v>3.666</v>
      </c>
      <c r="AG767" s="11" t="n">
        <v>0.53</v>
      </c>
      <c r="AH767" s="11" t="n">
        <f aca="false">SUM(AB767:AG767)</f>
        <v>11.722</v>
      </c>
      <c r="AI767" s="12" t="s">
        <v>955</v>
      </c>
    </row>
    <row r="768" customFormat="false" ht="15" hidden="false" customHeight="false" outlineLevel="0" collapsed="false">
      <c r="A768" s="8" t="s">
        <v>1637</v>
      </c>
      <c r="B768" s="12" t="s">
        <v>1638</v>
      </c>
      <c r="C768" s="8" t="s">
        <v>1525</v>
      </c>
      <c r="D768" s="12" t="s">
        <v>1526</v>
      </c>
      <c r="E768" s="10" t="str">
        <f aca="true">IFERROR(IF(INDEX(INDIRECT("'"&amp;$AI768&amp;"'!$E$2:$E$327"),MATCH($A768,INDIRECT("'"&amp;$AI768&amp;"'!$A$2:$A$327"),0))="","",INDEX(INDIRECT("'"&amp;$AI768&amp;"'!$E$2:$E$327"),MATCH($A768,INDIRECT("'"&amp;$AI768&amp;"'!$A$2:$A$327"),0))),"")</f>
        <v/>
      </c>
      <c r="F768" s="9" t="str">
        <f aca="false">IF($E768="","",IFERROR(INDEX(担当者マスタ!$B$2:$B$101,MATCH($E768,担当者マスタ!$A$2:$A$101,0)),"※マスタ未登録"))</f>
        <v/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9.95</v>
      </c>
      <c r="M768" s="11" t="n">
        <f aca="false">SUM(G768:L768)</f>
        <v>9.95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2.67</v>
      </c>
      <c r="T768" s="11" t="n">
        <f aca="false">SUM(N768:S768)</f>
        <v>2.67</v>
      </c>
      <c r="U768" s="11" t="n">
        <v>0</v>
      </c>
      <c r="V768" s="11" t="n">
        <v>0</v>
      </c>
      <c r="W768" s="11" t="n">
        <v>0</v>
      </c>
      <c r="X768" s="11" t="n">
        <v>0</v>
      </c>
      <c r="Y768" s="11" t="n">
        <v>0</v>
      </c>
      <c r="Z768" s="11" t="n">
        <v>0</v>
      </c>
      <c r="AA768" s="11" t="n">
        <f aca="false">SUM(U768:Z768)</f>
        <v>0</v>
      </c>
      <c r="AB768" s="11" t="n">
        <v>0</v>
      </c>
      <c r="AC768" s="11" t="n">
        <v>0</v>
      </c>
      <c r="AD768" s="11" t="n">
        <v>0</v>
      </c>
      <c r="AE768" s="11" t="n">
        <v>0</v>
      </c>
      <c r="AF768" s="11" t="n">
        <v>0</v>
      </c>
      <c r="AG768" s="11" t="n">
        <v>0</v>
      </c>
      <c r="AH768" s="11" t="n">
        <f aca="false">SUM(AB768:AG768)</f>
        <v>0</v>
      </c>
      <c r="AI768" s="12" t="s">
        <v>955</v>
      </c>
    </row>
    <row r="769" customFormat="false" ht="15" hidden="false" customHeight="false" outlineLevel="0" collapsed="false">
      <c r="A769" s="8" t="s">
        <v>1639</v>
      </c>
      <c r="B769" s="12" t="s">
        <v>1640</v>
      </c>
      <c r="C769" s="8" t="s">
        <v>1525</v>
      </c>
      <c r="D769" s="12" t="s">
        <v>1526</v>
      </c>
      <c r="E769" s="10" t="str">
        <f aca="true">IFERROR(IF(INDEX(INDIRECT("'"&amp;$AI769&amp;"'!$E$2:$E$327"),MATCH($A769,INDIRECT("'"&amp;$AI769&amp;"'!$A$2:$A$327"),0))="","",INDEX(INDIRECT("'"&amp;$AI769&amp;"'!$E$2:$E$327"),MATCH($A769,INDIRECT("'"&amp;$AI769&amp;"'!$A$2:$A$327"),0))),"")</f>
        <v/>
      </c>
      <c r="F769" s="9" t="str">
        <f aca="false">IF($E769="","",IFERROR(INDEX(担当者マスタ!$B$2:$B$101,MATCH($E769,担当者マスタ!$A$2:$A$101,0)),"※マスタ未登録"))</f>
        <v/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f aca="false">SUM(G769:L769)</f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1" t="n">
        <f aca="false">SUM(N769:S769)</f>
        <v>0</v>
      </c>
      <c r="U769" s="11" t="n">
        <v>0</v>
      </c>
      <c r="V769" s="11" t="n">
        <v>0</v>
      </c>
      <c r="W769" s="11" t="n">
        <v>0</v>
      </c>
      <c r="X769" s="11" t="n">
        <v>4.55</v>
      </c>
      <c r="Y769" s="11" t="n">
        <v>0</v>
      </c>
      <c r="Z769" s="11" t="n">
        <v>0</v>
      </c>
      <c r="AA769" s="11" t="n">
        <f aca="false">SUM(U769:Z769)</f>
        <v>4.55</v>
      </c>
      <c r="AB769" s="11" t="n">
        <v>0</v>
      </c>
      <c r="AC769" s="11" t="n">
        <v>0</v>
      </c>
      <c r="AD769" s="11" t="n">
        <v>0</v>
      </c>
      <c r="AE769" s="11" t="n">
        <v>2.47</v>
      </c>
      <c r="AF769" s="11" t="n">
        <v>0</v>
      </c>
      <c r="AG769" s="11" t="n">
        <v>0</v>
      </c>
      <c r="AH769" s="11" t="n">
        <f aca="false">SUM(AB769:AG769)</f>
        <v>2.47</v>
      </c>
      <c r="AI769" s="12" t="s">
        <v>955</v>
      </c>
    </row>
    <row r="770" customFormat="false" ht="15" hidden="false" customHeight="false" outlineLevel="0" collapsed="false">
      <c r="A770" s="8" t="s">
        <v>1641</v>
      </c>
      <c r="B770" s="9" t="s">
        <v>1642</v>
      </c>
      <c r="C770" s="8" t="s">
        <v>1525</v>
      </c>
      <c r="D770" s="12" t="s">
        <v>1526</v>
      </c>
      <c r="E770" s="10" t="str">
        <f aca="true">IFERROR(IF(INDEX(INDIRECT("'"&amp;$AI770&amp;"'!$E$2:$E$327"),MATCH($A770,INDIRECT("'"&amp;$AI770&amp;"'!$A$2:$A$327"),0))="","",INDEX(INDIRECT("'"&amp;$AI770&amp;"'!$E$2:$E$327"),MATCH($A770,INDIRECT("'"&amp;$AI770&amp;"'!$A$2:$A$327"),0))),"")</f>
        <v/>
      </c>
      <c r="F770" s="9" t="str">
        <f aca="false">IF($E770="","",IFERROR(INDEX(担当者マスタ!$B$2:$B$101,MATCH($E770,担当者マスタ!$A$2:$A$101,0)),"※マスタ未登録"))</f>
        <v/>
      </c>
      <c r="G770" s="11" t="n">
        <v>0</v>
      </c>
      <c r="H770" s="11" t="n">
        <v>0</v>
      </c>
      <c r="I770" s="11" t="n">
        <v>46.92</v>
      </c>
      <c r="J770" s="11" t="n">
        <v>46.92</v>
      </c>
      <c r="K770" s="11" t="n">
        <v>31.35</v>
      </c>
      <c r="L770" s="11" t="n">
        <v>46.92</v>
      </c>
      <c r="M770" s="11" t="n">
        <f aca="false">SUM(G770:L770)</f>
        <v>172.11</v>
      </c>
      <c r="N770" s="11" t="n">
        <v>0</v>
      </c>
      <c r="O770" s="11" t="n">
        <v>0</v>
      </c>
      <c r="P770" s="11" t="n">
        <v>7.17</v>
      </c>
      <c r="Q770" s="11" t="n">
        <v>7.17</v>
      </c>
      <c r="R770" s="11" t="n">
        <v>4.83</v>
      </c>
      <c r="S770" s="11" t="n">
        <v>7.17</v>
      </c>
      <c r="T770" s="11" t="n">
        <f aca="false">SUM(N770:S770)</f>
        <v>26.34</v>
      </c>
      <c r="U770" s="11" t="n">
        <v>55.5</v>
      </c>
      <c r="V770" s="11" t="n">
        <v>22.77</v>
      </c>
      <c r="W770" s="11" t="n">
        <v>46.92</v>
      </c>
      <c r="X770" s="11" t="n">
        <v>24.15</v>
      </c>
      <c r="Y770" s="11" t="n">
        <v>47.13</v>
      </c>
      <c r="Z770" s="11" t="n">
        <v>47.13</v>
      </c>
      <c r="AA770" s="11" t="n">
        <f aca="false">SUM(U770:Z770)</f>
        <v>243.6</v>
      </c>
      <c r="AB770" s="11" t="n">
        <v>8.46</v>
      </c>
      <c r="AC770" s="11" t="n">
        <v>3.54</v>
      </c>
      <c r="AD770" s="11" t="n">
        <v>7.17</v>
      </c>
      <c r="AE770" s="11" t="n">
        <v>3.63</v>
      </c>
      <c r="AF770" s="11" t="n">
        <v>7.32</v>
      </c>
      <c r="AG770" s="11" t="n">
        <v>7.32</v>
      </c>
      <c r="AH770" s="11" t="n">
        <f aca="false">SUM(AB770:AG770)</f>
        <v>37.44</v>
      </c>
      <c r="AI770" s="12" t="s">
        <v>955</v>
      </c>
    </row>
    <row r="771" customFormat="false" ht="15" hidden="false" customHeight="false" outlineLevel="0" collapsed="false">
      <c r="A771" s="8" t="s">
        <v>1643</v>
      </c>
      <c r="B771" s="12" t="s">
        <v>1644</v>
      </c>
      <c r="C771" s="8" t="s">
        <v>1525</v>
      </c>
      <c r="D771" s="12" t="s">
        <v>1526</v>
      </c>
      <c r="E771" s="10" t="str">
        <f aca="true">IFERROR(IF(INDEX(INDIRECT("'"&amp;$AI771&amp;"'!$E$2:$E$327"),MATCH($A771,INDIRECT("'"&amp;$AI771&amp;"'!$A$2:$A$327"),0))="","",INDEX(INDIRECT("'"&amp;$AI771&amp;"'!$E$2:$E$327"),MATCH($A771,INDIRECT("'"&amp;$AI771&amp;"'!$A$2:$A$327"),0))),"")</f>
        <v/>
      </c>
      <c r="F771" s="9" t="str">
        <f aca="false">IF($E771="","",IFERROR(INDEX(担当者マスタ!$B$2:$B$101,MATCH($E771,担当者マスタ!$A$2:$A$101,0)),"※マスタ未登録"))</f>
        <v/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f aca="false">SUM(G771:L771)</f>
        <v>0</v>
      </c>
      <c r="N771" s="11" t="n">
        <v>0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1" t="n">
        <f aca="false">SUM(N771:S771)</f>
        <v>0</v>
      </c>
      <c r="U771" s="11" t="n">
        <v>0</v>
      </c>
      <c r="V771" s="11" t="n">
        <v>0</v>
      </c>
      <c r="W771" s="11" t="n">
        <v>22.2</v>
      </c>
      <c r="X771" s="11" t="n">
        <v>13.8</v>
      </c>
      <c r="Y771" s="11" t="n">
        <v>184.65</v>
      </c>
      <c r="Z771" s="11" t="n">
        <v>14.8</v>
      </c>
      <c r="AA771" s="11" t="n">
        <f aca="false">SUM(U771:Z771)</f>
        <v>235.45</v>
      </c>
      <c r="AB771" s="11" t="n">
        <v>0</v>
      </c>
      <c r="AC771" s="11" t="n">
        <v>0</v>
      </c>
      <c r="AD771" s="11" t="n">
        <v>4.2</v>
      </c>
      <c r="AE771" s="11" t="n">
        <v>2</v>
      </c>
      <c r="AF771" s="11" t="n">
        <v>5.9</v>
      </c>
      <c r="AG771" s="11" t="n">
        <v>2.8</v>
      </c>
      <c r="AH771" s="11" t="n">
        <f aca="false">SUM(AB771:AG771)</f>
        <v>14.9</v>
      </c>
      <c r="AI771" s="12" t="s">
        <v>955</v>
      </c>
    </row>
    <row r="772" customFormat="false" ht="15" hidden="false" customHeight="false" outlineLevel="0" collapsed="false">
      <c r="A772" s="8" t="s">
        <v>1645</v>
      </c>
      <c r="B772" s="9" t="s">
        <v>1646</v>
      </c>
      <c r="C772" s="8" t="s">
        <v>1525</v>
      </c>
      <c r="D772" s="12" t="s">
        <v>1526</v>
      </c>
      <c r="E772" s="10" t="str">
        <f aca="true">IFERROR(IF(INDEX(INDIRECT("'"&amp;$AI772&amp;"'!$E$2:$E$327"),MATCH($A772,INDIRECT("'"&amp;$AI772&amp;"'!$A$2:$A$327"),0))="","",INDEX(INDIRECT("'"&amp;$AI772&amp;"'!$E$2:$E$327"),MATCH($A772,INDIRECT("'"&amp;$AI772&amp;"'!$A$2:$A$327"),0))),"")</f>
        <v/>
      </c>
      <c r="F772" s="9" t="str">
        <f aca="false">IF($E772="","",IFERROR(INDEX(担当者マスタ!$B$2:$B$101,MATCH($E772,担当者マスタ!$A$2:$A$101,0)),"※マスタ未登録"))</f>
        <v/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f aca="false">SUM(G772:L772)</f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1" t="n">
        <f aca="false">SUM(N772:S772)</f>
        <v>0</v>
      </c>
      <c r="U772" s="11" t="n">
        <v>0</v>
      </c>
      <c r="V772" s="11" t="n">
        <v>0</v>
      </c>
      <c r="W772" s="11" t="n">
        <v>30</v>
      </c>
      <c r="X772" s="11" t="n">
        <v>85</v>
      </c>
      <c r="Y772" s="11" t="n">
        <v>0</v>
      </c>
      <c r="Z772" s="11" t="n">
        <v>0</v>
      </c>
      <c r="AA772" s="11" t="n">
        <f aca="false">SUM(U772:Z772)</f>
        <v>115</v>
      </c>
      <c r="AB772" s="11" t="n">
        <v>0</v>
      </c>
      <c r="AC772" s="11" t="n">
        <v>0</v>
      </c>
      <c r="AD772" s="11" t="n">
        <v>8</v>
      </c>
      <c r="AE772" s="11" t="n">
        <v>12.5</v>
      </c>
      <c r="AF772" s="11" t="n">
        <v>0</v>
      </c>
      <c r="AG772" s="11" t="n">
        <v>0</v>
      </c>
      <c r="AH772" s="11" t="n">
        <f aca="false">SUM(AB772:AG772)</f>
        <v>20.5</v>
      </c>
      <c r="AI772" s="12" t="s">
        <v>955</v>
      </c>
    </row>
    <row r="773" customFormat="false" ht="15" hidden="false" customHeight="false" outlineLevel="0" collapsed="false">
      <c r="A773" s="8" t="s">
        <v>1647</v>
      </c>
      <c r="B773" s="9" t="s">
        <v>1648</v>
      </c>
      <c r="C773" s="8" t="s">
        <v>1649</v>
      </c>
      <c r="D773" s="12" t="s">
        <v>1650</v>
      </c>
      <c r="E773" s="10" t="str">
        <f aca="true">IFERROR(IF(INDEX(INDIRECT("'"&amp;$AI773&amp;"'!$E$2:$E$327"),MATCH($A773,INDIRECT("'"&amp;$AI773&amp;"'!$A$2:$A$327"),0))="","",INDEX(INDIRECT("'"&amp;$AI773&amp;"'!$E$2:$E$327"),MATCH($A773,INDIRECT("'"&amp;$AI773&amp;"'!$A$2:$A$327"),0))),"")</f>
        <v/>
      </c>
      <c r="F773" s="9" t="str">
        <f aca="false">IF($E773="","",IFERROR(INDEX(担当者マスタ!$B$2:$B$101,MATCH($E773,担当者マスタ!$A$2:$A$101,0)),"※マスタ未登録"))</f>
        <v/>
      </c>
      <c r="G773" s="11" t="n">
        <v>12.8</v>
      </c>
      <c r="H773" s="11" t="n">
        <v>19.9</v>
      </c>
      <c r="I773" s="11" t="n">
        <v>496.1</v>
      </c>
      <c r="J773" s="11" t="n">
        <v>0</v>
      </c>
      <c r="K773" s="11" t="n">
        <v>198.8</v>
      </c>
      <c r="L773" s="11" t="n">
        <v>839.2</v>
      </c>
      <c r="M773" s="11" t="n">
        <f aca="false">SUM(G773:L773)</f>
        <v>1566.8</v>
      </c>
      <c r="N773" s="11" t="n">
        <v>2.3</v>
      </c>
      <c r="O773" s="11" t="n">
        <v>3.94</v>
      </c>
      <c r="P773" s="11" t="n">
        <v>97.105</v>
      </c>
      <c r="Q773" s="11" t="n">
        <v>0</v>
      </c>
      <c r="R773" s="11" t="n">
        <v>30.03</v>
      </c>
      <c r="S773" s="11" t="n">
        <v>108</v>
      </c>
      <c r="T773" s="11" t="n">
        <f aca="false">SUM(N773:S773)</f>
        <v>241.375</v>
      </c>
      <c r="U773" s="11" t="n">
        <v>26.39</v>
      </c>
      <c r="V773" s="11" t="n">
        <v>5.2</v>
      </c>
      <c r="W773" s="11" t="n">
        <v>4040</v>
      </c>
      <c r="X773" s="11" t="n">
        <v>93.02</v>
      </c>
      <c r="Y773" s="11" t="n">
        <v>176.99</v>
      </c>
      <c r="Z773" s="11" t="n">
        <v>264</v>
      </c>
      <c r="AA773" s="11" t="n">
        <f aca="false">SUM(U773:Z773)</f>
        <v>4605.6</v>
      </c>
      <c r="AB773" s="11" t="n">
        <v>6.04</v>
      </c>
      <c r="AC773" s="11" t="n">
        <v>0.52</v>
      </c>
      <c r="AD773" s="11" t="n">
        <v>640.6</v>
      </c>
      <c r="AE773" s="11" t="n">
        <v>17.956</v>
      </c>
      <c r="AF773" s="11" t="n">
        <v>30.74</v>
      </c>
      <c r="AG773" s="11" t="n">
        <v>43.59</v>
      </c>
      <c r="AH773" s="11" t="n">
        <f aca="false">SUM(AB773:AG773)</f>
        <v>739.446</v>
      </c>
      <c r="AI773" s="12" t="s">
        <v>955</v>
      </c>
    </row>
    <row r="774" customFormat="false" ht="15" hidden="false" customHeight="false" outlineLevel="0" collapsed="false">
      <c r="A774" s="8" t="s">
        <v>1651</v>
      </c>
      <c r="B774" s="9" t="s">
        <v>1652</v>
      </c>
      <c r="C774" s="8" t="s">
        <v>1649</v>
      </c>
      <c r="D774" s="12" t="s">
        <v>1650</v>
      </c>
      <c r="E774" s="10" t="str">
        <f aca="true">IFERROR(IF(INDEX(INDIRECT("'"&amp;$AI774&amp;"'!$E$2:$E$327"),MATCH($A774,INDIRECT("'"&amp;$AI774&amp;"'!$A$2:$A$327"),0))="","",INDEX(INDIRECT("'"&amp;$AI774&amp;"'!$E$2:$E$327"),MATCH($A774,INDIRECT("'"&amp;$AI774&amp;"'!$A$2:$A$327"),0))),"")</f>
        <v/>
      </c>
      <c r="F774" s="9" t="str">
        <f aca="false">IF($E774="","",IFERROR(INDEX(担当者マスタ!$B$2:$B$101,MATCH($E774,担当者マスタ!$A$2:$A$101,0)),"※マスタ未登録"))</f>
        <v/>
      </c>
      <c r="G774" s="11" t="n">
        <v>1847.849</v>
      </c>
      <c r="H774" s="11" t="n">
        <v>3283.188</v>
      </c>
      <c r="I774" s="11" t="n">
        <v>2835.888</v>
      </c>
      <c r="J774" s="11" t="n">
        <v>2642.064</v>
      </c>
      <c r="K774" s="11" t="n">
        <v>3008.25</v>
      </c>
      <c r="L774" s="11" t="n">
        <v>2020.148</v>
      </c>
      <c r="M774" s="11" t="n">
        <f aca="false">SUM(G774:L774)</f>
        <v>15637.387</v>
      </c>
      <c r="N774" s="11" t="n">
        <v>519.398</v>
      </c>
      <c r="O774" s="11" t="n">
        <v>920.558</v>
      </c>
      <c r="P774" s="11" t="n">
        <v>792.795</v>
      </c>
      <c r="Q774" s="11" t="n">
        <v>748.779</v>
      </c>
      <c r="R774" s="11" t="n">
        <v>855.596</v>
      </c>
      <c r="S774" s="11" t="n">
        <v>558.973</v>
      </c>
      <c r="T774" s="11" t="n">
        <f aca="false">SUM(N774:S774)</f>
        <v>4396.099</v>
      </c>
      <c r="U774" s="11" t="n">
        <v>3260.068</v>
      </c>
      <c r="V774" s="11" t="n">
        <v>2896.38</v>
      </c>
      <c r="W774" s="11" t="n">
        <v>2644.612</v>
      </c>
      <c r="X774" s="11" t="n">
        <v>2281.002</v>
      </c>
      <c r="Y774" s="11" t="n">
        <v>2636.228</v>
      </c>
      <c r="Z774" s="11" t="n">
        <v>2432.224</v>
      </c>
      <c r="AA774" s="11" t="n">
        <f aca="false">SUM(U774:Z774)</f>
        <v>16150.514</v>
      </c>
      <c r="AB774" s="11" t="n">
        <v>891.295</v>
      </c>
      <c r="AC774" s="11" t="n">
        <v>793.915</v>
      </c>
      <c r="AD774" s="11" t="n">
        <v>729.462</v>
      </c>
      <c r="AE774" s="11" t="n">
        <v>635.967</v>
      </c>
      <c r="AF774" s="11" t="n">
        <v>725.964</v>
      </c>
      <c r="AG774" s="11" t="n">
        <v>659.733</v>
      </c>
      <c r="AH774" s="11" t="n">
        <f aca="false">SUM(AB774:AG774)</f>
        <v>4436.336</v>
      </c>
      <c r="AI774" s="12" t="s">
        <v>955</v>
      </c>
    </row>
    <row r="775" customFormat="false" ht="15" hidden="false" customHeight="false" outlineLevel="0" collapsed="false">
      <c r="A775" s="8" t="s">
        <v>1653</v>
      </c>
      <c r="B775" s="9" t="s">
        <v>1654</v>
      </c>
      <c r="C775" s="8" t="s">
        <v>1649</v>
      </c>
      <c r="D775" s="12" t="s">
        <v>1650</v>
      </c>
      <c r="E775" s="10" t="str">
        <f aca="true">IFERROR(IF(INDEX(INDIRECT("'"&amp;$AI775&amp;"'!$E$2:$E$327"),MATCH($A775,INDIRECT("'"&amp;$AI775&amp;"'!$A$2:$A$327"),0))="","",INDEX(INDIRECT("'"&amp;$AI775&amp;"'!$E$2:$E$327"),MATCH($A775,INDIRECT("'"&amp;$AI775&amp;"'!$A$2:$A$327"),0))),"")</f>
        <v/>
      </c>
      <c r="F775" s="9" t="str">
        <f aca="false">IF($E775="","",IFERROR(INDEX(担当者マスタ!$B$2:$B$101,MATCH($E775,担当者マスタ!$A$2:$A$101,0)),"※マスタ未登録"))</f>
        <v/>
      </c>
      <c r="G775" s="11" t="n">
        <v>500.475</v>
      </c>
      <c r="H775" s="11" t="n">
        <v>708.258</v>
      </c>
      <c r="I775" s="11" t="n">
        <v>1091.373</v>
      </c>
      <c r="J775" s="11" t="n">
        <v>314.1</v>
      </c>
      <c r="K775" s="11" t="n">
        <v>1599.83</v>
      </c>
      <c r="L775" s="11" t="n">
        <v>324.94</v>
      </c>
      <c r="M775" s="11" t="n">
        <f aca="false">SUM(G775:L775)</f>
        <v>4538.976</v>
      </c>
      <c r="N775" s="11" t="n">
        <v>90.42</v>
      </c>
      <c r="O775" s="11" t="n">
        <v>152.08</v>
      </c>
      <c r="P775" s="11" t="n">
        <v>221.024</v>
      </c>
      <c r="Q775" s="11" t="n">
        <v>65.02</v>
      </c>
      <c r="R775" s="11" t="n">
        <v>450.43</v>
      </c>
      <c r="S775" s="11" t="n">
        <v>65.69</v>
      </c>
      <c r="T775" s="11" t="n">
        <f aca="false">SUM(N775:S775)</f>
        <v>1044.664</v>
      </c>
      <c r="U775" s="11" t="n">
        <v>1811.047</v>
      </c>
      <c r="V775" s="11" t="n">
        <v>109.52</v>
      </c>
      <c r="W775" s="11" t="n">
        <v>1966.5</v>
      </c>
      <c r="X775" s="11" t="n">
        <v>390.475</v>
      </c>
      <c r="Y775" s="11" t="n">
        <v>992.58</v>
      </c>
      <c r="Z775" s="11" t="n">
        <v>359.191</v>
      </c>
      <c r="AA775" s="11" t="n">
        <f aca="false">SUM(U775:Z775)</f>
        <v>5629.313</v>
      </c>
      <c r="AB775" s="11" t="n">
        <v>434.665</v>
      </c>
      <c r="AC775" s="11" t="n">
        <v>24.246</v>
      </c>
      <c r="AD775" s="11" t="n">
        <v>542.285</v>
      </c>
      <c r="AE775" s="11" t="n">
        <v>79.93</v>
      </c>
      <c r="AF775" s="11" t="n">
        <v>249.24</v>
      </c>
      <c r="AG775" s="11" t="n">
        <v>88.746</v>
      </c>
      <c r="AH775" s="11" t="n">
        <f aca="false">SUM(AB775:AG775)</f>
        <v>1419.112</v>
      </c>
      <c r="AI775" s="12" t="s">
        <v>955</v>
      </c>
    </row>
    <row r="776" customFormat="false" ht="15" hidden="false" customHeight="false" outlineLevel="0" collapsed="false">
      <c r="A776" s="8" t="s">
        <v>1655</v>
      </c>
      <c r="B776" s="9" t="s">
        <v>1656</v>
      </c>
      <c r="C776" s="8" t="s">
        <v>1649</v>
      </c>
      <c r="D776" s="12" t="s">
        <v>1650</v>
      </c>
      <c r="E776" s="10" t="str">
        <f aca="true">IFERROR(IF(INDEX(INDIRECT("'"&amp;$AI776&amp;"'!$E$2:$E$327"),MATCH($A776,INDIRECT("'"&amp;$AI776&amp;"'!$A$2:$A$327"),0))="","",INDEX(INDIRECT("'"&amp;$AI776&amp;"'!$E$2:$E$327"),MATCH($A776,INDIRECT("'"&amp;$AI776&amp;"'!$A$2:$A$327"),0))),"")</f>
        <v/>
      </c>
      <c r="F776" s="9" t="str">
        <f aca="false">IF($E776="","",IFERROR(INDEX(担当者マスタ!$B$2:$B$101,MATCH($E776,担当者マスタ!$A$2:$A$101,0)),"※マスタ未登録"))</f>
        <v/>
      </c>
      <c r="G776" s="11" t="n">
        <v>221.272</v>
      </c>
      <c r="H776" s="11" t="n">
        <v>297.18</v>
      </c>
      <c r="I776" s="11" t="n">
        <v>292.615</v>
      </c>
      <c r="J776" s="11" t="n">
        <v>997.71</v>
      </c>
      <c r="K776" s="11" t="n">
        <v>489.775</v>
      </c>
      <c r="L776" s="11" t="n">
        <v>947.906</v>
      </c>
      <c r="M776" s="11" t="n">
        <f aca="false">SUM(G776:L776)</f>
        <v>3246.458</v>
      </c>
      <c r="N776" s="11" t="n">
        <v>62.608</v>
      </c>
      <c r="O776" s="11" t="n">
        <v>42.22</v>
      </c>
      <c r="P776" s="11" t="n">
        <v>60.81</v>
      </c>
      <c r="Q776" s="11" t="n">
        <v>185.657</v>
      </c>
      <c r="R776" s="11" t="n">
        <v>77.565</v>
      </c>
      <c r="S776" s="11" t="n">
        <v>171.686</v>
      </c>
      <c r="T776" s="11" t="n">
        <f aca="false">SUM(N776:S776)</f>
        <v>600.546</v>
      </c>
      <c r="U776" s="11" t="n">
        <v>144.5</v>
      </c>
      <c r="V776" s="11" t="n">
        <v>17.56</v>
      </c>
      <c r="W776" s="11" t="n">
        <v>2653.97</v>
      </c>
      <c r="X776" s="11" t="n">
        <v>0</v>
      </c>
      <c r="Y776" s="11" t="n">
        <v>35.12</v>
      </c>
      <c r="Z776" s="11" t="n">
        <v>0</v>
      </c>
      <c r="AA776" s="11" t="n">
        <f aca="false">SUM(U776:Z776)</f>
        <v>2851.15</v>
      </c>
      <c r="AB776" s="11" t="n">
        <v>22</v>
      </c>
      <c r="AC776" s="11" t="n">
        <v>3</v>
      </c>
      <c r="AD776" s="11" t="n">
        <v>410.073</v>
      </c>
      <c r="AE776" s="11" t="n">
        <v>0</v>
      </c>
      <c r="AF776" s="11" t="n">
        <v>6</v>
      </c>
      <c r="AG776" s="11" t="n">
        <v>0</v>
      </c>
      <c r="AH776" s="11" t="n">
        <f aca="false">SUM(AB776:AG776)</f>
        <v>441.073</v>
      </c>
      <c r="AI776" s="12" t="s">
        <v>955</v>
      </c>
    </row>
    <row r="777" customFormat="false" ht="15" hidden="false" customHeight="false" outlineLevel="0" collapsed="false">
      <c r="A777" s="8" t="s">
        <v>1657</v>
      </c>
      <c r="B777" s="12" t="s">
        <v>691</v>
      </c>
      <c r="C777" s="8" t="s">
        <v>1649</v>
      </c>
      <c r="D777" s="12" t="s">
        <v>1650</v>
      </c>
      <c r="E777" s="10" t="str">
        <f aca="true">IFERROR(IF(INDEX(INDIRECT("'"&amp;$AI777&amp;"'!$E$2:$E$327"),MATCH($A777,INDIRECT("'"&amp;$AI777&amp;"'!$A$2:$A$327"),0))="","",INDEX(INDIRECT("'"&amp;$AI777&amp;"'!$E$2:$E$327"),MATCH($A777,INDIRECT("'"&amp;$AI777&amp;"'!$A$2:$A$327"),0))),"")</f>
        <v/>
      </c>
      <c r="F777" s="9" t="str">
        <f aca="false">IF($E777="","",IFERROR(INDEX(担当者マスタ!$B$2:$B$101,MATCH($E777,担当者マスタ!$A$2:$A$101,0)),"※マスタ未登録"))</f>
        <v/>
      </c>
      <c r="G777" s="11" t="n">
        <v>1808.2</v>
      </c>
      <c r="H777" s="11" t="n">
        <v>1011.712</v>
      </c>
      <c r="I777" s="11" t="n">
        <v>202.8</v>
      </c>
      <c r="J777" s="11" t="n">
        <v>164.015</v>
      </c>
      <c r="K777" s="11" t="n">
        <v>114.13</v>
      </c>
      <c r="L777" s="11" t="n">
        <v>465.156</v>
      </c>
      <c r="M777" s="11" t="n">
        <f aca="false">SUM(G777:L777)</f>
        <v>3766.013</v>
      </c>
      <c r="N777" s="11" t="n">
        <v>271.679</v>
      </c>
      <c r="O777" s="11" t="n">
        <v>206.183</v>
      </c>
      <c r="P777" s="11" t="n">
        <v>18.135</v>
      </c>
      <c r="Q777" s="11" t="n">
        <v>14.295</v>
      </c>
      <c r="R777" s="11" t="n">
        <v>11.085</v>
      </c>
      <c r="S777" s="11" t="n">
        <v>72.036</v>
      </c>
      <c r="T777" s="11" t="n">
        <f aca="false">SUM(N777:S777)</f>
        <v>593.413</v>
      </c>
      <c r="U777" s="11" t="n">
        <v>795.44</v>
      </c>
      <c r="V777" s="11" t="n">
        <v>790.038</v>
      </c>
      <c r="W777" s="11" t="n">
        <v>84</v>
      </c>
      <c r="X777" s="11" t="n">
        <v>128</v>
      </c>
      <c r="Y777" s="11" t="n">
        <v>239.322</v>
      </c>
      <c r="Z777" s="11" t="n">
        <v>82.468</v>
      </c>
      <c r="AA777" s="11" t="n">
        <f aca="false">SUM(U777:Z777)</f>
        <v>2119.268</v>
      </c>
      <c r="AB777" s="11" t="n">
        <v>122.603</v>
      </c>
      <c r="AC777" s="11" t="n">
        <v>137.267</v>
      </c>
      <c r="AD777" s="11" t="n">
        <v>5.6</v>
      </c>
      <c r="AE777" s="11" t="n">
        <v>8.4</v>
      </c>
      <c r="AF777" s="11" t="n">
        <v>24.362</v>
      </c>
      <c r="AG777" s="11" t="n">
        <v>11.148</v>
      </c>
      <c r="AH777" s="11" t="n">
        <f aca="false">SUM(AB777:AG777)</f>
        <v>309.38</v>
      </c>
      <c r="AI777" s="12" t="s">
        <v>955</v>
      </c>
    </row>
    <row r="778" customFormat="false" ht="15" hidden="false" customHeight="false" outlineLevel="0" collapsed="false">
      <c r="A778" s="8" t="s">
        <v>1658</v>
      </c>
      <c r="B778" s="12" t="s">
        <v>1659</v>
      </c>
      <c r="C778" s="8" t="s">
        <v>1649</v>
      </c>
      <c r="D778" s="12" t="s">
        <v>1650</v>
      </c>
      <c r="E778" s="10" t="str">
        <f aca="true">IFERROR(IF(INDEX(INDIRECT("'"&amp;$AI778&amp;"'!$E$2:$E$327"),MATCH($A778,INDIRECT("'"&amp;$AI778&amp;"'!$A$2:$A$327"),0))="","",INDEX(INDIRECT("'"&amp;$AI778&amp;"'!$E$2:$E$327"),MATCH($A778,INDIRECT("'"&amp;$AI778&amp;"'!$A$2:$A$327"),0))),"")</f>
        <v/>
      </c>
      <c r="F778" s="9" t="str">
        <f aca="false">IF($E778="","",IFERROR(INDEX(担当者マスタ!$B$2:$B$101,MATCH($E778,担当者マスタ!$A$2:$A$101,0)),"※マスタ未登録"))</f>
        <v/>
      </c>
      <c r="G778" s="11" t="n">
        <v>46.75</v>
      </c>
      <c r="H778" s="11" t="n">
        <v>12.24</v>
      </c>
      <c r="I778" s="11" t="n">
        <v>95.03</v>
      </c>
      <c r="J778" s="11" t="n">
        <v>0</v>
      </c>
      <c r="K778" s="11" t="n">
        <v>40.49</v>
      </c>
      <c r="L778" s="11" t="n">
        <v>37.8</v>
      </c>
      <c r="M778" s="11" t="n">
        <f aca="false">SUM(G778:L778)</f>
        <v>232.31</v>
      </c>
      <c r="N778" s="11" t="n">
        <v>7.625</v>
      </c>
      <c r="O778" s="11" t="n">
        <v>1.8</v>
      </c>
      <c r="P778" s="11" t="n">
        <v>12.485</v>
      </c>
      <c r="Q778" s="11" t="n">
        <v>0</v>
      </c>
      <c r="R778" s="11" t="n">
        <v>8.925</v>
      </c>
      <c r="S778" s="11" t="n">
        <v>2.94</v>
      </c>
      <c r="T778" s="11" t="n">
        <f aca="false">SUM(N778:S778)</f>
        <v>33.775</v>
      </c>
      <c r="U778" s="11" t="n">
        <v>12.24</v>
      </c>
      <c r="V778" s="11" t="n">
        <v>28.25</v>
      </c>
      <c r="W778" s="11" t="n">
        <v>48.96</v>
      </c>
      <c r="X778" s="11" t="n">
        <v>99.14</v>
      </c>
      <c r="Y778" s="11" t="n">
        <v>0</v>
      </c>
      <c r="Z778" s="11" t="n">
        <v>52.39</v>
      </c>
      <c r="AA778" s="11" t="n">
        <f aca="false">SUM(U778:Z778)</f>
        <v>240.98</v>
      </c>
      <c r="AB778" s="11" t="n">
        <v>1.8</v>
      </c>
      <c r="AC778" s="11" t="n">
        <v>7.125</v>
      </c>
      <c r="AD778" s="11" t="n">
        <v>7.2</v>
      </c>
      <c r="AE778" s="11" t="n">
        <v>17.18</v>
      </c>
      <c r="AF778" s="11" t="n">
        <v>0</v>
      </c>
      <c r="AG778" s="11" t="n">
        <v>9.555</v>
      </c>
      <c r="AH778" s="11" t="n">
        <f aca="false">SUM(AB778:AG778)</f>
        <v>42.86</v>
      </c>
      <c r="AI778" s="12" t="s">
        <v>955</v>
      </c>
    </row>
    <row r="779" customFormat="false" ht="15" hidden="false" customHeight="false" outlineLevel="0" collapsed="false">
      <c r="A779" s="8" t="s">
        <v>1660</v>
      </c>
      <c r="B779" s="9" t="s">
        <v>1661</v>
      </c>
      <c r="C779" s="8" t="s">
        <v>1649</v>
      </c>
      <c r="D779" s="12" t="s">
        <v>1650</v>
      </c>
      <c r="E779" s="10" t="str">
        <f aca="true">IFERROR(IF(INDEX(INDIRECT("'"&amp;$AI779&amp;"'!$E$2:$E$327"),MATCH($A779,INDIRECT("'"&amp;$AI779&amp;"'!$A$2:$A$327"),0))="","",INDEX(INDIRECT("'"&amp;$AI779&amp;"'!$E$2:$E$327"),MATCH($A779,INDIRECT("'"&amp;$AI779&amp;"'!$A$2:$A$327"),0))),"")</f>
        <v/>
      </c>
      <c r="F779" s="9" t="str">
        <f aca="false">IF($E779="","",IFERROR(INDEX(担当者マスタ!$B$2:$B$101,MATCH($E779,担当者マスタ!$A$2:$A$101,0)),"※マスタ未登録"))</f>
        <v/>
      </c>
      <c r="G779" s="11" t="n">
        <v>201.485</v>
      </c>
      <c r="H779" s="11" t="n">
        <v>856.957</v>
      </c>
      <c r="I779" s="11" t="n">
        <v>360.507</v>
      </c>
      <c r="J779" s="11" t="n">
        <v>285.385</v>
      </c>
      <c r="K779" s="11" t="n">
        <v>188.75</v>
      </c>
      <c r="L779" s="11" t="n">
        <v>123.555</v>
      </c>
      <c r="M779" s="11" t="n">
        <f aca="false">SUM(G779:L779)</f>
        <v>2016.639</v>
      </c>
      <c r="N779" s="11" t="n">
        <v>56.915</v>
      </c>
      <c r="O779" s="11" t="n">
        <v>130.6</v>
      </c>
      <c r="P779" s="11" t="n">
        <v>71.065</v>
      </c>
      <c r="Q779" s="11" t="n">
        <v>50.695</v>
      </c>
      <c r="R779" s="11" t="n">
        <v>30.677</v>
      </c>
      <c r="S779" s="11" t="n">
        <v>24.165</v>
      </c>
      <c r="T779" s="11" t="n">
        <f aca="false">SUM(N779:S779)</f>
        <v>364.117</v>
      </c>
      <c r="U779" s="11" t="n">
        <v>556.945</v>
      </c>
      <c r="V779" s="11" t="n">
        <v>396.016</v>
      </c>
      <c r="W779" s="11" t="n">
        <v>838.563</v>
      </c>
      <c r="X779" s="11" t="n">
        <v>241.296</v>
      </c>
      <c r="Y779" s="11" t="n">
        <v>120.605</v>
      </c>
      <c r="Z779" s="11" t="n">
        <v>232.915</v>
      </c>
      <c r="AA779" s="11" t="n">
        <f aca="false">SUM(U779:Z779)</f>
        <v>2386.34</v>
      </c>
      <c r="AB779" s="11" t="n">
        <v>94.897</v>
      </c>
      <c r="AC779" s="11" t="n">
        <v>73.996</v>
      </c>
      <c r="AD779" s="11" t="n">
        <v>143.772</v>
      </c>
      <c r="AE779" s="11" t="n">
        <v>43.64</v>
      </c>
      <c r="AF779" s="11" t="n">
        <v>20.07</v>
      </c>
      <c r="AG779" s="11" t="n">
        <v>42.291</v>
      </c>
      <c r="AH779" s="11" t="n">
        <f aca="false">SUM(AB779:AG779)</f>
        <v>418.666</v>
      </c>
      <c r="AI779" s="12" t="s">
        <v>955</v>
      </c>
    </row>
    <row r="780" customFormat="false" ht="15" hidden="false" customHeight="false" outlineLevel="0" collapsed="false">
      <c r="A780" s="8" t="s">
        <v>1662</v>
      </c>
      <c r="B780" s="9" t="s">
        <v>1663</v>
      </c>
      <c r="C780" s="8" t="s">
        <v>1649</v>
      </c>
      <c r="D780" s="12" t="s">
        <v>1650</v>
      </c>
      <c r="E780" s="10" t="str">
        <f aca="true">IFERROR(IF(INDEX(INDIRECT("'"&amp;$AI780&amp;"'!$E$2:$E$327"),MATCH($A780,INDIRECT("'"&amp;$AI780&amp;"'!$A$2:$A$327"),0))="","",INDEX(INDIRECT("'"&amp;$AI780&amp;"'!$E$2:$E$327"),MATCH($A780,INDIRECT("'"&amp;$AI780&amp;"'!$A$2:$A$327"),0))),"")</f>
        <v/>
      </c>
      <c r="F780" s="9" t="str">
        <f aca="false">IF($E780="","",IFERROR(INDEX(担当者マスタ!$B$2:$B$101,MATCH($E780,担当者マスタ!$A$2:$A$101,0)),"※マスタ未登録"))</f>
        <v/>
      </c>
      <c r="G780" s="11" t="n">
        <v>785.685</v>
      </c>
      <c r="H780" s="11" t="n">
        <v>797.317</v>
      </c>
      <c r="I780" s="11" t="n">
        <v>127.9</v>
      </c>
      <c r="J780" s="11" t="n">
        <v>1136.529</v>
      </c>
      <c r="K780" s="11" t="n">
        <v>0</v>
      </c>
      <c r="L780" s="11" t="n">
        <v>56.9</v>
      </c>
      <c r="M780" s="11" t="n">
        <f aca="false">SUM(G780:L780)</f>
        <v>2904.331</v>
      </c>
      <c r="N780" s="11" t="n">
        <v>139.269</v>
      </c>
      <c r="O780" s="11" t="n">
        <v>144.113</v>
      </c>
      <c r="P780" s="11" t="n">
        <v>40.15</v>
      </c>
      <c r="Q780" s="11" t="n">
        <v>151.089</v>
      </c>
      <c r="R780" s="11" t="n">
        <v>0</v>
      </c>
      <c r="S780" s="11" t="n">
        <v>10.7</v>
      </c>
      <c r="T780" s="11" t="n">
        <f aca="false">SUM(N780:S780)</f>
        <v>485.321</v>
      </c>
      <c r="U780" s="11" t="n">
        <v>3881.37</v>
      </c>
      <c r="V780" s="11" t="n">
        <v>2598.258</v>
      </c>
      <c r="W780" s="11" t="n">
        <v>1470.362</v>
      </c>
      <c r="X780" s="11" t="n">
        <v>231.8</v>
      </c>
      <c r="Y780" s="11" t="n">
        <v>45.6</v>
      </c>
      <c r="Z780" s="11" t="n">
        <v>30</v>
      </c>
      <c r="AA780" s="11" t="n">
        <f aca="false">SUM(U780:Z780)</f>
        <v>8257.39</v>
      </c>
      <c r="AB780" s="11" t="n">
        <v>556.24</v>
      </c>
      <c r="AC780" s="11" t="n">
        <v>422.427</v>
      </c>
      <c r="AD780" s="11" t="n">
        <v>185.687</v>
      </c>
      <c r="AE780" s="11" t="n">
        <v>44.325</v>
      </c>
      <c r="AF780" s="11" t="n">
        <v>4.6</v>
      </c>
      <c r="AG780" s="11" t="n">
        <v>10.1</v>
      </c>
      <c r="AH780" s="11" t="n">
        <f aca="false">SUM(AB780:AG780)</f>
        <v>1223.379</v>
      </c>
      <c r="AI780" s="12" t="s">
        <v>955</v>
      </c>
    </row>
    <row r="781" customFormat="false" ht="15" hidden="false" customHeight="false" outlineLevel="0" collapsed="false">
      <c r="A781" s="8" t="s">
        <v>1664</v>
      </c>
      <c r="B781" s="12" t="s">
        <v>1665</v>
      </c>
      <c r="C781" s="8" t="s">
        <v>1649</v>
      </c>
      <c r="D781" s="12" t="s">
        <v>1650</v>
      </c>
      <c r="E781" s="10" t="str">
        <f aca="true">IFERROR(IF(INDEX(INDIRECT("'"&amp;$AI781&amp;"'!$E$2:$E$327"),MATCH($A781,INDIRECT("'"&amp;$AI781&amp;"'!$A$2:$A$327"),0))="","",INDEX(INDIRECT("'"&amp;$AI781&amp;"'!$E$2:$E$327"),MATCH($A781,INDIRECT("'"&amp;$AI781&amp;"'!$A$2:$A$327"),0))),"")</f>
        <v/>
      </c>
      <c r="F781" s="9" t="str">
        <f aca="false">IF($E781="","",IFERROR(INDEX(担当者マスタ!$B$2:$B$101,MATCH($E781,担当者マスタ!$A$2:$A$101,0)),"※マスタ未登録"))</f>
        <v/>
      </c>
      <c r="G781" s="11" t="n">
        <v>0</v>
      </c>
      <c r="H781" s="11" t="n">
        <v>27.8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f aca="false">SUM(G781:L781)</f>
        <v>27.8</v>
      </c>
      <c r="N781" s="11" t="n">
        <v>0</v>
      </c>
      <c r="O781" s="11" t="n">
        <v>2.94</v>
      </c>
      <c r="P781" s="11" t="n">
        <v>0</v>
      </c>
      <c r="Q781" s="11" t="n">
        <v>0</v>
      </c>
      <c r="R781" s="11" t="n">
        <v>0</v>
      </c>
      <c r="S781" s="11" t="n">
        <v>0</v>
      </c>
      <c r="T781" s="11" t="n">
        <f aca="false">SUM(N781:S781)</f>
        <v>2.94</v>
      </c>
      <c r="U781" s="11" t="n">
        <v>0</v>
      </c>
      <c r="V781" s="11" t="n">
        <v>0</v>
      </c>
      <c r="W781" s="11" t="n">
        <v>0</v>
      </c>
      <c r="X781" s="11" t="n">
        <v>0</v>
      </c>
      <c r="Y781" s="11" t="n">
        <v>0</v>
      </c>
      <c r="Z781" s="11" t="n">
        <v>0</v>
      </c>
      <c r="AA781" s="11" t="n">
        <f aca="false">SUM(U781:Z781)</f>
        <v>0</v>
      </c>
      <c r="AB781" s="11" t="n">
        <v>0</v>
      </c>
      <c r="AC781" s="11" t="n">
        <v>0</v>
      </c>
      <c r="AD781" s="11" t="n">
        <v>0</v>
      </c>
      <c r="AE781" s="11" t="n">
        <v>0</v>
      </c>
      <c r="AF781" s="11" t="n">
        <v>0</v>
      </c>
      <c r="AG781" s="11" t="n">
        <v>0</v>
      </c>
      <c r="AH781" s="11" t="n">
        <f aca="false">SUM(AB781:AG781)</f>
        <v>0</v>
      </c>
      <c r="AI781" s="12" t="s">
        <v>955</v>
      </c>
    </row>
    <row r="782" customFormat="false" ht="15" hidden="false" customHeight="false" outlineLevel="0" collapsed="false">
      <c r="A782" s="8" t="s">
        <v>1666</v>
      </c>
      <c r="B782" s="12" t="s">
        <v>1667</v>
      </c>
      <c r="C782" s="8" t="s">
        <v>1649</v>
      </c>
      <c r="D782" s="12" t="s">
        <v>1650</v>
      </c>
      <c r="E782" s="10" t="str">
        <f aca="true">IFERROR(IF(INDEX(INDIRECT("'"&amp;$AI782&amp;"'!$E$2:$E$327"),MATCH($A782,INDIRECT("'"&amp;$AI782&amp;"'!$A$2:$A$327"),0))="","",INDEX(INDIRECT("'"&amp;$AI782&amp;"'!$E$2:$E$327"),MATCH($A782,INDIRECT("'"&amp;$AI782&amp;"'!$A$2:$A$327"),0))),"")</f>
        <v/>
      </c>
      <c r="F782" s="9" t="str">
        <f aca="false">IF($E782="","",IFERROR(INDEX(担当者マスタ!$B$2:$B$101,MATCH($E782,担当者マスタ!$A$2:$A$101,0)),"※マスタ未登録"))</f>
        <v/>
      </c>
      <c r="G782" s="11" t="n">
        <v>2602.042</v>
      </c>
      <c r="H782" s="11" t="n">
        <v>2798.943</v>
      </c>
      <c r="I782" s="11" t="n">
        <v>3424.208</v>
      </c>
      <c r="J782" s="11" t="n">
        <v>2190.732</v>
      </c>
      <c r="K782" s="11" t="n">
        <v>2545.201</v>
      </c>
      <c r="L782" s="11" t="n">
        <v>2984.971</v>
      </c>
      <c r="M782" s="11" t="n">
        <f aca="false">SUM(G782:L782)</f>
        <v>16546.097</v>
      </c>
      <c r="N782" s="11" t="n">
        <v>604.389</v>
      </c>
      <c r="O782" s="11" t="n">
        <v>619.371</v>
      </c>
      <c r="P782" s="11" t="n">
        <v>721.013</v>
      </c>
      <c r="Q782" s="11" t="n">
        <v>461.334</v>
      </c>
      <c r="R782" s="11" t="n">
        <v>578.242</v>
      </c>
      <c r="S782" s="11" t="n">
        <v>670.156</v>
      </c>
      <c r="T782" s="11" t="n">
        <f aca="false">SUM(N782:S782)</f>
        <v>3654.505</v>
      </c>
      <c r="U782" s="11" t="n">
        <v>3154.742</v>
      </c>
      <c r="V782" s="11" t="n">
        <v>2827.904</v>
      </c>
      <c r="W782" s="11" t="n">
        <v>3412.941</v>
      </c>
      <c r="X782" s="11" t="n">
        <v>2388.104</v>
      </c>
      <c r="Y782" s="11" t="n">
        <v>2115.427</v>
      </c>
      <c r="Z782" s="11" t="n">
        <v>3828.073</v>
      </c>
      <c r="AA782" s="11" t="n">
        <f aca="false">SUM(U782:Z782)</f>
        <v>17727.191</v>
      </c>
      <c r="AB782" s="11" t="n">
        <v>703.469</v>
      </c>
      <c r="AC782" s="11" t="n">
        <v>639.943</v>
      </c>
      <c r="AD782" s="11" t="n">
        <v>715.264</v>
      </c>
      <c r="AE782" s="11" t="n">
        <v>507.902</v>
      </c>
      <c r="AF782" s="11" t="n">
        <v>432.85</v>
      </c>
      <c r="AG782" s="11" t="n">
        <v>789.817</v>
      </c>
      <c r="AH782" s="11" t="n">
        <f aca="false">SUM(AB782:AG782)</f>
        <v>3789.245</v>
      </c>
      <c r="AI782" s="12" t="s">
        <v>955</v>
      </c>
    </row>
    <row r="783" customFormat="false" ht="15" hidden="false" customHeight="false" outlineLevel="0" collapsed="false">
      <c r="A783" s="8" t="s">
        <v>1668</v>
      </c>
      <c r="B783" s="12" t="s">
        <v>1669</v>
      </c>
      <c r="C783" s="8" t="s">
        <v>1649</v>
      </c>
      <c r="D783" s="12" t="s">
        <v>1650</v>
      </c>
      <c r="E783" s="10" t="str">
        <f aca="true">IFERROR(IF(INDEX(INDIRECT("'"&amp;$AI783&amp;"'!$E$2:$E$327"),MATCH($A783,INDIRECT("'"&amp;$AI783&amp;"'!$A$2:$A$327"),0))="","",INDEX(INDIRECT("'"&amp;$AI783&amp;"'!$E$2:$E$327"),MATCH($A783,INDIRECT("'"&amp;$AI783&amp;"'!$A$2:$A$327"),0))),"")</f>
        <v/>
      </c>
      <c r="F783" s="9" t="str">
        <f aca="false">IF($E783="","",IFERROR(INDEX(担当者マスタ!$B$2:$B$101,MATCH($E783,担当者マスタ!$A$2:$A$101,0)),"※マスタ未登録"))</f>
        <v/>
      </c>
      <c r="G783" s="11" t="n">
        <v>40.86</v>
      </c>
      <c r="H783" s="11" t="n">
        <v>140.06</v>
      </c>
      <c r="I783" s="11" t="n">
        <v>64.225</v>
      </c>
      <c r="J783" s="11" t="n">
        <v>42.7</v>
      </c>
      <c r="K783" s="11" t="n">
        <v>0</v>
      </c>
      <c r="L783" s="11" t="n">
        <v>72.58</v>
      </c>
      <c r="M783" s="11" t="n">
        <f aca="false">SUM(G783:L783)</f>
        <v>360.425</v>
      </c>
      <c r="N783" s="11" t="n">
        <v>12.48</v>
      </c>
      <c r="O783" s="11" t="n">
        <v>19.1</v>
      </c>
      <c r="P783" s="11" t="n">
        <v>17.48</v>
      </c>
      <c r="Q783" s="11" t="n">
        <v>11.65</v>
      </c>
      <c r="R783" s="11" t="n">
        <v>0</v>
      </c>
      <c r="S783" s="11" t="n">
        <v>16.82</v>
      </c>
      <c r="T783" s="11" t="n">
        <f aca="false">SUM(N783:S783)</f>
        <v>77.53</v>
      </c>
      <c r="U783" s="11" t="n">
        <v>61.2</v>
      </c>
      <c r="V783" s="11" t="n">
        <v>9.2</v>
      </c>
      <c r="W783" s="11" t="n">
        <v>0</v>
      </c>
      <c r="X783" s="11" t="n">
        <v>71.4</v>
      </c>
      <c r="Y783" s="11" t="n">
        <v>50.6</v>
      </c>
      <c r="Z783" s="11" t="n">
        <v>403.45</v>
      </c>
      <c r="AA783" s="11" t="n">
        <f aca="false">SUM(U783:Z783)</f>
        <v>595.85</v>
      </c>
      <c r="AB783" s="11" t="n">
        <v>16.4</v>
      </c>
      <c r="AC783" s="11" t="n">
        <v>1.94</v>
      </c>
      <c r="AD783" s="11" t="n">
        <v>0</v>
      </c>
      <c r="AE783" s="11" t="n">
        <v>16.2</v>
      </c>
      <c r="AF783" s="11" t="n">
        <v>11.8</v>
      </c>
      <c r="AG783" s="11" t="n">
        <v>87.17</v>
      </c>
      <c r="AH783" s="11" t="n">
        <f aca="false">SUM(AB783:AG783)</f>
        <v>133.51</v>
      </c>
      <c r="AI783" s="12" t="s">
        <v>955</v>
      </c>
    </row>
    <row r="784" customFormat="false" ht="15" hidden="false" customHeight="false" outlineLevel="0" collapsed="false">
      <c r="A784" s="8" t="s">
        <v>1670</v>
      </c>
      <c r="B784" s="12" t="s">
        <v>1671</v>
      </c>
      <c r="C784" s="8" t="s">
        <v>1649</v>
      </c>
      <c r="D784" s="12" t="s">
        <v>1650</v>
      </c>
      <c r="E784" s="10" t="str">
        <f aca="true">IFERROR(IF(INDEX(INDIRECT("'"&amp;$AI784&amp;"'!$E$2:$E$327"),MATCH($A784,INDIRECT("'"&amp;$AI784&amp;"'!$A$2:$A$327"),0))="","",INDEX(INDIRECT("'"&amp;$AI784&amp;"'!$E$2:$E$327"),MATCH($A784,INDIRECT("'"&amp;$AI784&amp;"'!$A$2:$A$327"),0))),"")</f>
        <v/>
      </c>
      <c r="F784" s="9" t="str">
        <f aca="false">IF($E784="","",IFERROR(INDEX(担当者マスタ!$B$2:$B$101,MATCH($E784,担当者マスタ!$A$2:$A$101,0)),"※マスタ未登録"))</f>
        <v/>
      </c>
      <c r="G784" s="11" t="n">
        <v>1009.26</v>
      </c>
      <c r="H784" s="11" t="n">
        <v>2388.582</v>
      </c>
      <c r="I784" s="11" t="n">
        <v>1198.474</v>
      </c>
      <c r="J784" s="11" t="n">
        <v>1163.764</v>
      </c>
      <c r="K784" s="11" t="n">
        <v>1170.35</v>
      </c>
      <c r="L784" s="11" t="n">
        <v>1198.296</v>
      </c>
      <c r="M784" s="11" t="n">
        <f aca="false">SUM(G784:L784)</f>
        <v>8128.726</v>
      </c>
      <c r="N784" s="11" t="n">
        <v>158.76</v>
      </c>
      <c r="O784" s="11" t="n">
        <v>375.732</v>
      </c>
      <c r="P784" s="11" t="n">
        <v>188.524</v>
      </c>
      <c r="Q784" s="11" t="n">
        <v>183.064</v>
      </c>
      <c r="R784" s="11" t="n">
        <v>184.1</v>
      </c>
      <c r="S784" s="11" t="n">
        <v>188.496</v>
      </c>
      <c r="T784" s="11" t="n">
        <f aca="false">SUM(N784:S784)</f>
        <v>1278.676</v>
      </c>
      <c r="U784" s="11" t="n">
        <v>2377.012</v>
      </c>
      <c r="V784" s="11" t="n">
        <v>1182.276</v>
      </c>
      <c r="W784" s="11" t="n">
        <v>1224.106</v>
      </c>
      <c r="X784" s="11" t="n">
        <v>1181.92</v>
      </c>
      <c r="Y784" s="11" t="n">
        <v>1198.474</v>
      </c>
      <c r="Z784" s="11" t="n">
        <v>1197.584</v>
      </c>
      <c r="AA784" s="11" t="n">
        <f aca="false">SUM(U784:Z784)</f>
        <v>8361.372</v>
      </c>
      <c r="AB784" s="11" t="n">
        <v>373.912</v>
      </c>
      <c r="AC784" s="11" t="n">
        <v>185.976</v>
      </c>
      <c r="AD784" s="11" t="n">
        <v>192.556</v>
      </c>
      <c r="AE784" s="11" t="n">
        <v>185.92</v>
      </c>
      <c r="AF784" s="11" t="n">
        <v>188.524</v>
      </c>
      <c r="AG784" s="11" t="n">
        <v>188.384</v>
      </c>
      <c r="AH784" s="11" t="n">
        <f aca="false">SUM(AB784:AG784)</f>
        <v>1315.272</v>
      </c>
      <c r="AI784" s="12" t="s">
        <v>955</v>
      </c>
    </row>
    <row r="785" customFormat="false" ht="15" hidden="false" customHeight="false" outlineLevel="0" collapsed="false">
      <c r="A785" s="8" t="s">
        <v>1672</v>
      </c>
      <c r="B785" s="12" t="s">
        <v>1673</v>
      </c>
      <c r="C785" s="8" t="s">
        <v>1649</v>
      </c>
      <c r="D785" s="12" t="s">
        <v>1650</v>
      </c>
      <c r="E785" s="10" t="str">
        <f aca="true">IFERROR(IF(INDEX(INDIRECT("'"&amp;$AI785&amp;"'!$E$2:$E$327"),MATCH($A785,INDIRECT("'"&amp;$AI785&amp;"'!$A$2:$A$327"),0))="","",INDEX(INDIRECT("'"&amp;$AI785&amp;"'!$E$2:$E$327"),MATCH($A785,INDIRECT("'"&amp;$AI785&amp;"'!$A$2:$A$327"),0))),"")</f>
        <v/>
      </c>
      <c r="F785" s="9" t="str">
        <f aca="false">IF($E785="","",IFERROR(INDEX(担当者マスタ!$B$2:$B$101,MATCH($E785,担当者マスタ!$A$2:$A$101,0)),"※マスタ未登録"))</f>
        <v/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f aca="false">SUM(G785:L785)</f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1" t="n">
        <f aca="false">SUM(N785:S785)</f>
        <v>0</v>
      </c>
      <c r="U785" s="11" t="n">
        <v>299.4</v>
      </c>
      <c r="V785" s="11" t="n">
        <v>255.35</v>
      </c>
      <c r="W785" s="11" t="n">
        <v>470.4</v>
      </c>
      <c r="X785" s="11" t="n">
        <v>482.9</v>
      </c>
      <c r="Y785" s="11" t="n">
        <v>491.7</v>
      </c>
      <c r="Z785" s="11" t="n">
        <v>513.58</v>
      </c>
      <c r="AA785" s="11" t="n">
        <f aca="false">SUM(U785:Z785)</f>
        <v>2513.33</v>
      </c>
      <c r="AB785" s="11" t="n">
        <v>55.62</v>
      </c>
      <c r="AC785" s="11" t="n">
        <v>30.132</v>
      </c>
      <c r="AD785" s="11" t="n">
        <v>88.2</v>
      </c>
      <c r="AE785" s="11" t="n">
        <v>94.8</v>
      </c>
      <c r="AF785" s="11" t="n">
        <v>92.02</v>
      </c>
      <c r="AG785" s="11" t="n">
        <v>95.77</v>
      </c>
      <c r="AH785" s="11" t="n">
        <f aca="false">SUM(AB785:AG785)</f>
        <v>456.542</v>
      </c>
      <c r="AI785" s="12" t="s">
        <v>955</v>
      </c>
    </row>
    <row r="786" customFormat="false" ht="15" hidden="false" customHeight="false" outlineLevel="0" collapsed="false">
      <c r="A786" s="8" t="s">
        <v>1674</v>
      </c>
      <c r="B786" s="9" t="s">
        <v>1675</v>
      </c>
      <c r="C786" s="8" t="s">
        <v>1649</v>
      </c>
      <c r="D786" s="12" t="s">
        <v>1650</v>
      </c>
      <c r="E786" s="10" t="str">
        <f aca="true">IFERROR(IF(INDEX(INDIRECT("'"&amp;$AI786&amp;"'!$E$2:$E$327"),MATCH($A786,INDIRECT("'"&amp;$AI786&amp;"'!$A$2:$A$327"),0))="","",INDEX(INDIRECT("'"&amp;$AI786&amp;"'!$E$2:$E$327"),MATCH($A786,INDIRECT("'"&amp;$AI786&amp;"'!$A$2:$A$327"),0))),"")</f>
        <v/>
      </c>
      <c r="F786" s="9" t="str">
        <f aca="false">IF($E786="","",IFERROR(INDEX(担当者マスタ!$B$2:$B$101,MATCH($E786,担当者マスタ!$A$2:$A$101,0)),"※マスタ未登録"))</f>
        <v/>
      </c>
      <c r="G786" s="11" t="n">
        <v>388.6</v>
      </c>
      <c r="H786" s="11" t="n">
        <v>414.969</v>
      </c>
      <c r="I786" s="11" t="n">
        <v>88.9</v>
      </c>
      <c r="J786" s="11" t="n">
        <v>88.7</v>
      </c>
      <c r="K786" s="11" t="n">
        <v>16</v>
      </c>
      <c r="L786" s="11" t="n">
        <v>9.35</v>
      </c>
      <c r="M786" s="11" t="n">
        <f aca="false">SUM(G786:L786)</f>
        <v>1006.519</v>
      </c>
      <c r="N786" s="11" t="n">
        <v>67.252</v>
      </c>
      <c r="O786" s="11" t="n">
        <v>71.732</v>
      </c>
      <c r="P786" s="11" t="n">
        <v>13.84</v>
      </c>
      <c r="Q786" s="11" t="n">
        <v>18.71</v>
      </c>
      <c r="R786" s="11" t="n">
        <v>6.5</v>
      </c>
      <c r="S786" s="11" t="n">
        <v>0.8</v>
      </c>
      <c r="T786" s="11" t="n">
        <f aca="false">SUM(N786:S786)</f>
        <v>178.834</v>
      </c>
      <c r="U786" s="11" t="n">
        <v>43.23</v>
      </c>
      <c r="V786" s="11" t="n">
        <v>54.2</v>
      </c>
      <c r="W786" s="11" t="n">
        <v>355.75</v>
      </c>
      <c r="X786" s="11" t="n">
        <v>76.4</v>
      </c>
      <c r="Y786" s="11" t="n">
        <v>2353.44</v>
      </c>
      <c r="Z786" s="11" t="n">
        <v>150.85</v>
      </c>
      <c r="AA786" s="11" t="n">
        <f aca="false">SUM(U786:Z786)</f>
        <v>3033.87</v>
      </c>
      <c r="AB786" s="11" t="n">
        <v>10.1</v>
      </c>
      <c r="AC786" s="11" t="n">
        <v>9.71</v>
      </c>
      <c r="AD786" s="11" t="n">
        <v>60.34</v>
      </c>
      <c r="AE786" s="11" t="n">
        <v>20.78</v>
      </c>
      <c r="AF786" s="11" t="n">
        <v>344.48</v>
      </c>
      <c r="AG786" s="11" t="n">
        <v>24.83</v>
      </c>
      <c r="AH786" s="11" t="n">
        <f aca="false">SUM(AB786:AG786)</f>
        <v>470.24</v>
      </c>
      <c r="AI786" s="12" t="s">
        <v>955</v>
      </c>
    </row>
    <row r="787" customFormat="false" ht="15" hidden="false" customHeight="false" outlineLevel="0" collapsed="false">
      <c r="A787" s="8" t="s">
        <v>1676</v>
      </c>
      <c r="B787" s="12" t="s">
        <v>1677</v>
      </c>
      <c r="C787" s="8" t="s">
        <v>1649</v>
      </c>
      <c r="D787" s="12" t="s">
        <v>1650</v>
      </c>
      <c r="E787" s="10" t="str">
        <f aca="true">IFERROR(IF(INDEX(INDIRECT("'"&amp;$AI787&amp;"'!$E$2:$E$327"),MATCH($A787,INDIRECT("'"&amp;$AI787&amp;"'!$A$2:$A$327"),0))="","",INDEX(INDIRECT("'"&amp;$AI787&amp;"'!$E$2:$E$327"),MATCH($A787,INDIRECT("'"&amp;$AI787&amp;"'!$A$2:$A$327"),0))),"")</f>
        <v/>
      </c>
      <c r="F787" s="9" t="str">
        <f aca="false">IF($E787="","",IFERROR(INDEX(担当者マスタ!$B$2:$B$101,MATCH($E787,担当者マスタ!$A$2:$A$101,0)),"※マスタ未登録"))</f>
        <v/>
      </c>
      <c r="G787" s="11" t="n">
        <v>42.7</v>
      </c>
      <c r="H787" s="11" t="n">
        <v>922.14</v>
      </c>
      <c r="I787" s="11" t="n">
        <v>415.64</v>
      </c>
      <c r="J787" s="11" t="n">
        <v>0</v>
      </c>
      <c r="K787" s="11" t="n">
        <v>0</v>
      </c>
      <c r="L787" s="11" t="n">
        <v>350.3</v>
      </c>
      <c r="M787" s="11" t="n">
        <f aca="false">SUM(G787:L787)</f>
        <v>1730.78</v>
      </c>
      <c r="N787" s="11" t="n">
        <v>12.938</v>
      </c>
      <c r="O787" s="11" t="n">
        <v>191.185</v>
      </c>
      <c r="P787" s="11" t="n">
        <v>95.28</v>
      </c>
      <c r="Q787" s="11" t="n">
        <v>0</v>
      </c>
      <c r="R787" s="11" t="n">
        <v>0</v>
      </c>
      <c r="S787" s="11" t="n">
        <v>77.5</v>
      </c>
      <c r="T787" s="11" t="n">
        <f aca="false">SUM(N787:S787)</f>
        <v>376.903</v>
      </c>
      <c r="U787" s="11" t="n">
        <v>48.3</v>
      </c>
      <c r="V787" s="11" t="n">
        <v>457.92</v>
      </c>
      <c r="W787" s="11" t="n">
        <v>405.89</v>
      </c>
      <c r="X787" s="11" t="n">
        <v>403.82</v>
      </c>
      <c r="Y787" s="11" t="n">
        <v>399.63</v>
      </c>
      <c r="Z787" s="11" t="n">
        <v>345.78</v>
      </c>
      <c r="AA787" s="11" t="n">
        <f aca="false">SUM(U787:Z787)</f>
        <v>2061.34</v>
      </c>
      <c r="AB787" s="11" t="n">
        <v>12.5</v>
      </c>
      <c r="AC787" s="11" t="n">
        <v>106.5</v>
      </c>
      <c r="AD787" s="11" t="n">
        <v>76.51</v>
      </c>
      <c r="AE787" s="11" t="n">
        <v>84.93</v>
      </c>
      <c r="AF787" s="11" t="n">
        <v>83.395</v>
      </c>
      <c r="AG787" s="11" t="n">
        <v>74.97</v>
      </c>
      <c r="AH787" s="11" t="n">
        <f aca="false">SUM(AB787:AG787)</f>
        <v>438.805</v>
      </c>
      <c r="AI787" s="12" t="s">
        <v>955</v>
      </c>
    </row>
    <row r="788" customFormat="false" ht="15" hidden="false" customHeight="false" outlineLevel="0" collapsed="false">
      <c r="A788" s="8" t="s">
        <v>1678</v>
      </c>
      <c r="B788" s="12" t="s">
        <v>1679</v>
      </c>
      <c r="C788" s="8" t="s">
        <v>1649</v>
      </c>
      <c r="D788" s="12" t="s">
        <v>1650</v>
      </c>
      <c r="E788" s="10" t="str">
        <f aca="true">IFERROR(IF(INDEX(INDIRECT("'"&amp;$AI788&amp;"'!$E$2:$E$327"),MATCH($A788,INDIRECT("'"&amp;$AI788&amp;"'!$A$2:$A$327"),0))="","",INDEX(INDIRECT("'"&amp;$AI788&amp;"'!$E$2:$E$327"),MATCH($A788,INDIRECT("'"&amp;$AI788&amp;"'!$A$2:$A$327"),0))),"")</f>
        <v/>
      </c>
      <c r="F788" s="9" t="str">
        <f aca="false">IF($E788="","",IFERROR(INDEX(担当者マスタ!$B$2:$B$101,MATCH($E788,担当者マスタ!$A$2:$A$101,0)),"※マスタ未登録"))</f>
        <v/>
      </c>
      <c r="G788" s="11" t="n">
        <v>3.9</v>
      </c>
      <c r="H788" s="11" t="n">
        <v>0</v>
      </c>
      <c r="I788" s="11" t="n">
        <v>1.295</v>
      </c>
      <c r="J788" s="11" t="n">
        <v>0</v>
      </c>
      <c r="K788" s="11" t="n">
        <v>36.65</v>
      </c>
      <c r="L788" s="11" t="n">
        <v>0</v>
      </c>
      <c r="M788" s="11" t="n">
        <f aca="false">SUM(G788:L788)</f>
        <v>41.845</v>
      </c>
      <c r="N788" s="11" t="n">
        <v>3.365</v>
      </c>
      <c r="O788" s="11" t="n">
        <v>0</v>
      </c>
      <c r="P788" s="11" t="n">
        <v>0.203</v>
      </c>
      <c r="Q788" s="11" t="n">
        <v>0</v>
      </c>
      <c r="R788" s="11" t="n">
        <v>7.11</v>
      </c>
      <c r="S788" s="11" t="n">
        <v>0</v>
      </c>
      <c r="T788" s="11" t="n">
        <f aca="false">SUM(N788:S788)</f>
        <v>10.678</v>
      </c>
      <c r="U788" s="11" t="n">
        <v>1.845</v>
      </c>
      <c r="V788" s="11" t="n">
        <v>35.55</v>
      </c>
      <c r="W788" s="11" t="n">
        <v>0</v>
      </c>
      <c r="X788" s="11" t="n">
        <v>1.845</v>
      </c>
      <c r="Y788" s="11" t="n">
        <v>0</v>
      </c>
      <c r="Z788" s="11" t="n">
        <v>35.55</v>
      </c>
      <c r="AA788" s="11" t="n">
        <f aca="false">SUM(U788:Z788)</f>
        <v>74.79</v>
      </c>
      <c r="AB788" s="11" t="n">
        <v>0.383</v>
      </c>
      <c r="AC788" s="11" t="n">
        <v>6.75</v>
      </c>
      <c r="AD788" s="11" t="n">
        <v>0</v>
      </c>
      <c r="AE788" s="11" t="n">
        <v>0.383</v>
      </c>
      <c r="AF788" s="11" t="n">
        <v>0</v>
      </c>
      <c r="AG788" s="11" t="n">
        <v>6.75</v>
      </c>
      <c r="AH788" s="11" t="n">
        <f aca="false">SUM(AB788:AG788)</f>
        <v>14.266</v>
      </c>
      <c r="AI788" s="12" t="s">
        <v>955</v>
      </c>
    </row>
    <row r="789" customFormat="false" ht="15" hidden="false" customHeight="false" outlineLevel="0" collapsed="false">
      <c r="A789" s="8" t="s">
        <v>1680</v>
      </c>
      <c r="B789" s="12" t="s">
        <v>1681</v>
      </c>
      <c r="C789" s="8" t="s">
        <v>1649</v>
      </c>
      <c r="D789" s="12" t="s">
        <v>1650</v>
      </c>
      <c r="E789" s="10" t="str">
        <f aca="true">IFERROR(IF(INDEX(INDIRECT("'"&amp;$AI789&amp;"'!$E$2:$E$327"),MATCH($A789,INDIRECT("'"&amp;$AI789&amp;"'!$A$2:$A$327"),0))="","",INDEX(INDIRECT("'"&amp;$AI789&amp;"'!$E$2:$E$327"),MATCH($A789,INDIRECT("'"&amp;$AI789&amp;"'!$A$2:$A$327"),0))),"")</f>
        <v/>
      </c>
      <c r="F789" s="9" t="str">
        <f aca="false">IF($E789="","",IFERROR(INDEX(担当者マスタ!$B$2:$B$101,MATCH($E789,担当者マスタ!$A$2:$A$101,0)),"※マスタ未登録"))</f>
        <v/>
      </c>
      <c r="G789" s="11" t="n">
        <v>0</v>
      </c>
      <c r="H789" s="11" t="n">
        <v>0</v>
      </c>
      <c r="I789" s="11" t="n">
        <v>1053.73</v>
      </c>
      <c r="J789" s="11" t="n">
        <v>0</v>
      </c>
      <c r="K789" s="11" t="n">
        <v>0</v>
      </c>
      <c r="L789" s="11" t="n">
        <v>1238.68</v>
      </c>
      <c r="M789" s="11" t="n">
        <f aca="false">SUM(G789:L789)</f>
        <v>2292.41</v>
      </c>
      <c r="N789" s="11" t="n">
        <v>0</v>
      </c>
      <c r="O789" s="11" t="n">
        <v>0</v>
      </c>
      <c r="P789" s="11" t="n">
        <v>69.255</v>
      </c>
      <c r="Q789" s="11" t="n">
        <v>0</v>
      </c>
      <c r="R789" s="11" t="n">
        <v>0</v>
      </c>
      <c r="S789" s="11" t="n">
        <v>82.08</v>
      </c>
      <c r="T789" s="11" t="n">
        <f aca="false">SUM(N789:S789)</f>
        <v>151.335</v>
      </c>
      <c r="U789" s="11" t="n">
        <v>0</v>
      </c>
      <c r="V789" s="11" t="n">
        <v>0</v>
      </c>
      <c r="W789" s="11" t="n">
        <v>1041.4</v>
      </c>
      <c r="X789" s="11" t="n">
        <v>0</v>
      </c>
      <c r="Y789" s="11" t="n">
        <v>1016.74</v>
      </c>
      <c r="Z789" s="11" t="n">
        <v>12.33</v>
      </c>
      <c r="AA789" s="11" t="n">
        <f aca="false">SUM(U789:Z789)</f>
        <v>2070.47</v>
      </c>
      <c r="AB789" s="11" t="n">
        <v>0</v>
      </c>
      <c r="AC789" s="11" t="n">
        <v>0</v>
      </c>
      <c r="AD789" s="11" t="n">
        <v>68.4</v>
      </c>
      <c r="AE789" s="11" t="n">
        <v>0</v>
      </c>
      <c r="AF789" s="11" t="n">
        <v>66.69</v>
      </c>
      <c r="AG789" s="11" t="n">
        <v>0.855</v>
      </c>
      <c r="AH789" s="11" t="n">
        <f aca="false">SUM(AB789:AG789)</f>
        <v>135.945</v>
      </c>
      <c r="AI789" s="12" t="s">
        <v>955</v>
      </c>
    </row>
    <row r="790" customFormat="false" ht="15" hidden="false" customHeight="false" outlineLevel="0" collapsed="false">
      <c r="A790" s="8" t="s">
        <v>1682</v>
      </c>
      <c r="B790" s="12" t="s">
        <v>1683</v>
      </c>
      <c r="C790" s="8" t="s">
        <v>1649</v>
      </c>
      <c r="D790" s="12" t="s">
        <v>1650</v>
      </c>
      <c r="E790" s="10" t="str">
        <f aca="true">IFERROR(IF(INDEX(INDIRECT("'"&amp;$AI790&amp;"'!$E$2:$E$327"),MATCH($A790,INDIRECT("'"&amp;$AI790&amp;"'!$A$2:$A$327"),0))="","",INDEX(INDIRECT("'"&amp;$AI790&amp;"'!$E$2:$E$327"),MATCH($A790,INDIRECT("'"&amp;$AI790&amp;"'!$A$2:$A$327"),0))),"")</f>
        <v/>
      </c>
      <c r="F790" s="9" t="str">
        <f aca="false">IF($E790="","",IFERROR(INDEX(担当者マスタ!$B$2:$B$101,MATCH($E790,担当者マスタ!$A$2:$A$101,0)),"※マスタ未登録"))</f>
        <v/>
      </c>
      <c r="G790" s="11" t="n">
        <v>0</v>
      </c>
      <c r="H790" s="11" t="n">
        <v>0</v>
      </c>
      <c r="I790" s="11" t="n">
        <v>8.1</v>
      </c>
      <c r="J790" s="11" t="n">
        <v>0</v>
      </c>
      <c r="K790" s="11" t="n">
        <v>12.6</v>
      </c>
      <c r="L790" s="11" t="n">
        <v>0</v>
      </c>
      <c r="M790" s="11" t="n">
        <f aca="false">SUM(G790:L790)</f>
        <v>20.7</v>
      </c>
      <c r="N790" s="11" t="n">
        <v>0</v>
      </c>
      <c r="O790" s="11" t="n">
        <v>0</v>
      </c>
      <c r="P790" s="11" t="n">
        <v>0.414</v>
      </c>
      <c r="Q790" s="11" t="n">
        <v>0</v>
      </c>
      <c r="R790" s="11" t="n">
        <v>3.3</v>
      </c>
      <c r="S790" s="11" t="n">
        <v>0</v>
      </c>
      <c r="T790" s="11" t="n">
        <f aca="false">SUM(N790:S790)</f>
        <v>3.714</v>
      </c>
      <c r="U790" s="11" t="n">
        <v>9.4</v>
      </c>
      <c r="V790" s="11" t="n">
        <v>6.68</v>
      </c>
      <c r="W790" s="11" t="n">
        <v>10.32</v>
      </c>
      <c r="X790" s="11" t="n">
        <v>2.71</v>
      </c>
      <c r="Y790" s="11" t="n">
        <v>8.1</v>
      </c>
      <c r="Z790" s="11" t="n">
        <v>0</v>
      </c>
      <c r="AA790" s="11" t="n">
        <f aca="false">SUM(U790:Z790)</f>
        <v>37.21</v>
      </c>
      <c r="AB790" s="11" t="n">
        <v>0.58</v>
      </c>
      <c r="AC790" s="11" t="n">
        <v>0.74</v>
      </c>
      <c r="AD790" s="11" t="n">
        <v>1.2</v>
      </c>
      <c r="AE790" s="11" t="n">
        <v>2.75</v>
      </c>
      <c r="AF790" s="11" t="n">
        <v>0.414</v>
      </c>
      <c r="AG790" s="11" t="n">
        <v>0</v>
      </c>
      <c r="AH790" s="11" t="n">
        <f aca="false">SUM(AB790:AG790)</f>
        <v>5.684</v>
      </c>
      <c r="AI790" s="12" t="s">
        <v>955</v>
      </c>
    </row>
    <row r="791" customFormat="false" ht="15" hidden="false" customHeight="false" outlineLevel="0" collapsed="false">
      <c r="A791" s="8" t="s">
        <v>1684</v>
      </c>
      <c r="B791" s="12" t="s">
        <v>1685</v>
      </c>
      <c r="C791" s="8" t="s">
        <v>1649</v>
      </c>
      <c r="D791" s="12" t="s">
        <v>1650</v>
      </c>
      <c r="E791" s="10" t="str">
        <f aca="true">IFERROR(IF(INDEX(INDIRECT("'"&amp;$AI791&amp;"'!$E$2:$E$327"),MATCH($A791,INDIRECT("'"&amp;$AI791&amp;"'!$A$2:$A$327"),0))="","",INDEX(INDIRECT("'"&amp;$AI791&amp;"'!$E$2:$E$327"),MATCH($A791,INDIRECT("'"&amp;$AI791&amp;"'!$A$2:$A$327"),0))),"")</f>
        <v/>
      </c>
      <c r="F791" s="9" t="str">
        <f aca="false">IF($E791="","",IFERROR(INDEX(担当者マスタ!$B$2:$B$101,MATCH($E791,担当者マスタ!$A$2:$A$101,0)),"※マスタ未登録"))</f>
        <v/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6.2</v>
      </c>
      <c r="L791" s="11" t="n">
        <v>0</v>
      </c>
      <c r="M791" s="11" t="n">
        <f aca="false">SUM(G791:L791)</f>
        <v>6.2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1.6</v>
      </c>
      <c r="S791" s="11" t="n">
        <v>0</v>
      </c>
      <c r="T791" s="11" t="n">
        <f aca="false">SUM(N791:S791)</f>
        <v>1.6</v>
      </c>
      <c r="U791" s="11" t="n">
        <v>0</v>
      </c>
      <c r="V791" s="11" t="n">
        <v>6.2</v>
      </c>
      <c r="W791" s="11" t="n">
        <v>0</v>
      </c>
      <c r="X791" s="11" t="n">
        <v>0</v>
      </c>
      <c r="Y791" s="11" t="n">
        <v>0</v>
      </c>
      <c r="Z791" s="11" t="n">
        <v>0</v>
      </c>
      <c r="AA791" s="11" t="n">
        <f aca="false">SUM(U791:Z791)</f>
        <v>6.2</v>
      </c>
      <c r="AB791" s="11" t="n">
        <v>0</v>
      </c>
      <c r="AC791" s="11" t="n">
        <v>1.14</v>
      </c>
      <c r="AD791" s="11" t="n">
        <v>0</v>
      </c>
      <c r="AE791" s="11" t="n">
        <v>0</v>
      </c>
      <c r="AF791" s="11" t="n">
        <v>0</v>
      </c>
      <c r="AG791" s="11" t="n">
        <v>0</v>
      </c>
      <c r="AH791" s="11" t="n">
        <f aca="false">SUM(AB791:AG791)</f>
        <v>1.14</v>
      </c>
      <c r="AI791" s="12" t="s">
        <v>955</v>
      </c>
    </row>
    <row r="792" customFormat="false" ht="15" hidden="false" customHeight="false" outlineLevel="0" collapsed="false">
      <c r="A792" s="8" t="s">
        <v>1686</v>
      </c>
      <c r="B792" s="12" t="s">
        <v>1687</v>
      </c>
      <c r="C792" s="8" t="s">
        <v>1649</v>
      </c>
      <c r="D792" s="12" t="s">
        <v>1650</v>
      </c>
      <c r="E792" s="10" t="str">
        <f aca="true">IFERROR(IF(INDEX(INDIRECT("'"&amp;$AI792&amp;"'!$E$2:$E$327"),MATCH($A792,INDIRECT("'"&amp;$AI792&amp;"'!$A$2:$A$327"),0))="","",INDEX(INDIRECT("'"&amp;$AI792&amp;"'!$E$2:$E$327"),MATCH($A792,INDIRECT("'"&amp;$AI792&amp;"'!$A$2:$A$327"),0))),"")</f>
        <v/>
      </c>
      <c r="F792" s="9" t="str">
        <f aca="false">IF($E792="","",IFERROR(INDEX(担当者マスタ!$B$2:$B$101,MATCH($E792,担当者マスタ!$A$2:$A$101,0)),"※マスタ未登録"))</f>
        <v/>
      </c>
      <c r="G792" s="11" t="n">
        <v>9.3</v>
      </c>
      <c r="H792" s="11" t="n">
        <v>56</v>
      </c>
      <c r="I792" s="11" t="n">
        <v>26.2</v>
      </c>
      <c r="J792" s="11" t="n">
        <v>0</v>
      </c>
      <c r="K792" s="11" t="n">
        <v>0</v>
      </c>
      <c r="L792" s="11" t="n">
        <v>27.9</v>
      </c>
      <c r="M792" s="11" t="n">
        <f aca="false">SUM(G792:L792)</f>
        <v>119.4</v>
      </c>
      <c r="N792" s="11" t="n">
        <v>3.15</v>
      </c>
      <c r="O792" s="11" t="n">
        <v>8.48</v>
      </c>
      <c r="P792" s="11" t="n">
        <v>2.8</v>
      </c>
      <c r="Q792" s="11" t="n">
        <v>0</v>
      </c>
      <c r="R792" s="11" t="n">
        <v>0</v>
      </c>
      <c r="S792" s="11" t="n">
        <v>9.45</v>
      </c>
      <c r="T792" s="11" t="n">
        <f aca="false">SUM(N792:S792)</f>
        <v>23.88</v>
      </c>
      <c r="U792" s="11" t="n">
        <v>0</v>
      </c>
      <c r="V792" s="11" t="n">
        <v>0</v>
      </c>
      <c r="W792" s="11" t="n">
        <v>37.12</v>
      </c>
      <c r="X792" s="11" t="n">
        <v>0</v>
      </c>
      <c r="Y792" s="11" t="n">
        <v>0</v>
      </c>
      <c r="Z792" s="11" t="n">
        <v>0</v>
      </c>
      <c r="AA792" s="11" t="n">
        <f aca="false">SUM(U792:Z792)</f>
        <v>37.12</v>
      </c>
      <c r="AB792" s="11" t="n">
        <v>0</v>
      </c>
      <c r="AC792" s="11" t="n">
        <v>0</v>
      </c>
      <c r="AD792" s="11" t="n">
        <v>4.48</v>
      </c>
      <c r="AE792" s="11" t="n">
        <v>0</v>
      </c>
      <c r="AF792" s="11" t="n">
        <v>0</v>
      </c>
      <c r="AG792" s="11" t="n">
        <v>0</v>
      </c>
      <c r="AH792" s="11" t="n">
        <f aca="false">SUM(AB792:AG792)</f>
        <v>4.48</v>
      </c>
      <c r="AI792" s="12" t="s">
        <v>955</v>
      </c>
    </row>
    <row r="793" customFormat="false" ht="15" hidden="false" customHeight="false" outlineLevel="0" collapsed="false">
      <c r="A793" s="8" t="s">
        <v>1688</v>
      </c>
      <c r="B793" s="9" t="s">
        <v>1689</v>
      </c>
      <c r="C793" s="8" t="s">
        <v>1690</v>
      </c>
      <c r="D793" s="12" t="s">
        <v>1691</v>
      </c>
      <c r="E793" s="10" t="str">
        <f aca="true">IFERROR(IF(INDEX(INDIRECT("'"&amp;$AI793&amp;"'!$E$2:$E$327"),MATCH($A793,INDIRECT("'"&amp;$AI793&amp;"'!$A$2:$A$327"),0))="","",INDEX(INDIRECT("'"&amp;$AI793&amp;"'!$E$2:$E$327"),MATCH($A793,INDIRECT("'"&amp;$AI793&amp;"'!$A$2:$A$327"),0))),"")</f>
        <v/>
      </c>
      <c r="F793" s="9" t="str">
        <f aca="false">IF($E793="","",IFERROR(INDEX(担当者マスタ!$B$2:$B$101,MATCH($E793,担当者マスタ!$A$2:$A$101,0)),"※マスタ未登録"))</f>
        <v/>
      </c>
      <c r="G793" s="11" t="n">
        <v>1099.368</v>
      </c>
      <c r="H793" s="11" t="n">
        <v>784.591</v>
      </c>
      <c r="I793" s="11" t="n">
        <v>1005.662</v>
      </c>
      <c r="J793" s="11" t="n">
        <v>683.833</v>
      </c>
      <c r="K793" s="11" t="n">
        <v>413.609</v>
      </c>
      <c r="L793" s="11" t="n">
        <v>341.676</v>
      </c>
      <c r="M793" s="11" t="n">
        <f aca="false">SUM(G793:L793)</f>
        <v>4328.739</v>
      </c>
      <c r="N793" s="11" t="n">
        <v>213.265</v>
      </c>
      <c r="O793" s="11" t="n">
        <v>129.097</v>
      </c>
      <c r="P793" s="11" t="n">
        <v>179.02</v>
      </c>
      <c r="Q793" s="11" t="n">
        <v>127.17</v>
      </c>
      <c r="R793" s="11" t="n">
        <v>67.921</v>
      </c>
      <c r="S793" s="11" t="n">
        <v>63.663</v>
      </c>
      <c r="T793" s="11" t="n">
        <f aca="false">SUM(N793:S793)</f>
        <v>780.136</v>
      </c>
      <c r="U793" s="11" t="n">
        <v>413.512</v>
      </c>
      <c r="V793" s="11" t="n">
        <v>366.304</v>
      </c>
      <c r="W793" s="11" t="n">
        <v>816.724</v>
      </c>
      <c r="X793" s="11" t="n">
        <v>319.316</v>
      </c>
      <c r="Y793" s="11" t="n">
        <v>461.614</v>
      </c>
      <c r="Z793" s="11" t="n">
        <v>577.646</v>
      </c>
      <c r="AA793" s="11" t="n">
        <f aca="false">SUM(U793:Z793)</f>
        <v>2955.116</v>
      </c>
      <c r="AB793" s="11" t="n">
        <v>83.322</v>
      </c>
      <c r="AC793" s="11" t="n">
        <v>67.855</v>
      </c>
      <c r="AD793" s="11" t="n">
        <v>140.527</v>
      </c>
      <c r="AE793" s="11" t="n">
        <v>50.823</v>
      </c>
      <c r="AF793" s="11" t="n">
        <v>85.819</v>
      </c>
      <c r="AG793" s="11" t="n">
        <v>93.723</v>
      </c>
      <c r="AH793" s="11" t="n">
        <f aca="false">SUM(AB793:AG793)</f>
        <v>522.069</v>
      </c>
      <c r="AI793" s="12" t="s">
        <v>955</v>
      </c>
    </row>
    <row r="794" customFormat="false" ht="15" hidden="false" customHeight="false" outlineLevel="0" collapsed="false">
      <c r="A794" s="8" t="s">
        <v>1692</v>
      </c>
      <c r="B794" s="12" t="s">
        <v>1693</v>
      </c>
      <c r="C794" s="8" t="s">
        <v>1690</v>
      </c>
      <c r="D794" s="12" t="s">
        <v>1691</v>
      </c>
      <c r="E794" s="10" t="str">
        <f aca="true">IFERROR(IF(INDEX(INDIRECT("'"&amp;$AI794&amp;"'!$E$2:$E$327"),MATCH($A794,INDIRECT("'"&amp;$AI794&amp;"'!$A$2:$A$327"),0))="","",INDEX(INDIRECT("'"&amp;$AI794&amp;"'!$E$2:$E$327"),MATCH($A794,INDIRECT("'"&amp;$AI794&amp;"'!$A$2:$A$327"),0))),"")</f>
        <v/>
      </c>
      <c r="F794" s="9" t="str">
        <f aca="false">IF($E794="","",IFERROR(INDEX(担当者マスタ!$B$2:$B$101,MATCH($E794,担当者マスタ!$A$2:$A$101,0)),"※マスタ未登録"))</f>
        <v/>
      </c>
      <c r="G794" s="11" t="n">
        <v>1418.165</v>
      </c>
      <c r="H794" s="11" t="n">
        <v>1818.729</v>
      </c>
      <c r="I794" s="11" t="n">
        <v>2243.96</v>
      </c>
      <c r="J794" s="11" t="n">
        <v>819.811</v>
      </c>
      <c r="K794" s="11" t="n">
        <v>1358.77</v>
      </c>
      <c r="L794" s="11" t="n">
        <v>2499.902</v>
      </c>
      <c r="M794" s="11" t="n">
        <f aca="false">SUM(G794:L794)</f>
        <v>10159.337</v>
      </c>
      <c r="N794" s="11" t="n">
        <v>278.991</v>
      </c>
      <c r="O794" s="11" t="n">
        <v>375.666</v>
      </c>
      <c r="P794" s="11" t="n">
        <v>402.503</v>
      </c>
      <c r="Q794" s="11" t="n">
        <v>136.251</v>
      </c>
      <c r="R794" s="11" t="n">
        <v>232.871</v>
      </c>
      <c r="S794" s="11" t="n">
        <v>449.678</v>
      </c>
      <c r="T794" s="11" t="n">
        <f aca="false">SUM(N794:S794)</f>
        <v>1875.96</v>
      </c>
      <c r="U794" s="11" t="n">
        <v>1684.665</v>
      </c>
      <c r="V794" s="11" t="n">
        <v>1536.231</v>
      </c>
      <c r="W794" s="11" t="n">
        <v>1292.115</v>
      </c>
      <c r="X794" s="11" t="n">
        <v>857.49</v>
      </c>
      <c r="Y794" s="11" t="n">
        <v>851.29</v>
      </c>
      <c r="Z794" s="11" t="n">
        <v>852.88</v>
      </c>
      <c r="AA794" s="11" t="n">
        <f aca="false">SUM(U794:Z794)</f>
        <v>7074.671</v>
      </c>
      <c r="AB794" s="11" t="n">
        <v>353.817</v>
      </c>
      <c r="AC794" s="11" t="n">
        <v>313.369</v>
      </c>
      <c r="AD794" s="11" t="n">
        <v>228.189</v>
      </c>
      <c r="AE794" s="11" t="n">
        <v>171.678</v>
      </c>
      <c r="AF794" s="11" t="n">
        <v>166.122</v>
      </c>
      <c r="AG794" s="11" t="n">
        <v>142.508</v>
      </c>
      <c r="AH794" s="11" t="n">
        <f aca="false">SUM(AB794:AG794)</f>
        <v>1375.683</v>
      </c>
      <c r="AI794" s="12" t="s">
        <v>955</v>
      </c>
    </row>
    <row r="795" customFormat="false" ht="15" hidden="false" customHeight="false" outlineLevel="0" collapsed="false">
      <c r="A795" s="8" t="s">
        <v>1694</v>
      </c>
      <c r="B795" s="12" t="s">
        <v>1695</v>
      </c>
      <c r="C795" s="8" t="s">
        <v>1690</v>
      </c>
      <c r="D795" s="12" t="s">
        <v>1691</v>
      </c>
      <c r="E795" s="10" t="str">
        <f aca="true">IFERROR(IF(INDEX(INDIRECT("'"&amp;$AI795&amp;"'!$E$2:$E$327"),MATCH($A795,INDIRECT("'"&amp;$AI795&amp;"'!$A$2:$A$327"),0))="","",INDEX(INDIRECT("'"&amp;$AI795&amp;"'!$E$2:$E$327"),MATCH($A795,INDIRECT("'"&amp;$AI795&amp;"'!$A$2:$A$327"),0))),"")</f>
        <v/>
      </c>
      <c r="F795" s="9" t="str">
        <f aca="false">IF($E795="","",IFERROR(INDEX(担当者マスタ!$B$2:$B$101,MATCH($E795,担当者マスタ!$A$2:$A$101,0)),"※マスタ未登録"))</f>
        <v/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4620</v>
      </c>
      <c r="L795" s="11" t="n">
        <v>0</v>
      </c>
      <c r="M795" s="11" t="n">
        <f aca="false">SUM(G795:L795)</f>
        <v>4620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750</v>
      </c>
      <c r="S795" s="11" t="n">
        <v>0</v>
      </c>
      <c r="T795" s="11" t="n">
        <f aca="false">SUM(N795:S795)</f>
        <v>750</v>
      </c>
      <c r="U795" s="11" t="n">
        <v>0</v>
      </c>
      <c r="V795" s="11" t="n">
        <v>0</v>
      </c>
      <c r="W795" s="11" t="n">
        <v>0</v>
      </c>
      <c r="X795" s="11" t="n">
        <v>0</v>
      </c>
      <c r="Y795" s="11" t="n">
        <v>0</v>
      </c>
      <c r="Z795" s="11" t="n">
        <v>0</v>
      </c>
      <c r="AA795" s="11" t="n">
        <f aca="false">SUM(U795:Z795)</f>
        <v>0</v>
      </c>
      <c r="AB795" s="11" t="n">
        <v>0</v>
      </c>
      <c r="AC795" s="11" t="n">
        <v>0</v>
      </c>
      <c r="AD795" s="11" t="n">
        <v>0</v>
      </c>
      <c r="AE795" s="11" t="n">
        <v>0</v>
      </c>
      <c r="AF795" s="11" t="n">
        <v>0</v>
      </c>
      <c r="AG795" s="11" t="n">
        <v>0</v>
      </c>
      <c r="AH795" s="11" t="n">
        <f aca="false">SUM(AB795:AG795)</f>
        <v>0</v>
      </c>
      <c r="AI795" s="12" t="s">
        <v>955</v>
      </c>
    </row>
    <row r="796" customFormat="false" ht="15" hidden="false" customHeight="false" outlineLevel="0" collapsed="false">
      <c r="A796" s="8" t="s">
        <v>1696</v>
      </c>
      <c r="B796" s="12" t="s">
        <v>1697</v>
      </c>
      <c r="C796" s="8" t="s">
        <v>1690</v>
      </c>
      <c r="D796" s="12" t="s">
        <v>1691</v>
      </c>
      <c r="E796" s="10" t="str">
        <f aca="true">IFERROR(IF(INDEX(INDIRECT("'"&amp;$AI796&amp;"'!$E$2:$E$327"),MATCH($A796,INDIRECT("'"&amp;$AI796&amp;"'!$A$2:$A$327"),0))="","",INDEX(INDIRECT("'"&amp;$AI796&amp;"'!$E$2:$E$327"),MATCH($A796,INDIRECT("'"&amp;$AI796&amp;"'!$A$2:$A$327"),0))),"")</f>
        <v/>
      </c>
      <c r="F796" s="9" t="str">
        <f aca="false">IF($E796="","",IFERROR(INDEX(担当者マスタ!$B$2:$B$101,MATCH($E796,担当者マスタ!$A$2:$A$101,0)),"※マスタ未登録"))</f>
        <v/>
      </c>
      <c r="G796" s="11" t="n">
        <v>4353.224</v>
      </c>
      <c r="H796" s="11" t="n">
        <v>4232.036</v>
      </c>
      <c r="I796" s="11" t="n">
        <v>5620.353</v>
      </c>
      <c r="J796" s="11" t="n">
        <v>3336.771</v>
      </c>
      <c r="K796" s="11" t="n">
        <v>7383.901</v>
      </c>
      <c r="L796" s="11" t="n">
        <v>4785.934</v>
      </c>
      <c r="M796" s="11" t="n">
        <f aca="false">SUM(G796:L796)</f>
        <v>29712.219</v>
      </c>
      <c r="N796" s="11" t="n">
        <v>593.187</v>
      </c>
      <c r="O796" s="11" t="n">
        <v>629.177</v>
      </c>
      <c r="P796" s="11" t="n">
        <v>1046.888</v>
      </c>
      <c r="Q796" s="11" t="n">
        <v>425.037</v>
      </c>
      <c r="R796" s="11" t="n">
        <v>1339.34</v>
      </c>
      <c r="S796" s="11" t="n">
        <v>1011.313</v>
      </c>
      <c r="T796" s="11" t="n">
        <f aca="false">SUM(N796:S796)</f>
        <v>5044.942</v>
      </c>
      <c r="U796" s="11" t="n">
        <v>11197.808</v>
      </c>
      <c r="V796" s="11" t="n">
        <v>4654.306</v>
      </c>
      <c r="W796" s="11" t="n">
        <v>3065.56</v>
      </c>
      <c r="X796" s="11" t="n">
        <v>3331.577</v>
      </c>
      <c r="Y796" s="11" t="n">
        <v>3632.858</v>
      </c>
      <c r="Z796" s="11" t="n">
        <v>13248.277</v>
      </c>
      <c r="AA796" s="11" t="n">
        <f aca="false">SUM(U796:Z796)</f>
        <v>39130.386</v>
      </c>
      <c r="AB796" s="11" t="n">
        <v>2657.424</v>
      </c>
      <c r="AC796" s="11" t="n">
        <v>748.761</v>
      </c>
      <c r="AD796" s="11" t="n">
        <v>415.854</v>
      </c>
      <c r="AE796" s="11" t="n">
        <v>450.889</v>
      </c>
      <c r="AF796" s="11" t="n">
        <v>586.206</v>
      </c>
      <c r="AG796" s="11" t="n">
        <v>2423.874</v>
      </c>
      <c r="AH796" s="11" t="n">
        <f aca="false">SUM(AB796:AG796)</f>
        <v>7283.008</v>
      </c>
      <c r="AI796" s="12" t="s">
        <v>955</v>
      </c>
    </row>
    <row r="797" customFormat="false" ht="15" hidden="false" customHeight="false" outlineLevel="0" collapsed="false">
      <c r="A797" s="8" t="s">
        <v>1698</v>
      </c>
      <c r="B797" s="12" t="s">
        <v>1699</v>
      </c>
      <c r="C797" s="8" t="s">
        <v>1690</v>
      </c>
      <c r="D797" s="12" t="s">
        <v>1691</v>
      </c>
      <c r="E797" s="10" t="str">
        <f aca="true">IFERROR(IF(INDEX(INDIRECT("'"&amp;$AI797&amp;"'!$E$2:$E$327"),MATCH($A797,INDIRECT("'"&amp;$AI797&amp;"'!$A$2:$A$327"),0))="","",INDEX(INDIRECT("'"&amp;$AI797&amp;"'!$E$2:$E$327"),MATCH($A797,INDIRECT("'"&amp;$AI797&amp;"'!$A$2:$A$327"),0))),"")</f>
        <v/>
      </c>
      <c r="F797" s="9" t="str">
        <f aca="false">IF($E797="","",IFERROR(INDEX(担当者マスタ!$B$2:$B$101,MATCH($E797,担当者マスタ!$A$2:$A$101,0)),"※マスタ未登録"))</f>
        <v/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f aca="false">SUM(G797:L797)</f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f aca="false">SUM(N797:S797)</f>
        <v>0</v>
      </c>
      <c r="U797" s="11" t="n">
        <v>120.72</v>
      </c>
      <c r="V797" s="11" t="n">
        <v>0</v>
      </c>
      <c r="W797" s="11" t="n">
        <v>0</v>
      </c>
      <c r="X797" s="11" t="n">
        <v>0</v>
      </c>
      <c r="Y797" s="11" t="n">
        <v>0</v>
      </c>
      <c r="Z797" s="11" t="n">
        <v>0</v>
      </c>
      <c r="AA797" s="11" t="n">
        <f aca="false">SUM(U797:Z797)</f>
        <v>120.72</v>
      </c>
      <c r="AB797" s="11" t="n">
        <v>20.64</v>
      </c>
      <c r="AC797" s="11" t="n">
        <v>0</v>
      </c>
      <c r="AD797" s="11" t="n">
        <v>0</v>
      </c>
      <c r="AE797" s="11" t="n">
        <v>0</v>
      </c>
      <c r="AF797" s="11" t="n">
        <v>0</v>
      </c>
      <c r="AG797" s="11" t="n">
        <v>0</v>
      </c>
      <c r="AH797" s="11" t="n">
        <f aca="false">SUM(AB797:AG797)</f>
        <v>20.64</v>
      </c>
      <c r="AI797" s="12" t="s">
        <v>955</v>
      </c>
    </row>
    <row r="798" customFormat="false" ht="15" hidden="false" customHeight="false" outlineLevel="0" collapsed="false">
      <c r="A798" s="8" t="s">
        <v>1700</v>
      </c>
      <c r="B798" s="12" t="s">
        <v>1701</v>
      </c>
      <c r="C798" s="8" t="s">
        <v>1690</v>
      </c>
      <c r="D798" s="12" t="s">
        <v>1691</v>
      </c>
      <c r="E798" s="10" t="str">
        <f aca="true">IFERROR(IF(INDEX(INDIRECT("'"&amp;$AI798&amp;"'!$E$2:$E$327"),MATCH($A798,INDIRECT("'"&amp;$AI798&amp;"'!$A$2:$A$327"),0))="","",INDEX(INDIRECT("'"&amp;$AI798&amp;"'!$E$2:$E$327"),MATCH($A798,INDIRECT("'"&amp;$AI798&amp;"'!$A$2:$A$327"),0))),"")</f>
        <v/>
      </c>
      <c r="F798" s="9" t="str">
        <f aca="false">IF($E798="","",IFERROR(INDEX(担当者マスタ!$B$2:$B$101,MATCH($E798,担当者マスタ!$A$2:$A$101,0)),"※マスタ未登録"))</f>
        <v/>
      </c>
      <c r="G798" s="11" t="n">
        <v>52</v>
      </c>
      <c r="H798" s="11" t="n">
        <v>60</v>
      </c>
      <c r="I798" s="11" t="n">
        <v>84</v>
      </c>
      <c r="J798" s="11" t="n">
        <v>92</v>
      </c>
      <c r="K798" s="11" t="n">
        <v>124</v>
      </c>
      <c r="L798" s="11" t="n">
        <v>104</v>
      </c>
      <c r="M798" s="11" t="n">
        <f aca="false">SUM(G798:L798)</f>
        <v>516</v>
      </c>
      <c r="N798" s="11" t="n">
        <v>52</v>
      </c>
      <c r="O798" s="11" t="n">
        <v>60</v>
      </c>
      <c r="P798" s="11" t="n">
        <v>84</v>
      </c>
      <c r="Q798" s="11" t="n">
        <v>92</v>
      </c>
      <c r="R798" s="11" t="n">
        <v>124</v>
      </c>
      <c r="S798" s="11" t="n">
        <v>104</v>
      </c>
      <c r="T798" s="11" t="n">
        <f aca="false">SUM(N798:S798)</f>
        <v>516</v>
      </c>
      <c r="U798" s="11" t="n">
        <v>248</v>
      </c>
      <c r="V798" s="11" t="n">
        <v>128</v>
      </c>
      <c r="W798" s="11" t="n">
        <v>96</v>
      </c>
      <c r="X798" s="11" t="n">
        <v>52</v>
      </c>
      <c r="Y798" s="11" t="n">
        <v>92</v>
      </c>
      <c r="Z798" s="11" t="n">
        <v>84</v>
      </c>
      <c r="AA798" s="11" t="n">
        <f aca="false">SUM(U798:Z798)</f>
        <v>700</v>
      </c>
      <c r="AB798" s="11" t="n">
        <v>248</v>
      </c>
      <c r="AC798" s="11" t="n">
        <v>128</v>
      </c>
      <c r="AD798" s="11" t="n">
        <v>96</v>
      </c>
      <c r="AE798" s="11" t="n">
        <v>52</v>
      </c>
      <c r="AF798" s="11" t="n">
        <v>92</v>
      </c>
      <c r="AG798" s="11" t="n">
        <v>84</v>
      </c>
      <c r="AH798" s="11" t="n">
        <f aca="false">SUM(AB798:AG798)</f>
        <v>700</v>
      </c>
      <c r="AI798" s="12" t="s">
        <v>955</v>
      </c>
    </row>
    <row r="799" customFormat="false" ht="15" hidden="false" customHeight="false" outlineLevel="0" collapsed="false">
      <c r="A799" s="8" t="s">
        <v>1702</v>
      </c>
      <c r="B799" s="12" t="s">
        <v>1703</v>
      </c>
      <c r="C799" s="8" t="s">
        <v>1690</v>
      </c>
      <c r="D799" s="12" t="s">
        <v>1691</v>
      </c>
      <c r="E799" s="10" t="str">
        <f aca="true">IFERROR(IF(INDEX(INDIRECT("'"&amp;$AI799&amp;"'!$E$2:$E$327"),MATCH($A799,INDIRECT("'"&amp;$AI799&amp;"'!$A$2:$A$327"),0))="","",INDEX(INDIRECT("'"&amp;$AI799&amp;"'!$E$2:$E$327"),MATCH($A799,INDIRECT("'"&amp;$AI799&amp;"'!$A$2:$A$327"),0))),"")</f>
        <v/>
      </c>
      <c r="F799" s="9" t="str">
        <f aca="false">IF($E799="","",IFERROR(INDEX(担当者マスタ!$B$2:$B$101,MATCH($E799,担当者マスタ!$A$2:$A$101,0)),"※マスタ未登録"))</f>
        <v/>
      </c>
      <c r="G799" s="11" t="n">
        <v>10.2</v>
      </c>
      <c r="H799" s="11" t="n">
        <v>48.475</v>
      </c>
      <c r="I799" s="11" t="n">
        <v>0</v>
      </c>
      <c r="J799" s="11" t="n">
        <v>0</v>
      </c>
      <c r="K799" s="11" t="n">
        <v>0</v>
      </c>
      <c r="L799" s="11" t="n">
        <v>34.956</v>
      </c>
      <c r="M799" s="11" t="n">
        <f aca="false">SUM(G799:L799)</f>
        <v>93.631</v>
      </c>
      <c r="N799" s="11" t="n">
        <v>1.4</v>
      </c>
      <c r="O799" s="11" t="n">
        <v>2.422</v>
      </c>
      <c r="P799" s="11" t="n">
        <v>4.77</v>
      </c>
      <c r="Q799" s="11" t="n">
        <v>0</v>
      </c>
      <c r="R799" s="11" t="n">
        <v>0</v>
      </c>
      <c r="S799" s="11" t="n">
        <v>6.872</v>
      </c>
      <c r="T799" s="11" t="n">
        <f aca="false">SUM(N799:S799)</f>
        <v>15.464</v>
      </c>
      <c r="U799" s="11" t="n">
        <v>37.315</v>
      </c>
      <c r="V799" s="11" t="n">
        <v>17.819</v>
      </c>
      <c r="W799" s="11" t="n">
        <v>0</v>
      </c>
      <c r="X799" s="11" t="n">
        <v>31.825</v>
      </c>
      <c r="Y799" s="11" t="n">
        <v>26.256</v>
      </c>
      <c r="Z799" s="11" t="n">
        <v>5.49</v>
      </c>
      <c r="AA799" s="11" t="n">
        <f aca="false">SUM(U799:Z799)</f>
        <v>118.705</v>
      </c>
      <c r="AB799" s="11" t="n">
        <v>5.015</v>
      </c>
      <c r="AC799" s="11" t="n">
        <v>3.399</v>
      </c>
      <c r="AD799" s="11" t="n">
        <v>0</v>
      </c>
      <c r="AE799" s="11" t="n">
        <v>4.025</v>
      </c>
      <c r="AF799" s="11" t="n">
        <v>4.576</v>
      </c>
      <c r="AG799" s="11" t="n">
        <v>0.99</v>
      </c>
      <c r="AH799" s="11" t="n">
        <f aca="false">SUM(AB799:AG799)</f>
        <v>18.005</v>
      </c>
      <c r="AI799" s="12" t="s">
        <v>955</v>
      </c>
    </row>
    <row r="800" customFormat="false" ht="15" hidden="false" customHeight="false" outlineLevel="0" collapsed="false">
      <c r="A800" s="8" t="s">
        <v>1704</v>
      </c>
      <c r="B800" s="12" t="s">
        <v>1705</v>
      </c>
      <c r="C800" s="8" t="s">
        <v>1690</v>
      </c>
      <c r="D800" s="12" t="s">
        <v>1691</v>
      </c>
      <c r="E800" s="10" t="str">
        <f aca="true">IFERROR(IF(INDEX(INDIRECT("'"&amp;$AI800&amp;"'!$E$2:$E$327"),MATCH($A800,INDIRECT("'"&amp;$AI800&amp;"'!$A$2:$A$327"),0))="","",INDEX(INDIRECT("'"&amp;$AI800&amp;"'!$E$2:$E$327"),MATCH($A800,INDIRECT("'"&amp;$AI800&amp;"'!$A$2:$A$327"),0))),"")</f>
        <v/>
      </c>
      <c r="F800" s="9" t="str">
        <f aca="false">IF($E800="","",IFERROR(INDEX(担当者マスタ!$B$2:$B$101,MATCH($E800,担当者マスタ!$A$2:$A$101,0)),"※マスタ未登録"))</f>
        <v/>
      </c>
      <c r="G800" s="11" t="n">
        <v>0</v>
      </c>
      <c r="H800" s="11" t="n">
        <v>0</v>
      </c>
      <c r="I800" s="11" t="n">
        <v>1.162</v>
      </c>
      <c r="J800" s="11" t="n">
        <v>0</v>
      </c>
      <c r="K800" s="11" t="n">
        <v>0</v>
      </c>
      <c r="L800" s="11" t="n">
        <v>0</v>
      </c>
      <c r="M800" s="11" t="n">
        <f aca="false">SUM(G800:L800)</f>
        <v>1.162</v>
      </c>
      <c r="N800" s="11" t="n">
        <v>0</v>
      </c>
      <c r="O800" s="11" t="n">
        <v>0</v>
      </c>
      <c r="P800" s="11" t="n">
        <v>0.063</v>
      </c>
      <c r="Q800" s="11" t="n">
        <v>0</v>
      </c>
      <c r="R800" s="11" t="n">
        <v>0</v>
      </c>
      <c r="S800" s="11" t="n">
        <v>0</v>
      </c>
      <c r="T800" s="11" t="n">
        <f aca="false">SUM(N800:S800)</f>
        <v>0.063</v>
      </c>
      <c r="U800" s="11" t="n">
        <v>0</v>
      </c>
      <c r="V800" s="11" t="n">
        <v>0</v>
      </c>
      <c r="W800" s="11" t="n">
        <v>0</v>
      </c>
      <c r="X800" s="11" t="n">
        <v>0</v>
      </c>
      <c r="Y800" s="11" t="n">
        <v>0</v>
      </c>
      <c r="Z800" s="11" t="n">
        <v>0</v>
      </c>
      <c r="AA800" s="11" t="n">
        <f aca="false">SUM(U800:Z800)</f>
        <v>0</v>
      </c>
      <c r="AB800" s="11" t="n">
        <v>0</v>
      </c>
      <c r="AC800" s="11" t="n">
        <v>0</v>
      </c>
      <c r="AD800" s="11" t="n">
        <v>0</v>
      </c>
      <c r="AE800" s="11" t="n">
        <v>0</v>
      </c>
      <c r="AF800" s="11" t="n">
        <v>0</v>
      </c>
      <c r="AG800" s="11" t="n">
        <v>0</v>
      </c>
      <c r="AH800" s="11" t="n">
        <f aca="false">SUM(AB800:AG800)</f>
        <v>0</v>
      </c>
      <c r="AI800" s="12" t="s">
        <v>955</v>
      </c>
    </row>
    <row r="801" customFormat="false" ht="15" hidden="false" customHeight="false" outlineLevel="0" collapsed="false">
      <c r="A801" s="8" t="s">
        <v>1706</v>
      </c>
      <c r="B801" s="12" t="s">
        <v>1707</v>
      </c>
      <c r="C801" s="8" t="s">
        <v>1690</v>
      </c>
      <c r="D801" s="12" t="s">
        <v>1691</v>
      </c>
      <c r="E801" s="10" t="str">
        <f aca="true">IFERROR(IF(INDEX(INDIRECT("'"&amp;$AI801&amp;"'!$E$2:$E$327"),MATCH($A801,INDIRECT("'"&amp;$AI801&amp;"'!$A$2:$A$327"),0))="","",INDEX(INDIRECT("'"&amp;$AI801&amp;"'!$E$2:$E$327"),MATCH($A801,INDIRECT("'"&amp;$AI801&amp;"'!$A$2:$A$327"),0))),"")</f>
        <v/>
      </c>
      <c r="F801" s="9" t="str">
        <f aca="false">IF($E801="","",IFERROR(INDEX(担当者マスタ!$B$2:$B$101,MATCH($E801,担当者マスタ!$A$2:$A$101,0)),"※マスタ未登録"))</f>
        <v/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52.8</v>
      </c>
      <c r="M801" s="11" t="n">
        <f aca="false">SUM(G801:L801)</f>
        <v>52.8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9.9</v>
      </c>
      <c r="T801" s="11" t="n">
        <f aca="false">SUM(N801:S801)</f>
        <v>9.9</v>
      </c>
      <c r="U801" s="11" t="n">
        <v>0</v>
      </c>
      <c r="V801" s="11" t="n">
        <v>0</v>
      </c>
      <c r="W801" s="11" t="n">
        <v>0</v>
      </c>
      <c r="X801" s="11" t="n">
        <v>0</v>
      </c>
      <c r="Y801" s="11" t="n">
        <v>52.8</v>
      </c>
      <c r="Z801" s="11" t="n">
        <v>0</v>
      </c>
      <c r="AA801" s="11" t="n">
        <f aca="false">SUM(U801:Z801)</f>
        <v>52.8</v>
      </c>
      <c r="AB801" s="11" t="n">
        <v>0</v>
      </c>
      <c r="AC801" s="11" t="n">
        <v>0</v>
      </c>
      <c r="AD801" s="11" t="n">
        <v>0</v>
      </c>
      <c r="AE801" s="11" t="n">
        <v>0</v>
      </c>
      <c r="AF801" s="11" t="n">
        <v>9.9</v>
      </c>
      <c r="AG801" s="11" t="n">
        <v>0</v>
      </c>
      <c r="AH801" s="11" t="n">
        <f aca="false">SUM(AB801:AG801)</f>
        <v>9.9</v>
      </c>
      <c r="AI801" s="12" t="s">
        <v>955</v>
      </c>
    </row>
    <row r="802" customFormat="false" ht="15" hidden="false" customHeight="false" outlineLevel="0" collapsed="false">
      <c r="A802" s="8" t="s">
        <v>1708</v>
      </c>
      <c r="B802" s="12" t="s">
        <v>1709</v>
      </c>
      <c r="C802" s="8" t="s">
        <v>1690</v>
      </c>
      <c r="D802" s="12" t="s">
        <v>1691</v>
      </c>
      <c r="E802" s="10" t="str">
        <f aca="true">IFERROR(IF(INDEX(INDIRECT("'"&amp;$AI802&amp;"'!$E$2:$E$327"),MATCH($A802,INDIRECT("'"&amp;$AI802&amp;"'!$A$2:$A$327"),0))="","",INDEX(INDIRECT("'"&amp;$AI802&amp;"'!$E$2:$E$327"),MATCH($A802,INDIRECT("'"&amp;$AI802&amp;"'!$A$2:$A$327"),0))),"")</f>
        <v/>
      </c>
      <c r="F802" s="9" t="str">
        <f aca="false">IF($E802="","",IFERROR(INDEX(担当者マスタ!$B$2:$B$101,MATCH($E802,担当者マスタ!$A$2:$A$101,0)),"※マスタ未登録"))</f>
        <v/>
      </c>
      <c r="G802" s="11" t="n">
        <v>39.6</v>
      </c>
      <c r="H802" s="11" t="n">
        <v>66.1</v>
      </c>
      <c r="I802" s="11" t="n">
        <v>26.6</v>
      </c>
      <c r="J802" s="11" t="n">
        <v>39.9</v>
      </c>
      <c r="K802" s="11" t="n">
        <v>5.3</v>
      </c>
      <c r="L802" s="11" t="n">
        <v>0</v>
      </c>
      <c r="M802" s="11" t="n">
        <f aca="false">SUM(G802:L802)</f>
        <v>177.5</v>
      </c>
      <c r="N802" s="11" t="n">
        <v>8.8</v>
      </c>
      <c r="O802" s="11" t="n">
        <v>12.9</v>
      </c>
      <c r="P802" s="11" t="n">
        <v>4.26</v>
      </c>
      <c r="Q802" s="11" t="n">
        <v>12.3</v>
      </c>
      <c r="R802" s="11" t="n">
        <v>0.5</v>
      </c>
      <c r="S802" s="11" t="n">
        <v>0</v>
      </c>
      <c r="T802" s="11" t="n">
        <f aca="false">SUM(N802:S802)</f>
        <v>38.76</v>
      </c>
      <c r="U802" s="11" t="n">
        <v>42.6</v>
      </c>
      <c r="V802" s="11" t="n">
        <v>0</v>
      </c>
      <c r="W802" s="11" t="n">
        <v>21.6</v>
      </c>
      <c r="X802" s="11" t="n">
        <v>0</v>
      </c>
      <c r="Y802" s="11" t="n">
        <v>0</v>
      </c>
      <c r="Z802" s="11" t="n">
        <v>0</v>
      </c>
      <c r="AA802" s="11" t="n">
        <f aca="false">SUM(U802:Z802)</f>
        <v>64.2</v>
      </c>
      <c r="AB802" s="11" t="n">
        <v>8.5</v>
      </c>
      <c r="AC802" s="11" t="n">
        <v>0</v>
      </c>
      <c r="AD802" s="11" t="n">
        <v>3.9</v>
      </c>
      <c r="AE802" s="11" t="n">
        <v>0</v>
      </c>
      <c r="AF802" s="11" t="n">
        <v>0</v>
      </c>
      <c r="AG802" s="11" t="n">
        <v>0</v>
      </c>
      <c r="AH802" s="11" t="n">
        <f aca="false">SUM(AB802:AG802)</f>
        <v>12.4</v>
      </c>
      <c r="AI802" s="12" t="s">
        <v>955</v>
      </c>
    </row>
    <row r="803" customFormat="false" ht="15" hidden="false" customHeight="false" outlineLevel="0" collapsed="false">
      <c r="A803" s="8" t="s">
        <v>1710</v>
      </c>
      <c r="B803" s="9" t="s">
        <v>1711</v>
      </c>
      <c r="C803" s="8" t="s">
        <v>1690</v>
      </c>
      <c r="D803" s="12" t="s">
        <v>1691</v>
      </c>
      <c r="E803" s="10" t="str">
        <f aca="true">IFERROR(IF(INDEX(INDIRECT("'"&amp;$AI803&amp;"'!$E$2:$E$327"),MATCH($A803,INDIRECT("'"&amp;$AI803&amp;"'!$A$2:$A$327"),0))="","",INDEX(INDIRECT("'"&amp;$AI803&amp;"'!$E$2:$E$327"),MATCH($A803,INDIRECT("'"&amp;$AI803&amp;"'!$A$2:$A$327"),0))),"")</f>
        <v/>
      </c>
      <c r="F803" s="9" t="str">
        <f aca="false">IF($E803="","",IFERROR(INDEX(担当者マスタ!$B$2:$B$101,MATCH($E803,担当者マスタ!$A$2:$A$101,0)),"※マスタ未登録"))</f>
        <v/>
      </c>
      <c r="G803" s="11" t="n">
        <v>512.24</v>
      </c>
      <c r="H803" s="11" t="n">
        <v>1302.48</v>
      </c>
      <c r="I803" s="11" t="n">
        <v>657.72</v>
      </c>
      <c r="J803" s="11" t="n">
        <v>0</v>
      </c>
      <c r="K803" s="11" t="n">
        <v>658.44</v>
      </c>
      <c r="L803" s="11" t="n">
        <v>644.76</v>
      </c>
      <c r="M803" s="11" t="n">
        <f aca="false">SUM(G803:L803)</f>
        <v>3775.64</v>
      </c>
      <c r="N803" s="11" t="n">
        <v>115.216</v>
      </c>
      <c r="O803" s="11" t="n">
        <v>265.68</v>
      </c>
      <c r="P803" s="11" t="n">
        <v>132.84</v>
      </c>
      <c r="Q803" s="11" t="n">
        <v>0</v>
      </c>
      <c r="R803" s="11" t="n">
        <v>133.06</v>
      </c>
      <c r="S803" s="11" t="n">
        <v>132.84</v>
      </c>
      <c r="T803" s="11" t="n">
        <f aca="false">SUM(N803:S803)</f>
        <v>779.636</v>
      </c>
      <c r="U803" s="11" t="n">
        <v>391.99</v>
      </c>
      <c r="V803" s="11" t="n">
        <v>1315.44</v>
      </c>
      <c r="W803" s="11" t="n">
        <v>569.976</v>
      </c>
      <c r="X803" s="11" t="n">
        <v>1971.555</v>
      </c>
      <c r="Y803" s="11" t="n">
        <v>0</v>
      </c>
      <c r="Z803" s="11" t="n">
        <v>0</v>
      </c>
      <c r="AA803" s="11" t="n">
        <f aca="false">SUM(U803:Z803)</f>
        <v>4248.961</v>
      </c>
      <c r="AB803" s="11" t="n">
        <v>80.77</v>
      </c>
      <c r="AC803" s="11" t="n">
        <v>265.68</v>
      </c>
      <c r="AD803" s="11" t="n">
        <v>140.208</v>
      </c>
      <c r="AE803" s="11" t="n">
        <v>324.72</v>
      </c>
      <c r="AF803" s="11" t="n">
        <v>0</v>
      </c>
      <c r="AG803" s="11" t="n">
        <v>0</v>
      </c>
      <c r="AH803" s="11" t="n">
        <f aca="false">SUM(AB803:AG803)</f>
        <v>811.378</v>
      </c>
      <c r="AI803" s="12" t="s">
        <v>955</v>
      </c>
    </row>
    <row r="804" customFormat="false" ht="15" hidden="false" customHeight="false" outlineLevel="0" collapsed="false">
      <c r="A804" s="8" t="s">
        <v>1712</v>
      </c>
      <c r="B804" s="12" t="s">
        <v>1713</v>
      </c>
      <c r="C804" s="8" t="s">
        <v>1690</v>
      </c>
      <c r="D804" s="12" t="s">
        <v>1691</v>
      </c>
      <c r="E804" s="10" t="str">
        <f aca="true">IFERROR(IF(INDEX(INDIRECT("'"&amp;$AI804&amp;"'!$E$2:$E$327"),MATCH($A804,INDIRECT("'"&amp;$AI804&amp;"'!$A$2:$A$327"),0))="","",INDEX(INDIRECT("'"&amp;$AI804&amp;"'!$E$2:$E$327"),MATCH($A804,INDIRECT("'"&amp;$AI804&amp;"'!$A$2:$A$327"),0))),"")</f>
        <v/>
      </c>
      <c r="F804" s="9" t="str">
        <f aca="false">IF($E804="","",IFERROR(INDEX(担当者マスタ!$B$2:$B$101,MATCH($E804,担当者マスタ!$A$2:$A$101,0)),"※マスタ未登録"))</f>
        <v/>
      </c>
      <c r="G804" s="11" t="n">
        <v>0</v>
      </c>
      <c r="H804" s="11" t="n">
        <v>12.5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f aca="false">SUM(G804:L804)</f>
        <v>12.5</v>
      </c>
      <c r="N804" s="11" t="n">
        <v>0</v>
      </c>
      <c r="O804" s="11" t="n">
        <v>2.5</v>
      </c>
      <c r="P804" s="11" t="n">
        <v>0</v>
      </c>
      <c r="Q804" s="11" t="n">
        <v>0</v>
      </c>
      <c r="R804" s="11" t="n">
        <v>0</v>
      </c>
      <c r="S804" s="11" t="n">
        <v>0</v>
      </c>
      <c r="T804" s="11" t="n">
        <f aca="false">SUM(N804:S804)</f>
        <v>2.5</v>
      </c>
      <c r="U804" s="11" t="n">
        <v>0</v>
      </c>
      <c r="V804" s="11" t="n">
        <v>0</v>
      </c>
      <c r="W804" s="11" t="n">
        <v>0</v>
      </c>
      <c r="X804" s="11" t="n">
        <v>0</v>
      </c>
      <c r="Y804" s="11" t="n">
        <v>0</v>
      </c>
      <c r="Z804" s="11" t="n">
        <v>0</v>
      </c>
      <c r="AA804" s="11" t="n">
        <f aca="false">SUM(U804:Z804)</f>
        <v>0</v>
      </c>
      <c r="AB804" s="11" t="n">
        <v>0</v>
      </c>
      <c r="AC804" s="11" t="n">
        <v>0</v>
      </c>
      <c r="AD804" s="11" t="n">
        <v>0</v>
      </c>
      <c r="AE804" s="11" t="n">
        <v>0</v>
      </c>
      <c r="AF804" s="11" t="n">
        <v>0</v>
      </c>
      <c r="AG804" s="11" t="n">
        <v>0</v>
      </c>
      <c r="AH804" s="11" t="n">
        <f aca="false">SUM(AB804:AG804)</f>
        <v>0</v>
      </c>
      <c r="AI804" s="12" t="s">
        <v>955</v>
      </c>
    </row>
    <row r="805" customFormat="false" ht="15" hidden="false" customHeight="false" outlineLevel="0" collapsed="false">
      <c r="A805" s="8" t="s">
        <v>1714</v>
      </c>
      <c r="B805" s="9" t="s">
        <v>1715</v>
      </c>
      <c r="C805" s="8" t="s">
        <v>1690</v>
      </c>
      <c r="D805" s="12" t="s">
        <v>1691</v>
      </c>
      <c r="E805" s="10" t="str">
        <f aca="true">IFERROR(IF(INDEX(INDIRECT("'"&amp;$AI805&amp;"'!$E$2:$E$327"),MATCH($A805,INDIRECT("'"&amp;$AI805&amp;"'!$A$2:$A$327"),0))="","",INDEX(INDIRECT("'"&amp;$AI805&amp;"'!$E$2:$E$327"),MATCH($A805,INDIRECT("'"&amp;$AI805&amp;"'!$A$2:$A$327"),0))),"")</f>
        <v/>
      </c>
      <c r="F805" s="9" t="str">
        <f aca="false">IF($E805="","",IFERROR(INDEX(担当者マスタ!$B$2:$B$101,MATCH($E805,担当者マスタ!$A$2:$A$101,0)),"※マスタ未登録"))</f>
        <v/>
      </c>
      <c r="G805" s="11" t="n">
        <v>196.37</v>
      </c>
      <c r="H805" s="11" t="n">
        <v>46.2</v>
      </c>
      <c r="I805" s="11" t="n">
        <v>131.675</v>
      </c>
      <c r="J805" s="11" t="n">
        <v>86.728</v>
      </c>
      <c r="K805" s="11" t="n">
        <v>36.6</v>
      </c>
      <c r="L805" s="11" t="n">
        <v>8.05</v>
      </c>
      <c r="M805" s="11" t="n">
        <f aca="false">SUM(G805:L805)</f>
        <v>505.623</v>
      </c>
      <c r="N805" s="11" t="n">
        <v>44.427</v>
      </c>
      <c r="O805" s="11" t="n">
        <v>11.467</v>
      </c>
      <c r="P805" s="11" t="n">
        <v>37.018</v>
      </c>
      <c r="Q805" s="11" t="n">
        <v>19.773</v>
      </c>
      <c r="R805" s="11" t="n">
        <v>9.132</v>
      </c>
      <c r="S805" s="11" t="n">
        <v>1.815</v>
      </c>
      <c r="T805" s="11" t="n">
        <f aca="false">SUM(N805:S805)</f>
        <v>123.632</v>
      </c>
      <c r="U805" s="11" t="n">
        <v>148.47</v>
      </c>
      <c r="V805" s="11" t="n">
        <v>37.04</v>
      </c>
      <c r="W805" s="11" t="n">
        <v>206.85</v>
      </c>
      <c r="X805" s="11" t="n">
        <v>2.94</v>
      </c>
      <c r="Y805" s="11" t="n">
        <v>37.275</v>
      </c>
      <c r="Z805" s="11" t="n">
        <v>63.4</v>
      </c>
      <c r="AA805" s="11" t="n">
        <f aca="false">SUM(U805:Z805)</f>
        <v>495.975</v>
      </c>
      <c r="AB805" s="11" t="n">
        <v>33.187</v>
      </c>
      <c r="AC805" s="11" t="n">
        <v>7.992</v>
      </c>
      <c r="AD805" s="11" t="n">
        <v>48.546</v>
      </c>
      <c r="AE805" s="11" t="n">
        <v>0.57</v>
      </c>
      <c r="AF805" s="11" t="n">
        <v>9.034</v>
      </c>
      <c r="AG805" s="11" t="n">
        <v>14.34</v>
      </c>
      <c r="AH805" s="11" t="n">
        <f aca="false">SUM(AB805:AG805)</f>
        <v>113.669</v>
      </c>
      <c r="AI805" s="12" t="s">
        <v>955</v>
      </c>
    </row>
    <row r="806" customFormat="false" ht="15" hidden="false" customHeight="false" outlineLevel="0" collapsed="false">
      <c r="A806" s="8" t="s">
        <v>1716</v>
      </c>
      <c r="B806" s="12" t="s">
        <v>1717</v>
      </c>
      <c r="C806" s="8" t="s">
        <v>1690</v>
      </c>
      <c r="D806" s="12" t="s">
        <v>1691</v>
      </c>
      <c r="E806" s="10" t="str">
        <f aca="true">IFERROR(IF(INDEX(INDIRECT("'"&amp;$AI806&amp;"'!$E$2:$E$327"),MATCH($A806,INDIRECT("'"&amp;$AI806&amp;"'!$A$2:$A$327"),0))="","",INDEX(INDIRECT("'"&amp;$AI806&amp;"'!$E$2:$E$327"),MATCH($A806,INDIRECT("'"&amp;$AI806&amp;"'!$A$2:$A$327"),0))),"")</f>
        <v/>
      </c>
      <c r="F806" s="9" t="str">
        <f aca="false">IF($E806="","",IFERROR(INDEX(担当者マスタ!$B$2:$B$101,MATCH($E806,担当者マスタ!$A$2:$A$101,0)),"※マスタ未登録"))</f>
        <v/>
      </c>
      <c r="G806" s="11" t="n">
        <v>207.8</v>
      </c>
      <c r="H806" s="11" t="n">
        <v>536.184</v>
      </c>
      <c r="I806" s="11" t="n">
        <v>296.9</v>
      </c>
      <c r="J806" s="11" t="n">
        <v>39</v>
      </c>
      <c r="K806" s="11" t="n">
        <v>438.925</v>
      </c>
      <c r="L806" s="11" t="n">
        <v>130.532</v>
      </c>
      <c r="M806" s="11" t="n">
        <f aca="false">SUM(G806:L806)</f>
        <v>1649.341</v>
      </c>
      <c r="N806" s="11" t="n">
        <v>17.33</v>
      </c>
      <c r="O806" s="11" t="n">
        <v>67.128</v>
      </c>
      <c r="P806" s="11" t="n">
        <v>27.2</v>
      </c>
      <c r="Q806" s="11" t="n">
        <v>2.4</v>
      </c>
      <c r="R806" s="11" t="n">
        <v>72.525</v>
      </c>
      <c r="S806" s="11" t="n">
        <v>6.992</v>
      </c>
      <c r="T806" s="11" t="n">
        <f aca="false">SUM(N806:S806)</f>
        <v>193.575</v>
      </c>
      <c r="U806" s="11" t="n">
        <v>416.9</v>
      </c>
      <c r="V806" s="11" t="n">
        <v>388.195</v>
      </c>
      <c r="W806" s="11" t="n">
        <v>458.44</v>
      </c>
      <c r="X806" s="11" t="n">
        <v>0</v>
      </c>
      <c r="Y806" s="11" t="n">
        <v>119.6</v>
      </c>
      <c r="Z806" s="11" t="n">
        <v>330.15</v>
      </c>
      <c r="AA806" s="11" t="n">
        <f aca="false">SUM(U806:Z806)</f>
        <v>1713.285</v>
      </c>
      <c r="AB806" s="11" t="n">
        <v>41.534</v>
      </c>
      <c r="AC806" s="11" t="n">
        <v>56.977</v>
      </c>
      <c r="AD806" s="11" t="n">
        <v>47.35</v>
      </c>
      <c r="AE806" s="11" t="n">
        <v>0</v>
      </c>
      <c r="AF806" s="11" t="n">
        <v>7.7</v>
      </c>
      <c r="AG806" s="11" t="n">
        <v>48.47</v>
      </c>
      <c r="AH806" s="11" t="n">
        <f aca="false">SUM(AB806:AG806)</f>
        <v>202.031</v>
      </c>
      <c r="AI806" s="12" t="s">
        <v>955</v>
      </c>
    </row>
    <row r="807" customFormat="false" ht="15" hidden="false" customHeight="false" outlineLevel="0" collapsed="false">
      <c r="A807" s="8" t="s">
        <v>1718</v>
      </c>
      <c r="B807" s="12" t="s">
        <v>1719</v>
      </c>
      <c r="C807" s="8" t="s">
        <v>1690</v>
      </c>
      <c r="D807" s="12" t="s">
        <v>1691</v>
      </c>
      <c r="E807" s="10" t="str">
        <f aca="true">IFERROR(IF(INDEX(INDIRECT("'"&amp;$AI807&amp;"'!$E$2:$E$327"),MATCH($A807,INDIRECT("'"&amp;$AI807&amp;"'!$A$2:$A$327"),0))="","",INDEX(INDIRECT("'"&amp;$AI807&amp;"'!$E$2:$E$327"),MATCH($A807,INDIRECT("'"&amp;$AI807&amp;"'!$A$2:$A$327"),0))),"")</f>
        <v/>
      </c>
      <c r="F807" s="9" t="str">
        <f aca="false">IF($E807="","",IFERROR(INDEX(担当者マスタ!$B$2:$B$101,MATCH($E807,担当者マスタ!$A$2:$A$101,0)),"※マスタ未登録"))</f>
        <v/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f aca="false">SUM(G807:L807)</f>
        <v>0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1" t="n">
        <f aca="false">SUM(N807:S807)</f>
        <v>0</v>
      </c>
      <c r="U807" s="11" t="n">
        <v>0</v>
      </c>
      <c r="V807" s="11" t="n">
        <v>30</v>
      </c>
      <c r="W807" s="11" t="n">
        <v>0</v>
      </c>
      <c r="X807" s="11" t="n">
        <v>0</v>
      </c>
      <c r="Y807" s="11" t="n">
        <v>0</v>
      </c>
      <c r="Z807" s="11" t="n">
        <v>0</v>
      </c>
      <c r="AA807" s="11" t="n">
        <f aca="false">SUM(U807:Z807)</f>
        <v>30</v>
      </c>
      <c r="AB807" s="11" t="n">
        <v>0</v>
      </c>
      <c r="AC807" s="11" t="n">
        <v>10</v>
      </c>
      <c r="AD807" s="11" t="n">
        <v>0</v>
      </c>
      <c r="AE807" s="11" t="n">
        <v>0</v>
      </c>
      <c r="AF807" s="11" t="n">
        <v>0</v>
      </c>
      <c r="AG807" s="11" t="n">
        <v>0</v>
      </c>
      <c r="AH807" s="11" t="n">
        <f aca="false">SUM(AB807:AG807)</f>
        <v>10</v>
      </c>
      <c r="AI807" s="12" t="s">
        <v>955</v>
      </c>
    </row>
    <row r="808" customFormat="false" ht="15" hidden="false" customHeight="false" outlineLevel="0" collapsed="false">
      <c r="A808" s="8" t="s">
        <v>1720</v>
      </c>
      <c r="B808" s="12" t="s">
        <v>1721</v>
      </c>
      <c r="C808" s="8" t="s">
        <v>1690</v>
      </c>
      <c r="D808" s="12" t="s">
        <v>1691</v>
      </c>
      <c r="E808" s="10" t="str">
        <f aca="true">IFERROR(IF(INDEX(INDIRECT("'"&amp;$AI808&amp;"'!$E$2:$E$327"),MATCH($A808,INDIRECT("'"&amp;$AI808&amp;"'!$A$2:$A$327"),0))="","",INDEX(INDIRECT("'"&amp;$AI808&amp;"'!$E$2:$E$327"),MATCH($A808,INDIRECT("'"&amp;$AI808&amp;"'!$A$2:$A$327"),0))),"")</f>
        <v/>
      </c>
      <c r="F808" s="9" t="str">
        <f aca="false">IF($E808="","",IFERROR(INDEX(担当者マスタ!$B$2:$B$101,MATCH($E808,担当者マスタ!$A$2:$A$101,0)),"※マスタ未登録"))</f>
        <v/>
      </c>
      <c r="G808" s="11" t="n">
        <v>0</v>
      </c>
      <c r="H808" s="11" t="n">
        <v>173.88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f aca="false">SUM(G808:L808)</f>
        <v>173.88</v>
      </c>
      <c r="N808" s="11" t="n">
        <v>0</v>
      </c>
      <c r="O808" s="11" t="n">
        <v>18.18</v>
      </c>
      <c r="P808" s="11" t="n">
        <v>0</v>
      </c>
      <c r="Q808" s="11" t="n">
        <v>0</v>
      </c>
      <c r="R808" s="11" t="n">
        <v>0</v>
      </c>
      <c r="S808" s="11" t="n">
        <v>0</v>
      </c>
      <c r="T808" s="11" t="n">
        <f aca="false">SUM(N808:S808)</f>
        <v>18.18</v>
      </c>
      <c r="U808" s="11" t="n">
        <v>0</v>
      </c>
      <c r="V808" s="11" t="n">
        <v>100.6</v>
      </c>
      <c r="W808" s="11" t="n">
        <v>0</v>
      </c>
      <c r="X808" s="11" t="n">
        <v>0</v>
      </c>
      <c r="Y808" s="11" t="n">
        <v>0</v>
      </c>
      <c r="Z808" s="11" t="n">
        <v>0</v>
      </c>
      <c r="AA808" s="11" t="n">
        <f aca="false">SUM(U808:Z808)</f>
        <v>100.6</v>
      </c>
      <c r="AB808" s="11" t="n">
        <v>0</v>
      </c>
      <c r="AC808" s="11" t="n">
        <v>10.64</v>
      </c>
      <c r="AD808" s="11" t="n">
        <v>0</v>
      </c>
      <c r="AE808" s="11" t="n">
        <v>0</v>
      </c>
      <c r="AF808" s="11" t="n">
        <v>0</v>
      </c>
      <c r="AG808" s="11" t="n">
        <v>0</v>
      </c>
      <c r="AH808" s="11" t="n">
        <f aca="false">SUM(AB808:AG808)</f>
        <v>10.64</v>
      </c>
      <c r="AI808" s="12" t="s">
        <v>955</v>
      </c>
    </row>
    <row r="809" customFormat="false" ht="15" hidden="false" customHeight="false" outlineLevel="0" collapsed="false">
      <c r="A809" s="8" t="s">
        <v>1722</v>
      </c>
      <c r="B809" s="12" t="s">
        <v>1723</v>
      </c>
      <c r="C809" s="8" t="s">
        <v>1690</v>
      </c>
      <c r="D809" s="12" t="s">
        <v>1691</v>
      </c>
      <c r="E809" s="10" t="str">
        <f aca="true">IFERROR(IF(INDEX(INDIRECT("'"&amp;$AI809&amp;"'!$E$2:$E$327"),MATCH($A809,INDIRECT("'"&amp;$AI809&amp;"'!$A$2:$A$327"),0))="","",INDEX(INDIRECT("'"&amp;$AI809&amp;"'!$E$2:$E$327"),MATCH($A809,INDIRECT("'"&amp;$AI809&amp;"'!$A$2:$A$327"),0))),"")</f>
        <v/>
      </c>
      <c r="F809" s="9" t="str">
        <f aca="false">IF($E809="","",IFERROR(INDEX(担当者マスタ!$B$2:$B$101,MATCH($E809,担当者マスタ!$A$2:$A$101,0)),"※マスタ未登録"))</f>
        <v/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f aca="false">SUM(G809:L809)</f>
        <v>0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  <c r="T809" s="11" t="n">
        <f aca="false">SUM(N809:S809)</f>
        <v>0</v>
      </c>
      <c r="U809" s="11" t="n">
        <v>0</v>
      </c>
      <c r="V809" s="11" t="n">
        <v>0</v>
      </c>
      <c r="W809" s="11" t="n">
        <v>0</v>
      </c>
      <c r="X809" s="11" t="n">
        <v>46.79</v>
      </c>
      <c r="Y809" s="11" t="n">
        <v>0</v>
      </c>
      <c r="Z809" s="11" t="n">
        <v>0</v>
      </c>
      <c r="AA809" s="11" t="n">
        <f aca="false">SUM(U809:Z809)</f>
        <v>46.79</v>
      </c>
      <c r="AB809" s="11" t="n">
        <v>0</v>
      </c>
      <c r="AC809" s="11" t="n">
        <v>0</v>
      </c>
      <c r="AD809" s="11" t="n">
        <v>0</v>
      </c>
      <c r="AE809" s="11" t="n">
        <v>14</v>
      </c>
      <c r="AF809" s="11" t="n">
        <v>0</v>
      </c>
      <c r="AG809" s="11" t="n">
        <v>0</v>
      </c>
      <c r="AH809" s="11" t="n">
        <f aca="false">SUM(AB809:AG809)</f>
        <v>14</v>
      </c>
      <c r="AI809" s="12" t="s">
        <v>955</v>
      </c>
    </row>
    <row r="810" customFormat="false" ht="15" hidden="false" customHeight="false" outlineLevel="0" collapsed="false">
      <c r="A810" s="8" t="s">
        <v>1724</v>
      </c>
      <c r="B810" s="9" t="s">
        <v>1725</v>
      </c>
      <c r="C810" s="8" t="s">
        <v>1690</v>
      </c>
      <c r="D810" s="12" t="s">
        <v>1691</v>
      </c>
      <c r="E810" s="10" t="str">
        <f aca="true">IFERROR(IF(INDEX(INDIRECT("'"&amp;$AI810&amp;"'!$E$2:$E$327"),MATCH($A810,INDIRECT("'"&amp;$AI810&amp;"'!$A$2:$A$327"),0))="","",INDEX(INDIRECT("'"&amp;$AI810&amp;"'!$E$2:$E$327"),MATCH($A810,INDIRECT("'"&amp;$AI810&amp;"'!$A$2:$A$327"),0))),"")</f>
        <v/>
      </c>
      <c r="F810" s="9" t="str">
        <f aca="false">IF($E810="","",IFERROR(INDEX(担当者マスタ!$B$2:$B$101,MATCH($E810,担当者マスタ!$A$2:$A$101,0)),"※マスタ未登録"))</f>
        <v/>
      </c>
      <c r="G810" s="11" t="n">
        <v>77.912</v>
      </c>
      <c r="H810" s="11" t="n">
        <v>51.512</v>
      </c>
      <c r="I810" s="11" t="n">
        <v>93.312</v>
      </c>
      <c r="J810" s="11" t="n">
        <v>41</v>
      </c>
      <c r="K810" s="11" t="n">
        <v>29.85</v>
      </c>
      <c r="L810" s="11" t="n">
        <v>92.7</v>
      </c>
      <c r="M810" s="11" t="n">
        <f aca="false">SUM(G810:L810)</f>
        <v>386.286</v>
      </c>
      <c r="N810" s="11" t="n">
        <v>15.518</v>
      </c>
      <c r="O810" s="11" t="n">
        <v>8.568</v>
      </c>
      <c r="P810" s="11" t="n">
        <v>21.868</v>
      </c>
      <c r="Q810" s="11" t="n">
        <v>6.97</v>
      </c>
      <c r="R810" s="11" t="n">
        <v>5.01</v>
      </c>
      <c r="S810" s="11" t="n">
        <v>18.9</v>
      </c>
      <c r="T810" s="11" t="n">
        <f aca="false">SUM(N810:S810)</f>
        <v>76.834</v>
      </c>
      <c r="U810" s="11" t="n">
        <v>74.15</v>
      </c>
      <c r="V810" s="11" t="n">
        <v>84.95</v>
      </c>
      <c r="W810" s="11" t="n">
        <v>80.662</v>
      </c>
      <c r="X810" s="11" t="n">
        <v>47.962</v>
      </c>
      <c r="Y810" s="11" t="n">
        <v>53.45</v>
      </c>
      <c r="Z810" s="11" t="n">
        <v>97.112</v>
      </c>
      <c r="AA810" s="11" t="n">
        <f aca="false">SUM(U810:Z810)</f>
        <v>438.286</v>
      </c>
      <c r="AB810" s="11" t="n">
        <v>12.05</v>
      </c>
      <c r="AC810" s="11" t="n">
        <v>18.85</v>
      </c>
      <c r="AD810" s="11" t="n">
        <v>15.176</v>
      </c>
      <c r="AE810" s="11" t="n">
        <v>8.676</v>
      </c>
      <c r="AF810" s="11" t="n">
        <v>9.3</v>
      </c>
      <c r="AG810" s="11" t="n">
        <v>22.066</v>
      </c>
      <c r="AH810" s="11" t="n">
        <f aca="false">SUM(AB810:AG810)</f>
        <v>86.118</v>
      </c>
      <c r="AI810" s="12" t="s">
        <v>955</v>
      </c>
    </row>
    <row r="811" customFormat="false" ht="15" hidden="false" customHeight="false" outlineLevel="0" collapsed="false">
      <c r="A811" s="8" t="s">
        <v>1726</v>
      </c>
      <c r="B811" s="12" t="s">
        <v>1727</v>
      </c>
      <c r="C811" s="8" t="s">
        <v>1690</v>
      </c>
      <c r="D811" s="12" t="s">
        <v>1691</v>
      </c>
      <c r="E811" s="10" t="str">
        <f aca="true">IFERROR(IF(INDEX(INDIRECT("'"&amp;$AI811&amp;"'!$E$2:$E$327"),MATCH($A811,INDIRECT("'"&amp;$AI811&amp;"'!$A$2:$A$327"),0))="","",INDEX(INDIRECT("'"&amp;$AI811&amp;"'!$E$2:$E$327"),MATCH($A811,INDIRECT("'"&amp;$AI811&amp;"'!$A$2:$A$327"),0))),"")</f>
        <v/>
      </c>
      <c r="F811" s="9" t="str">
        <f aca="false">IF($E811="","",IFERROR(INDEX(担当者マスタ!$B$2:$B$101,MATCH($E811,担当者マスタ!$A$2:$A$101,0)),"※マスタ未登録"))</f>
        <v/>
      </c>
      <c r="G811" s="11" t="n">
        <v>295.922</v>
      </c>
      <c r="H811" s="11" t="n">
        <v>273.599</v>
      </c>
      <c r="I811" s="11" t="n">
        <v>417.523</v>
      </c>
      <c r="J811" s="11" t="n">
        <v>139.407</v>
      </c>
      <c r="K811" s="11" t="n">
        <v>150.702</v>
      </c>
      <c r="L811" s="11" t="n">
        <v>296.202</v>
      </c>
      <c r="M811" s="11" t="n">
        <f aca="false">SUM(G811:L811)</f>
        <v>1573.355</v>
      </c>
      <c r="N811" s="11" t="n">
        <v>76.384</v>
      </c>
      <c r="O811" s="11" t="n">
        <v>78.064</v>
      </c>
      <c r="P811" s="11" t="n">
        <v>106.507</v>
      </c>
      <c r="Q811" s="11" t="n">
        <v>45.035</v>
      </c>
      <c r="R811" s="11" t="n">
        <v>47.362</v>
      </c>
      <c r="S811" s="11" t="n">
        <v>80.438</v>
      </c>
      <c r="T811" s="11" t="n">
        <f aca="false">SUM(N811:S811)</f>
        <v>433.79</v>
      </c>
      <c r="U811" s="11" t="n">
        <v>192.807</v>
      </c>
      <c r="V811" s="11" t="n">
        <v>210.265</v>
      </c>
      <c r="W811" s="11" t="n">
        <v>539.721</v>
      </c>
      <c r="X811" s="11" t="n">
        <v>204.225</v>
      </c>
      <c r="Y811" s="11" t="n">
        <v>174.228</v>
      </c>
      <c r="Z811" s="11" t="n">
        <v>242.037</v>
      </c>
      <c r="AA811" s="11" t="n">
        <f aca="false">SUM(U811:Z811)</f>
        <v>1563.283</v>
      </c>
      <c r="AB811" s="11" t="n">
        <v>51.457</v>
      </c>
      <c r="AC811" s="11" t="n">
        <v>64.826</v>
      </c>
      <c r="AD811" s="11" t="n">
        <v>149.792</v>
      </c>
      <c r="AE811" s="11" t="n">
        <v>61.401</v>
      </c>
      <c r="AF811" s="11" t="n">
        <v>56.163</v>
      </c>
      <c r="AG811" s="11" t="n">
        <v>75.804</v>
      </c>
      <c r="AH811" s="11" t="n">
        <f aca="false">SUM(AB811:AG811)</f>
        <v>459.443</v>
      </c>
      <c r="AI811" s="12" t="s">
        <v>955</v>
      </c>
    </row>
    <row r="812" customFormat="false" ht="15" hidden="false" customHeight="false" outlineLevel="0" collapsed="false">
      <c r="A812" s="8" t="s">
        <v>1728</v>
      </c>
      <c r="B812" s="12" t="s">
        <v>1729</v>
      </c>
      <c r="C812" s="8" t="s">
        <v>1690</v>
      </c>
      <c r="D812" s="12" t="s">
        <v>1691</v>
      </c>
      <c r="E812" s="10" t="str">
        <f aca="true">IFERROR(IF(INDEX(INDIRECT("'"&amp;$AI812&amp;"'!$E$2:$E$327"),MATCH($A812,INDIRECT("'"&amp;$AI812&amp;"'!$A$2:$A$327"),0))="","",INDEX(INDIRECT("'"&amp;$AI812&amp;"'!$E$2:$E$327"),MATCH($A812,INDIRECT("'"&amp;$AI812&amp;"'!$A$2:$A$327"),0))),"")</f>
        <v/>
      </c>
      <c r="F812" s="9" t="str">
        <f aca="false">IF($E812="","",IFERROR(INDEX(担当者マスタ!$B$2:$B$101,MATCH($E812,担当者マスタ!$A$2:$A$101,0)),"※マスタ未登録"))</f>
        <v/>
      </c>
      <c r="G812" s="11" t="n">
        <v>623.766</v>
      </c>
      <c r="H812" s="11" t="n">
        <v>1135.836</v>
      </c>
      <c r="I812" s="11" t="n">
        <v>1853.975</v>
      </c>
      <c r="J812" s="11" t="n">
        <v>756.26</v>
      </c>
      <c r="K812" s="11" t="n">
        <v>1409.503</v>
      </c>
      <c r="L812" s="11" t="n">
        <v>1379.756</v>
      </c>
      <c r="M812" s="11" t="n">
        <f aca="false">SUM(G812:L812)</f>
        <v>7159.096</v>
      </c>
      <c r="N812" s="11" t="n">
        <v>96.393</v>
      </c>
      <c r="O812" s="11" t="n">
        <v>182.561</v>
      </c>
      <c r="P812" s="11" t="n">
        <v>279.334</v>
      </c>
      <c r="Q812" s="11" t="n">
        <v>98.808</v>
      </c>
      <c r="R812" s="11" t="n">
        <v>253.778</v>
      </c>
      <c r="S812" s="11" t="n">
        <v>329.556</v>
      </c>
      <c r="T812" s="11" t="n">
        <f aca="false">SUM(N812:S812)</f>
        <v>1240.43</v>
      </c>
      <c r="U812" s="11" t="n">
        <v>1413.552</v>
      </c>
      <c r="V812" s="11" t="n">
        <v>1335</v>
      </c>
      <c r="W812" s="11" t="n">
        <v>1932.139</v>
      </c>
      <c r="X812" s="11" t="n">
        <v>1022.14</v>
      </c>
      <c r="Y812" s="11" t="n">
        <v>1054.218</v>
      </c>
      <c r="Z812" s="11" t="n">
        <v>1478.172</v>
      </c>
      <c r="AA812" s="11" t="n">
        <f aca="false">SUM(U812:Z812)</f>
        <v>8235.221</v>
      </c>
      <c r="AB812" s="11" t="n">
        <v>216.594</v>
      </c>
      <c r="AC812" s="11" t="n">
        <v>195.468</v>
      </c>
      <c r="AD812" s="11" t="n">
        <v>333.481</v>
      </c>
      <c r="AE812" s="11" t="n">
        <v>171.997</v>
      </c>
      <c r="AF812" s="11" t="n">
        <v>143.772</v>
      </c>
      <c r="AG812" s="11" t="n">
        <v>206.157</v>
      </c>
      <c r="AH812" s="11" t="n">
        <f aca="false">SUM(AB812:AG812)</f>
        <v>1267.469</v>
      </c>
      <c r="AI812" s="12" t="s">
        <v>955</v>
      </c>
    </row>
    <row r="813" customFormat="false" ht="15" hidden="false" customHeight="false" outlineLevel="0" collapsed="false">
      <c r="A813" s="8" t="s">
        <v>1730</v>
      </c>
      <c r="B813" s="12" t="s">
        <v>1731</v>
      </c>
      <c r="C813" s="8" t="s">
        <v>1690</v>
      </c>
      <c r="D813" s="12" t="s">
        <v>1691</v>
      </c>
      <c r="E813" s="10" t="str">
        <f aca="true">IFERROR(IF(INDEX(INDIRECT("'"&amp;$AI813&amp;"'!$E$2:$E$327"),MATCH($A813,INDIRECT("'"&amp;$AI813&amp;"'!$A$2:$A$327"),0))="","",INDEX(INDIRECT("'"&amp;$AI813&amp;"'!$E$2:$E$327"),MATCH($A813,INDIRECT("'"&amp;$AI813&amp;"'!$A$2:$A$327"),0))),"")</f>
        <v/>
      </c>
      <c r="F813" s="9" t="str">
        <f aca="false">IF($E813="","",IFERROR(INDEX(担当者マスタ!$B$2:$B$101,MATCH($E813,担当者マスタ!$A$2:$A$101,0)),"※マスタ未登録"))</f>
        <v/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f aca="false">SUM(G813:L813)</f>
        <v>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  <c r="T813" s="11" t="n">
        <f aca="false">SUM(N813:S813)</f>
        <v>0</v>
      </c>
      <c r="U813" s="11" t="n">
        <v>0</v>
      </c>
      <c r="V813" s="11" t="n">
        <v>2600</v>
      </c>
      <c r="W813" s="11" t="n">
        <v>0</v>
      </c>
      <c r="X813" s="11" t="n">
        <v>0</v>
      </c>
      <c r="Y813" s="11" t="n">
        <v>0</v>
      </c>
      <c r="Z813" s="11" t="n">
        <v>0</v>
      </c>
      <c r="AA813" s="11" t="n">
        <f aca="false">SUM(U813:Z813)</f>
        <v>2600</v>
      </c>
      <c r="AB813" s="11" t="n">
        <v>0</v>
      </c>
      <c r="AC813" s="11" t="n">
        <v>582.56</v>
      </c>
      <c r="AD813" s="11" t="n">
        <v>0</v>
      </c>
      <c r="AE813" s="11" t="n">
        <v>0</v>
      </c>
      <c r="AF813" s="11" t="n">
        <v>0</v>
      </c>
      <c r="AG813" s="11" t="n">
        <v>0</v>
      </c>
      <c r="AH813" s="11" t="n">
        <f aca="false">SUM(AB813:AG813)</f>
        <v>582.56</v>
      </c>
      <c r="AI813" s="12" t="s">
        <v>955</v>
      </c>
    </row>
    <row r="814" customFormat="false" ht="15" hidden="false" customHeight="false" outlineLevel="0" collapsed="false">
      <c r="A814" s="8" t="s">
        <v>1732</v>
      </c>
      <c r="B814" s="12" t="s">
        <v>1733</v>
      </c>
      <c r="C814" s="8" t="s">
        <v>1690</v>
      </c>
      <c r="D814" s="12" t="s">
        <v>1691</v>
      </c>
      <c r="E814" s="10" t="str">
        <f aca="true">IFERROR(IF(INDEX(INDIRECT("'"&amp;$AI814&amp;"'!$E$2:$E$327"),MATCH($A814,INDIRECT("'"&amp;$AI814&amp;"'!$A$2:$A$327"),0))="","",INDEX(INDIRECT("'"&amp;$AI814&amp;"'!$E$2:$E$327"),MATCH($A814,INDIRECT("'"&amp;$AI814&amp;"'!$A$2:$A$327"),0))),"")</f>
        <v/>
      </c>
      <c r="F814" s="9" t="str">
        <f aca="false">IF($E814="","",IFERROR(INDEX(担当者マスタ!$B$2:$B$101,MATCH($E814,担当者マスタ!$A$2:$A$101,0)),"※マスタ未登録"))</f>
        <v/>
      </c>
      <c r="G814" s="11" t="n">
        <v>62.08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f aca="false">SUM(G814:L814)</f>
        <v>62.08</v>
      </c>
      <c r="N814" s="11" t="n">
        <v>9.632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1" t="n">
        <f aca="false">SUM(N814:S814)</f>
        <v>9.632</v>
      </c>
      <c r="U814" s="11" t="n">
        <v>0</v>
      </c>
      <c r="V814" s="11" t="n">
        <v>0</v>
      </c>
      <c r="W814" s="11" t="n">
        <v>80.81</v>
      </c>
      <c r="X814" s="11" t="n">
        <v>14.55</v>
      </c>
      <c r="Y814" s="11" t="n">
        <v>0</v>
      </c>
      <c r="Z814" s="11" t="n">
        <v>0</v>
      </c>
      <c r="AA814" s="11" t="n">
        <f aca="false">SUM(U814:Z814)</f>
        <v>95.36</v>
      </c>
      <c r="AB814" s="11" t="n">
        <v>0</v>
      </c>
      <c r="AC814" s="11" t="n">
        <v>0</v>
      </c>
      <c r="AD814" s="11" t="n">
        <v>18.849</v>
      </c>
      <c r="AE814" s="11" t="n">
        <v>6.819</v>
      </c>
      <c r="AF814" s="11" t="n">
        <v>0</v>
      </c>
      <c r="AG814" s="11" t="n">
        <v>0</v>
      </c>
      <c r="AH814" s="11" t="n">
        <f aca="false">SUM(AB814:AG814)</f>
        <v>25.668</v>
      </c>
      <c r="AI814" s="12" t="s">
        <v>955</v>
      </c>
    </row>
    <row r="815" customFormat="false" ht="15" hidden="false" customHeight="false" outlineLevel="0" collapsed="false">
      <c r="A815" s="8" t="s">
        <v>1734</v>
      </c>
      <c r="B815" s="12" t="s">
        <v>1735</v>
      </c>
      <c r="C815" s="8" t="s">
        <v>1690</v>
      </c>
      <c r="D815" s="12" t="s">
        <v>1691</v>
      </c>
      <c r="E815" s="10" t="str">
        <f aca="true">IFERROR(IF(INDEX(INDIRECT("'"&amp;$AI815&amp;"'!$E$2:$E$327"),MATCH($A815,INDIRECT("'"&amp;$AI815&amp;"'!$A$2:$A$327"),0))="","",INDEX(INDIRECT("'"&amp;$AI815&amp;"'!$E$2:$E$327"),MATCH($A815,INDIRECT("'"&amp;$AI815&amp;"'!$A$2:$A$327"),0))),"")</f>
        <v/>
      </c>
      <c r="F815" s="9" t="str">
        <f aca="false">IF($E815="","",IFERROR(INDEX(担当者マスタ!$B$2:$B$101,MATCH($E815,担当者マスタ!$A$2:$A$101,0)),"※マスタ未登録"))</f>
        <v/>
      </c>
      <c r="G815" s="11" t="n">
        <v>11.284</v>
      </c>
      <c r="H815" s="11" t="n">
        <v>123</v>
      </c>
      <c r="I815" s="11" t="n">
        <v>19</v>
      </c>
      <c r="J815" s="11" t="n">
        <v>15.8</v>
      </c>
      <c r="K815" s="11" t="n">
        <v>19</v>
      </c>
      <c r="L815" s="11" t="n">
        <v>6.3</v>
      </c>
      <c r="M815" s="11" t="n">
        <f aca="false">SUM(G815:L815)</f>
        <v>194.384</v>
      </c>
      <c r="N815" s="11" t="n">
        <v>1.844</v>
      </c>
      <c r="O815" s="11" t="n">
        <v>20.04</v>
      </c>
      <c r="P815" s="11" t="n">
        <v>3</v>
      </c>
      <c r="Q815" s="11" t="n">
        <v>2.7</v>
      </c>
      <c r="R815" s="11" t="n">
        <v>3</v>
      </c>
      <c r="S815" s="11" t="n">
        <v>1.1</v>
      </c>
      <c r="T815" s="11" t="n">
        <f aca="false">SUM(N815:S815)</f>
        <v>31.684</v>
      </c>
      <c r="U815" s="11" t="n">
        <v>30.6</v>
      </c>
      <c r="V815" s="11" t="n">
        <v>10.2</v>
      </c>
      <c r="W815" s="11" t="n">
        <v>39.9</v>
      </c>
      <c r="X815" s="11" t="n">
        <v>0</v>
      </c>
      <c r="Y815" s="11" t="n">
        <v>44.6</v>
      </c>
      <c r="Z815" s="11" t="n">
        <v>0</v>
      </c>
      <c r="AA815" s="11" t="n">
        <f aca="false">SUM(U815:Z815)</f>
        <v>125.3</v>
      </c>
      <c r="AB815" s="11" t="n">
        <v>5.1</v>
      </c>
      <c r="AC815" s="11" t="n">
        <v>1.7</v>
      </c>
      <c r="AD815" s="11" t="n">
        <v>6.75</v>
      </c>
      <c r="AE815" s="11" t="n">
        <v>0</v>
      </c>
      <c r="AF815" s="11" t="n">
        <v>7.6</v>
      </c>
      <c r="AG815" s="11" t="n">
        <v>0</v>
      </c>
      <c r="AH815" s="11" t="n">
        <f aca="false">SUM(AB815:AG815)</f>
        <v>21.15</v>
      </c>
      <c r="AI815" s="12" t="s">
        <v>955</v>
      </c>
    </row>
    <row r="816" customFormat="false" ht="15" hidden="false" customHeight="false" outlineLevel="0" collapsed="false">
      <c r="A816" s="8" t="s">
        <v>1736</v>
      </c>
      <c r="B816" s="12" t="s">
        <v>1737</v>
      </c>
      <c r="C816" s="8" t="s">
        <v>1690</v>
      </c>
      <c r="D816" s="12" t="s">
        <v>1691</v>
      </c>
      <c r="E816" s="10" t="str">
        <f aca="true">IFERROR(IF(INDEX(INDIRECT("'"&amp;$AI816&amp;"'!$E$2:$E$327"),MATCH($A816,INDIRECT("'"&amp;$AI816&amp;"'!$A$2:$A$327"),0))="","",INDEX(INDIRECT("'"&amp;$AI816&amp;"'!$E$2:$E$327"),MATCH($A816,INDIRECT("'"&amp;$AI816&amp;"'!$A$2:$A$327"),0))),"")</f>
        <v/>
      </c>
      <c r="F816" s="9" t="str">
        <f aca="false">IF($E816="","",IFERROR(INDEX(担当者マスタ!$B$2:$B$101,MATCH($E816,担当者マスタ!$A$2:$A$101,0)),"※マスタ未登録"))</f>
        <v/>
      </c>
      <c r="G816" s="11" t="n">
        <v>589.06</v>
      </c>
      <c r="H816" s="11" t="n">
        <v>567.136</v>
      </c>
      <c r="I816" s="11" t="n">
        <v>689.47</v>
      </c>
      <c r="J816" s="11" t="n">
        <v>197.935</v>
      </c>
      <c r="K816" s="11" t="n">
        <v>349</v>
      </c>
      <c r="L816" s="11" t="n">
        <v>418.2</v>
      </c>
      <c r="M816" s="11" t="n">
        <f aca="false">SUM(G816:L816)</f>
        <v>2810.801</v>
      </c>
      <c r="N816" s="11" t="n">
        <v>104.421</v>
      </c>
      <c r="O816" s="11" t="n">
        <v>98.686</v>
      </c>
      <c r="P816" s="11" t="n">
        <v>121.86</v>
      </c>
      <c r="Q816" s="11" t="n">
        <v>34.279</v>
      </c>
      <c r="R816" s="11" t="n">
        <v>53.254</v>
      </c>
      <c r="S816" s="11" t="n">
        <v>66.513</v>
      </c>
      <c r="T816" s="11" t="n">
        <f aca="false">SUM(N816:S816)</f>
        <v>479.013</v>
      </c>
      <c r="U816" s="11" t="n">
        <v>578.03</v>
      </c>
      <c r="V816" s="11" t="n">
        <v>548.496</v>
      </c>
      <c r="W816" s="11" t="n">
        <v>654.41</v>
      </c>
      <c r="X816" s="11" t="n">
        <v>233.29</v>
      </c>
      <c r="Y816" s="11" t="n">
        <v>399.03</v>
      </c>
      <c r="Z816" s="11" t="n">
        <v>409.68</v>
      </c>
      <c r="AA816" s="11" t="n">
        <f aca="false">SUM(U816:Z816)</f>
        <v>2822.936</v>
      </c>
      <c r="AB816" s="11" t="n">
        <v>125.993</v>
      </c>
      <c r="AC816" s="11" t="n">
        <v>128.095</v>
      </c>
      <c r="AD816" s="11" t="n">
        <v>144.981</v>
      </c>
      <c r="AE816" s="11" t="n">
        <v>51.46</v>
      </c>
      <c r="AF816" s="11" t="n">
        <v>87.217</v>
      </c>
      <c r="AG816" s="11" t="n">
        <v>89.444</v>
      </c>
      <c r="AH816" s="11" t="n">
        <f aca="false">SUM(AB816:AG816)</f>
        <v>627.19</v>
      </c>
      <c r="AI816" s="12" t="s">
        <v>955</v>
      </c>
    </row>
    <row r="817" customFormat="false" ht="15" hidden="false" customHeight="false" outlineLevel="0" collapsed="false">
      <c r="A817" s="8" t="s">
        <v>1738</v>
      </c>
      <c r="B817" s="12" t="s">
        <v>1739</v>
      </c>
      <c r="C817" s="8" t="s">
        <v>1690</v>
      </c>
      <c r="D817" s="12" t="s">
        <v>1691</v>
      </c>
      <c r="E817" s="10" t="str">
        <f aca="true">IFERROR(IF(INDEX(INDIRECT("'"&amp;$AI817&amp;"'!$E$2:$E$327"),MATCH($A817,INDIRECT("'"&amp;$AI817&amp;"'!$A$2:$A$327"),0))="","",INDEX(INDIRECT("'"&amp;$AI817&amp;"'!$E$2:$E$327"),MATCH($A817,INDIRECT("'"&amp;$AI817&amp;"'!$A$2:$A$327"),0))),"")</f>
        <v/>
      </c>
      <c r="F817" s="9" t="str">
        <f aca="false">IF($E817="","",IFERROR(INDEX(担当者マスタ!$B$2:$B$101,MATCH($E817,担当者マスタ!$A$2:$A$101,0)),"※マスタ未登録"))</f>
        <v/>
      </c>
      <c r="G817" s="11" t="n">
        <v>84.221</v>
      </c>
      <c r="H817" s="11" t="n">
        <v>70.891</v>
      </c>
      <c r="I817" s="11" t="n">
        <v>260.845</v>
      </c>
      <c r="J817" s="11" t="n">
        <v>68.077</v>
      </c>
      <c r="K817" s="11" t="n">
        <v>83.526</v>
      </c>
      <c r="L817" s="11" t="n">
        <v>100.568</v>
      </c>
      <c r="M817" s="11" t="n">
        <f aca="false">SUM(G817:L817)</f>
        <v>668.128</v>
      </c>
      <c r="N817" s="11" t="n">
        <v>26.132</v>
      </c>
      <c r="O817" s="11" t="n">
        <v>21.515</v>
      </c>
      <c r="P817" s="11" t="n">
        <v>69.302</v>
      </c>
      <c r="Q817" s="11" t="n">
        <v>20.566</v>
      </c>
      <c r="R817" s="11" t="n">
        <v>23.972</v>
      </c>
      <c r="S817" s="11" t="n">
        <v>26.192</v>
      </c>
      <c r="T817" s="11" t="n">
        <f aca="false">SUM(N817:S817)</f>
        <v>187.679</v>
      </c>
      <c r="U817" s="11" t="n">
        <v>99.148</v>
      </c>
      <c r="V817" s="11" t="n">
        <v>107.185</v>
      </c>
      <c r="W817" s="11" t="n">
        <v>273.369</v>
      </c>
      <c r="X817" s="11" t="n">
        <v>59.149</v>
      </c>
      <c r="Y817" s="11" t="n">
        <v>89.309</v>
      </c>
      <c r="Z817" s="11" t="n">
        <v>81.972</v>
      </c>
      <c r="AA817" s="11" t="n">
        <f aca="false">SUM(U817:Z817)</f>
        <v>710.132</v>
      </c>
      <c r="AB817" s="11" t="n">
        <v>29.494</v>
      </c>
      <c r="AC817" s="11" t="n">
        <v>29.56</v>
      </c>
      <c r="AD817" s="11" t="n">
        <v>80.035</v>
      </c>
      <c r="AE817" s="11" t="n">
        <v>16.517</v>
      </c>
      <c r="AF817" s="11" t="n">
        <v>29.957</v>
      </c>
      <c r="AG817" s="11" t="n">
        <v>24.946</v>
      </c>
      <c r="AH817" s="11" t="n">
        <f aca="false">SUM(AB817:AG817)</f>
        <v>210.509</v>
      </c>
      <c r="AI817" s="12" t="s">
        <v>955</v>
      </c>
    </row>
    <row r="818" customFormat="false" ht="15" hidden="false" customHeight="false" outlineLevel="0" collapsed="false">
      <c r="A818" s="8" t="s">
        <v>1740</v>
      </c>
      <c r="B818" s="12" t="s">
        <v>1741</v>
      </c>
      <c r="C818" s="8" t="s">
        <v>1690</v>
      </c>
      <c r="D818" s="12" t="s">
        <v>1691</v>
      </c>
      <c r="E818" s="10" t="str">
        <f aca="true">IFERROR(IF(INDEX(INDIRECT("'"&amp;$AI818&amp;"'!$E$2:$E$327"),MATCH($A818,INDIRECT("'"&amp;$AI818&amp;"'!$A$2:$A$327"),0))="","",INDEX(INDIRECT("'"&amp;$AI818&amp;"'!$E$2:$E$327"),MATCH($A818,INDIRECT("'"&amp;$AI818&amp;"'!$A$2:$A$327"),0))),"")</f>
        <v/>
      </c>
      <c r="F818" s="9" t="str">
        <f aca="false">IF($E818="","",IFERROR(INDEX(担当者マスタ!$B$2:$B$101,MATCH($E818,担当者マスタ!$A$2:$A$101,0)),"※マスタ未登録"))</f>
        <v/>
      </c>
      <c r="G818" s="11" t="n">
        <v>0</v>
      </c>
      <c r="H818" s="11" t="n">
        <v>0.9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f aca="false">SUM(G818:L818)</f>
        <v>0.9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f aca="false">SUM(N818:S818)</f>
        <v>0</v>
      </c>
      <c r="U818" s="11" t="n">
        <v>0</v>
      </c>
      <c r="V818" s="11" t="n">
        <v>0</v>
      </c>
      <c r="W818" s="11" t="n">
        <v>0</v>
      </c>
      <c r="X818" s="11" t="n">
        <v>0</v>
      </c>
      <c r="Y818" s="11" t="n">
        <v>0</v>
      </c>
      <c r="Z818" s="11" t="n">
        <v>0</v>
      </c>
      <c r="AA818" s="11" t="n">
        <f aca="false">SUM(U818:Z818)</f>
        <v>0</v>
      </c>
      <c r="AB818" s="11" t="n">
        <v>0</v>
      </c>
      <c r="AC818" s="11" t="n">
        <v>0</v>
      </c>
      <c r="AD818" s="11" t="n">
        <v>0</v>
      </c>
      <c r="AE818" s="11" t="n">
        <v>0</v>
      </c>
      <c r="AF818" s="11" t="n">
        <v>0</v>
      </c>
      <c r="AG818" s="11" t="n">
        <v>0</v>
      </c>
      <c r="AH818" s="11" t="n">
        <f aca="false">SUM(AB818:AG818)</f>
        <v>0</v>
      </c>
      <c r="AI818" s="12" t="s">
        <v>955</v>
      </c>
    </row>
    <row r="819" customFormat="false" ht="15" hidden="false" customHeight="false" outlineLevel="0" collapsed="false">
      <c r="A819" s="8" t="s">
        <v>1742</v>
      </c>
      <c r="B819" s="12" t="s">
        <v>1743</v>
      </c>
      <c r="C819" s="8" t="s">
        <v>1690</v>
      </c>
      <c r="D819" s="12" t="s">
        <v>1691</v>
      </c>
      <c r="E819" s="10" t="str">
        <f aca="true">IFERROR(IF(INDEX(INDIRECT("'"&amp;$AI819&amp;"'!$E$2:$E$327"),MATCH($A819,INDIRECT("'"&amp;$AI819&amp;"'!$A$2:$A$327"),0))="","",INDEX(INDIRECT("'"&amp;$AI819&amp;"'!$E$2:$E$327"),MATCH($A819,INDIRECT("'"&amp;$AI819&amp;"'!$A$2:$A$327"),0))),"")</f>
        <v/>
      </c>
      <c r="F819" s="9" t="str">
        <f aca="false">IF($E819="","",IFERROR(INDEX(担当者マスタ!$B$2:$B$101,MATCH($E819,担当者マスタ!$A$2:$A$101,0)),"※マスタ未登録"))</f>
        <v/>
      </c>
      <c r="G819" s="11" t="n">
        <v>12.6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f aca="false">SUM(G819:L819)</f>
        <v>12.6</v>
      </c>
      <c r="N819" s="11" t="n">
        <v>3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1" t="n">
        <f aca="false">SUM(N819:S819)</f>
        <v>3</v>
      </c>
      <c r="U819" s="11" t="n">
        <v>0</v>
      </c>
      <c r="V819" s="11" t="n">
        <v>0</v>
      </c>
      <c r="W819" s="11" t="n">
        <v>0</v>
      </c>
      <c r="X819" s="11" t="n">
        <v>0</v>
      </c>
      <c r="Y819" s="11" t="n">
        <v>0</v>
      </c>
      <c r="Z819" s="11" t="n">
        <v>0</v>
      </c>
      <c r="AA819" s="11" t="n">
        <f aca="false">SUM(U819:Z819)</f>
        <v>0</v>
      </c>
      <c r="AB819" s="11" t="n">
        <v>0</v>
      </c>
      <c r="AC819" s="11" t="n">
        <v>0</v>
      </c>
      <c r="AD819" s="11" t="n">
        <v>0</v>
      </c>
      <c r="AE819" s="11" t="n">
        <v>0</v>
      </c>
      <c r="AF819" s="11" t="n">
        <v>0</v>
      </c>
      <c r="AG819" s="11" t="n">
        <v>0</v>
      </c>
      <c r="AH819" s="11" t="n">
        <f aca="false">SUM(AB819:AG819)</f>
        <v>0</v>
      </c>
      <c r="AI819" s="12" t="s">
        <v>955</v>
      </c>
    </row>
    <row r="820" customFormat="false" ht="15" hidden="false" customHeight="false" outlineLevel="0" collapsed="false">
      <c r="A820" s="8" t="s">
        <v>1744</v>
      </c>
      <c r="B820" s="12" t="s">
        <v>1745</v>
      </c>
      <c r="C820" s="8" t="s">
        <v>1690</v>
      </c>
      <c r="D820" s="12" t="s">
        <v>1691</v>
      </c>
      <c r="E820" s="10" t="str">
        <f aca="true">IFERROR(IF(INDEX(INDIRECT("'"&amp;$AI820&amp;"'!$E$2:$E$327"),MATCH($A820,INDIRECT("'"&amp;$AI820&amp;"'!$A$2:$A$327"),0))="","",INDEX(INDIRECT("'"&amp;$AI820&amp;"'!$E$2:$E$327"),MATCH($A820,INDIRECT("'"&amp;$AI820&amp;"'!$A$2:$A$327"),0))),"")</f>
        <v/>
      </c>
      <c r="F820" s="9" t="str">
        <f aca="false">IF($E820="","",IFERROR(INDEX(担当者マスタ!$B$2:$B$101,MATCH($E820,担当者マスタ!$A$2:$A$101,0)),"※マスタ未登録"))</f>
        <v/>
      </c>
      <c r="G820" s="11" t="n">
        <v>42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f aca="false">SUM(G820:L820)</f>
        <v>42</v>
      </c>
      <c r="N820" s="11" t="n">
        <v>7.75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1" t="n">
        <f aca="false">SUM(N820:S820)</f>
        <v>7.75</v>
      </c>
      <c r="U820" s="11" t="n">
        <v>9.5</v>
      </c>
      <c r="V820" s="11" t="n">
        <v>0</v>
      </c>
      <c r="W820" s="11" t="n">
        <v>0.5</v>
      </c>
      <c r="X820" s="11" t="n">
        <v>0.5</v>
      </c>
      <c r="Y820" s="11" t="n">
        <v>0</v>
      </c>
      <c r="Z820" s="11" t="n">
        <v>0</v>
      </c>
      <c r="AA820" s="11" t="n">
        <f aca="false">SUM(U820:Z820)</f>
        <v>10.5</v>
      </c>
      <c r="AB820" s="11" t="n">
        <v>1.65</v>
      </c>
      <c r="AC820" s="11" t="n">
        <v>0</v>
      </c>
      <c r="AD820" s="11" t="n">
        <v>0.205</v>
      </c>
      <c r="AE820" s="11" t="n">
        <v>0.175</v>
      </c>
      <c r="AF820" s="11" t="n">
        <v>0</v>
      </c>
      <c r="AG820" s="11" t="n">
        <v>0</v>
      </c>
      <c r="AH820" s="11" t="n">
        <f aca="false">SUM(AB820:AG820)</f>
        <v>2.03</v>
      </c>
      <c r="AI820" s="12" t="s">
        <v>955</v>
      </c>
    </row>
    <row r="821" customFormat="false" ht="15" hidden="false" customHeight="false" outlineLevel="0" collapsed="false">
      <c r="A821" s="8" t="s">
        <v>1746</v>
      </c>
      <c r="B821" s="12" t="s">
        <v>1747</v>
      </c>
      <c r="C821" s="8" t="s">
        <v>1690</v>
      </c>
      <c r="D821" s="12" t="s">
        <v>1691</v>
      </c>
      <c r="E821" s="10" t="str">
        <f aca="true">IFERROR(IF(INDEX(INDIRECT("'"&amp;$AI821&amp;"'!$E$2:$E$327"),MATCH($A821,INDIRECT("'"&amp;$AI821&amp;"'!$A$2:$A$327"),0))="","",INDEX(INDIRECT("'"&amp;$AI821&amp;"'!$E$2:$E$327"),MATCH($A821,INDIRECT("'"&amp;$AI821&amp;"'!$A$2:$A$327"),0))),"")</f>
        <v/>
      </c>
      <c r="F821" s="9" t="str">
        <f aca="false">IF($E821="","",IFERROR(INDEX(担当者マスタ!$B$2:$B$101,MATCH($E821,担当者マスタ!$A$2:$A$101,0)),"※マスタ未登録"))</f>
        <v/>
      </c>
      <c r="G821" s="11" t="n">
        <v>39</v>
      </c>
      <c r="H821" s="11" t="n">
        <v>0</v>
      </c>
      <c r="I821" s="11" t="n">
        <v>0</v>
      </c>
      <c r="J821" s="11" t="n">
        <v>0</v>
      </c>
      <c r="K821" s="11" t="n">
        <v>649.98</v>
      </c>
      <c r="L821" s="11" t="n">
        <v>0</v>
      </c>
      <c r="M821" s="11" t="n">
        <f aca="false">SUM(G821:L821)</f>
        <v>688.98</v>
      </c>
      <c r="N821" s="11" t="n">
        <v>4.23</v>
      </c>
      <c r="O821" s="11" t="n">
        <v>0</v>
      </c>
      <c r="P821" s="11" t="n">
        <v>0</v>
      </c>
      <c r="Q821" s="11" t="n">
        <v>0</v>
      </c>
      <c r="R821" s="11" t="n">
        <v>188.4</v>
      </c>
      <c r="S821" s="11" t="n">
        <v>0</v>
      </c>
      <c r="T821" s="11" t="n">
        <f aca="false">SUM(N821:S821)</f>
        <v>192.63</v>
      </c>
      <c r="U821" s="11" t="n">
        <v>0</v>
      </c>
      <c r="V821" s="11" t="n">
        <v>0</v>
      </c>
      <c r="W821" s="11" t="n">
        <v>0</v>
      </c>
      <c r="X821" s="11" t="n">
        <v>0</v>
      </c>
      <c r="Y821" s="11" t="n">
        <v>0</v>
      </c>
      <c r="Z821" s="11" t="n">
        <v>0</v>
      </c>
      <c r="AA821" s="11" t="n">
        <f aca="false">SUM(U821:Z821)</f>
        <v>0</v>
      </c>
      <c r="AB821" s="11" t="n">
        <v>0</v>
      </c>
      <c r="AC821" s="11" t="n">
        <v>0</v>
      </c>
      <c r="AD821" s="11" t="n">
        <v>0</v>
      </c>
      <c r="AE821" s="11" t="n">
        <v>0</v>
      </c>
      <c r="AF821" s="11" t="n">
        <v>0</v>
      </c>
      <c r="AG821" s="11" t="n">
        <v>0</v>
      </c>
      <c r="AH821" s="11" t="n">
        <f aca="false">SUM(AB821:AG821)</f>
        <v>0</v>
      </c>
      <c r="AI821" s="12" t="s">
        <v>955</v>
      </c>
    </row>
    <row r="822" customFormat="false" ht="15" hidden="false" customHeight="false" outlineLevel="0" collapsed="false">
      <c r="A822" s="8" t="s">
        <v>1748</v>
      </c>
      <c r="B822" s="9" t="s">
        <v>1749</v>
      </c>
      <c r="C822" s="8" t="s">
        <v>1750</v>
      </c>
      <c r="D822" s="12" t="s">
        <v>1751</v>
      </c>
      <c r="E822" s="10" t="str">
        <f aca="true">IFERROR(IF(INDEX(INDIRECT("'"&amp;$AI822&amp;"'!$E$2:$E$327"),MATCH($A822,INDIRECT("'"&amp;$AI822&amp;"'!$A$2:$A$327"),0))="","",INDEX(INDIRECT("'"&amp;$AI822&amp;"'!$E$2:$E$327"),MATCH($A822,INDIRECT("'"&amp;$AI822&amp;"'!$A$2:$A$327"),0))),"")</f>
        <v/>
      </c>
      <c r="F822" s="9" t="str">
        <f aca="false">IF($E822="","",IFERROR(INDEX(担当者マスタ!$B$2:$B$101,MATCH($E822,担当者マスタ!$A$2:$A$101,0)),"※マスタ未登録"))</f>
        <v/>
      </c>
      <c r="G822" s="11" t="n">
        <v>0</v>
      </c>
      <c r="H822" s="11" t="n">
        <v>28.8</v>
      </c>
      <c r="I822" s="11" t="n">
        <v>46.125</v>
      </c>
      <c r="J822" s="11" t="n">
        <v>0</v>
      </c>
      <c r="K822" s="11" t="n">
        <v>0</v>
      </c>
      <c r="L822" s="11" t="n">
        <v>0</v>
      </c>
      <c r="M822" s="11" t="n">
        <f aca="false">SUM(G822:L822)</f>
        <v>74.925</v>
      </c>
      <c r="N822" s="11" t="n">
        <v>0</v>
      </c>
      <c r="O822" s="11" t="n">
        <v>4.6</v>
      </c>
      <c r="P822" s="11" t="n">
        <v>11.625</v>
      </c>
      <c r="Q822" s="11" t="n">
        <v>0</v>
      </c>
      <c r="R822" s="11" t="n">
        <v>0</v>
      </c>
      <c r="S822" s="11" t="n">
        <v>0</v>
      </c>
      <c r="T822" s="11" t="n">
        <f aca="false">SUM(N822:S822)</f>
        <v>16.225</v>
      </c>
      <c r="U822" s="11" t="n">
        <v>0</v>
      </c>
      <c r="V822" s="11" t="n">
        <v>0</v>
      </c>
      <c r="W822" s="11" t="n">
        <v>0</v>
      </c>
      <c r="X822" s="11" t="n">
        <v>153</v>
      </c>
      <c r="Y822" s="11" t="n">
        <v>0</v>
      </c>
      <c r="Z822" s="11" t="n">
        <v>0</v>
      </c>
      <c r="AA822" s="11" t="n">
        <f aca="false">SUM(U822:Z822)</f>
        <v>153</v>
      </c>
      <c r="AB822" s="11" t="n">
        <v>0</v>
      </c>
      <c r="AC822" s="11" t="n">
        <v>0</v>
      </c>
      <c r="AD822" s="11" t="n">
        <v>0</v>
      </c>
      <c r="AE822" s="11" t="n">
        <v>24.48</v>
      </c>
      <c r="AF822" s="11" t="n">
        <v>0</v>
      </c>
      <c r="AG822" s="11" t="n">
        <v>0</v>
      </c>
      <c r="AH822" s="11" t="n">
        <f aca="false">SUM(AB822:AG822)</f>
        <v>24.48</v>
      </c>
      <c r="AI822" s="12" t="s">
        <v>955</v>
      </c>
    </row>
    <row r="823" customFormat="false" ht="15" hidden="false" customHeight="false" outlineLevel="0" collapsed="false">
      <c r="A823" s="8" t="s">
        <v>1752</v>
      </c>
      <c r="B823" s="9" t="s">
        <v>1753</v>
      </c>
      <c r="C823" s="8" t="s">
        <v>1750</v>
      </c>
      <c r="D823" s="12" t="s">
        <v>1751</v>
      </c>
      <c r="E823" s="10" t="str">
        <f aca="true">IFERROR(IF(INDEX(INDIRECT("'"&amp;$AI823&amp;"'!$E$2:$E$327"),MATCH($A823,INDIRECT("'"&amp;$AI823&amp;"'!$A$2:$A$327"),0))="","",INDEX(INDIRECT("'"&amp;$AI823&amp;"'!$E$2:$E$327"),MATCH($A823,INDIRECT("'"&amp;$AI823&amp;"'!$A$2:$A$327"),0))),"")</f>
        <v/>
      </c>
      <c r="F823" s="9" t="str">
        <f aca="false">IF($E823="","",IFERROR(INDEX(担当者マスタ!$B$2:$B$101,MATCH($E823,担当者マスタ!$A$2:$A$101,0)),"※マスタ未登録"))</f>
        <v/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19.3</v>
      </c>
      <c r="M823" s="11" t="n">
        <f aca="false">SUM(G823:L823)</f>
        <v>19.3</v>
      </c>
      <c r="N823" s="11" t="n">
        <v>0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5.1</v>
      </c>
      <c r="T823" s="11" t="n">
        <f aca="false">SUM(N823:S823)</f>
        <v>5.1</v>
      </c>
      <c r="U823" s="11" t="n">
        <v>0</v>
      </c>
      <c r="V823" s="11" t="n">
        <v>0</v>
      </c>
      <c r="W823" s="11" t="n">
        <v>0</v>
      </c>
      <c r="X823" s="11" t="n">
        <v>0</v>
      </c>
      <c r="Y823" s="11" t="n">
        <v>0</v>
      </c>
      <c r="Z823" s="11" t="n">
        <v>0</v>
      </c>
      <c r="AA823" s="11" t="n">
        <f aca="false">SUM(U823:Z823)</f>
        <v>0</v>
      </c>
      <c r="AB823" s="11" t="n">
        <v>0</v>
      </c>
      <c r="AC823" s="11" t="n">
        <v>0</v>
      </c>
      <c r="AD823" s="11" t="n">
        <v>0</v>
      </c>
      <c r="AE823" s="11" t="n">
        <v>0</v>
      </c>
      <c r="AF823" s="11" t="n">
        <v>0</v>
      </c>
      <c r="AG823" s="11" t="n">
        <v>0</v>
      </c>
      <c r="AH823" s="11" t="n">
        <f aca="false">SUM(AB823:AG823)</f>
        <v>0</v>
      </c>
      <c r="AI823" s="12" t="s">
        <v>955</v>
      </c>
    </row>
    <row r="824" customFormat="false" ht="15" hidden="false" customHeight="false" outlineLevel="0" collapsed="false">
      <c r="A824" s="8" t="s">
        <v>1754</v>
      </c>
      <c r="B824" s="9" t="s">
        <v>1755</v>
      </c>
      <c r="C824" s="8" t="s">
        <v>1750</v>
      </c>
      <c r="D824" s="12" t="s">
        <v>1751</v>
      </c>
      <c r="E824" s="10" t="str">
        <f aca="true">IFERROR(IF(INDEX(INDIRECT("'"&amp;$AI824&amp;"'!$E$2:$E$327"),MATCH($A824,INDIRECT("'"&amp;$AI824&amp;"'!$A$2:$A$327"),0))="","",INDEX(INDIRECT("'"&amp;$AI824&amp;"'!$E$2:$E$327"),MATCH($A824,INDIRECT("'"&amp;$AI824&amp;"'!$A$2:$A$327"),0))),"")</f>
        <v/>
      </c>
      <c r="F824" s="9" t="str">
        <f aca="false">IF($E824="","",IFERROR(INDEX(担当者マスタ!$B$2:$B$101,MATCH($E824,担当者マスタ!$A$2:$A$101,0)),"※マスタ未登録"))</f>
        <v/>
      </c>
      <c r="G824" s="11" t="n">
        <v>0</v>
      </c>
      <c r="H824" s="11" t="n">
        <v>253.715</v>
      </c>
      <c r="I824" s="11" t="n">
        <v>225.012</v>
      </c>
      <c r="J824" s="11" t="n">
        <v>0</v>
      </c>
      <c r="K824" s="11" t="n">
        <v>0</v>
      </c>
      <c r="L824" s="11" t="n">
        <v>274.77</v>
      </c>
      <c r="M824" s="11" t="n">
        <f aca="false">SUM(G824:L824)</f>
        <v>753.497</v>
      </c>
      <c r="N824" s="11" t="n">
        <v>0</v>
      </c>
      <c r="O824" s="11" t="n">
        <v>65.065</v>
      </c>
      <c r="P824" s="11" t="n">
        <v>67.982</v>
      </c>
      <c r="Q824" s="11" t="n">
        <v>0</v>
      </c>
      <c r="R824" s="11" t="n">
        <v>0</v>
      </c>
      <c r="S824" s="11" t="n">
        <v>70.821</v>
      </c>
      <c r="T824" s="11" t="n">
        <f aca="false">SUM(N824:S824)</f>
        <v>203.868</v>
      </c>
      <c r="U824" s="11" t="n">
        <v>0</v>
      </c>
      <c r="V824" s="11" t="n">
        <v>269.8</v>
      </c>
      <c r="W824" s="11" t="n">
        <v>0</v>
      </c>
      <c r="X824" s="11" t="n">
        <v>0</v>
      </c>
      <c r="Y824" s="11" t="n">
        <v>222.075</v>
      </c>
      <c r="Z824" s="11" t="n">
        <v>0</v>
      </c>
      <c r="AA824" s="11" t="n">
        <f aca="false">SUM(U824:Z824)</f>
        <v>491.875</v>
      </c>
      <c r="AB824" s="11" t="n">
        <v>0</v>
      </c>
      <c r="AC824" s="11" t="n">
        <v>69.54</v>
      </c>
      <c r="AD824" s="11" t="n">
        <v>0</v>
      </c>
      <c r="AE824" s="11" t="n">
        <v>0</v>
      </c>
      <c r="AF824" s="11" t="n">
        <v>67.095</v>
      </c>
      <c r="AG824" s="11" t="n">
        <v>0</v>
      </c>
      <c r="AH824" s="11" t="n">
        <f aca="false">SUM(AB824:AG824)</f>
        <v>136.635</v>
      </c>
      <c r="AI824" s="12" t="s">
        <v>955</v>
      </c>
    </row>
    <row r="825" customFormat="false" ht="15" hidden="false" customHeight="false" outlineLevel="0" collapsed="false">
      <c r="A825" s="8" t="s">
        <v>1756</v>
      </c>
      <c r="B825" s="12" t="s">
        <v>1757</v>
      </c>
      <c r="C825" s="8" t="s">
        <v>1750</v>
      </c>
      <c r="D825" s="12" t="s">
        <v>1751</v>
      </c>
      <c r="E825" s="10" t="str">
        <f aca="true">IFERROR(IF(INDEX(INDIRECT("'"&amp;$AI825&amp;"'!$E$2:$E$327"),MATCH($A825,INDIRECT("'"&amp;$AI825&amp;"'!$A$2:$A$327"),0))="","",INDEX(INDIRECT("'"&amp;$AI825&amp;"'!$E$2:$E$327"),MATCH($A825,INDIRECT("'"&amp;$AI825&amp;"'!$A$2:$A$327"),0))),"")</f>
        <v/>
      </c>
      <c r="F825" s="9" t="str">
        <f aca="false">IF($E825="","",IFERROR(INDEX(担当者マスタ!$B$2:$B$101,MATCH($E825,担当者マスタ!$A$2:$A$101,0)),"※マスタ未登録"))</f>
        <v/>
      </c>
      <c r="G825" s="11" t="n">
        <v>961.265</v>
      </c>
      <c r="H825" s="11" t="n">
        <v>1672.88</v>
      </c>
      <c r="I825" s="11" t="n">
        <v>580.195</v>
      </c>
      <c r="J825" s="11" t="n">
        <v>632.215</v>
      </c>
      <c r="K825" s="11" t="n">
        <v>270.5</v>
      </c>
      <c r="L825" s="11" t="n">
        <v>207.1</v>
      </c>
      <c r="M825" s="11" t="n">
        <f aca="false">SUM(G825:L825)</f>
        <v>4324.155</v>
      </c>
      <c r="N825" s="11" t="n">
        <v>159.466</v>
      </c>
      <c r="O825" s="11" t="n">
        <v>386.182</v>
      </c>
      <c r="P825" s="11" t="n">
        <v>100.154</v>
      </c>
      <c r="Q825" s="11" t="n">
        <v>107.361</v>
      </c>
      <c r="R825" s="11" t="n">
        <v>49.828</v>
      </c>
      <c r="S825" s="11" t="n">
        <v>37.23</v>
      </c>
      <c r="T825" s="11" t="n">
        <f aca="false">SUM(N825:S825)</f>
        <v>840.221</v>
      </c>
      <c r="U825" s="11" t="n">
        <v>989.5</v>
      </c>
      <c r="V825" s="11" t="n">
        <v>827.78</v>
      </c>
      <c r="W825" s="11" t="n">
        <v>281.33</v>
      </c>
      <c r="X825" s="11" t="n">
        <v>481.85</v>
      </c>
      <c r="Y825" s="11" t="n">
        <v>748.2</v>
      </c>
      <c r="Z825" s="11" t="n">
        <v>285.4</v>
      </c>
      <c r="AA825" s="11" t="n">
        <f aca="false">SUM(U825:Z825)</f>
        <v>3614.06</v>
      </c>
      <c r="AB825" s="11" t="n">
        <v>166.466</v>
      </c>
      <c r="AC825" s="11" t="n">
        <v>133.351</v>
      </c>
      <c r="AD825" s="11" t="n">
        <v>100.538</v>
      </c>
      <c r="AE825" s="11" t="n">
        <v>83.843</v>
      </c>
      <c r="AF825" s="11" t="n">
        <v>120.769</v>
      </c>
      <c r="AG825" s="11" t="n">
        <v>58.609</v>
      </c>
      <c r="AH825" s="11" t="n">
        <f aca="false">SUM(AB825:AG825)</f>
        <v>663.576</v>
      </c>
      <c r="AI825" s="12" t="s">
        <v>955</v>
      </c>
    </row>
    <row r="826" customFormat="false" ht="15" hidden="false" customHeight="false" outlineLevel="0" collapsed="false">
      <c r="A826" s="8" t="s">
        <v>1758</v>
      </c>
      <c r="B826" s="9" t="s">
        <v>1759</v>
      </c>
      <c r="C826" s="8" t="s">
        <v>1750</v>
      </c>
      <c r="D826" s="12" t="s">
        <v>1751</v>
      </c>
      <c r="E826" s="10" t="str">
        <f aca="true">IFERROR(IF(INDEX(INDIRECT("'"&amp;$AI826&amp;"'!$E$2:$E$327"),MATCH($A826,INDIRECT("'"&amp;$AI826&amp;"'!$A$2:$A$327"),0))="","",INDEX(INDIRECT("'"&amp;$AI826&amp;"'!$E$2:$E$327"),MATCH($A826,INDIRECT("'"&amp;$AI826&amp;"'!$A$2:$A$327"),0))),"")</f>
        <v/>
      </c>
      <c r="F826" s="9" t="str">
        <f aca="false">IF($E826="","",IFERROR(INDEX(担当者マスタ!$B$2:$B$101,MATCH($E826,担当者マスタ!$A$2:$A$101,0)),"※マスタ未登録"))</f>
        <v/>
      </c>
      <c r="G826" s="11" t="n">
        <v>416.963</v>
      </c>
      <c r="H826" s="11" t="n">
        <v>44.41</v>
      </c>
      <c r="I826" s="11" t="n">
        <v>425.337</v>
      </c>
      <c r="J826" s="11" t="n">
        <v>144.405</v>
      </c>
      <c r="K826" s="11" t="n">
        <v>380.35</v>
      </c>
      <c r="L826" s="11" t="n">
        <v>329.54</v>
      </c>
      <c r="M826" s="11" t="n">
        <f aca="false">SUM(G826:L826)</f>
        <v>1741.005</v>
      </c>
      <c r="N826" s="11" t="n">
        <v>69.188</v>
      </c>
      <c r="O826" s="11" t="n">
        <v>14.173</v>
      </c>
      <c r="P826" s="11" t="n">
        <v>82.544</v>
      </c>
      <c r="Q826" s="11" t="n">
        <v>25.911</v>
      </c>
      <c r="R826" s="11" t="n">
        <v>65.059</v>
      </c>
      <c r="S826" s="11" t="n">
        <v>61.835</v>
      </c>
      <c r="T826" s="11" t="n">
        <f aca="false">SUM(N826:S826)</f>
        <v>318.71</v>
      </c>
      <c r="U826" s="11" t="n">
        <v>342.315</v>
      </c>
      <c r="V826" s="11" t="n">
        <v>280.536</v>
      </c>
      <c r="W826" s="11" t="n">
        <v>356.36</v>
      </c>
      <c r="X826" s="11" t="n">
        <v>405.395</v>
      </c>
      <c r="Y826" s="11" t="n">
        <v>163.506</v>
      </c>
      <c r="Z826" s="11" t="n">
        <v>356.71</v>
      </c>
      <c r="AA826" s="11" t="n">
        <f aca="false">SUM(U826:Z826)</f>
        <v>1904.822</v>
      </c>
      <c r="AB826" s="11" t="n">
        <v>75.274</v>
      </c>
      <c r="AC826" s="11" t="n">
        <v>50.285</v>
      </c>
      <c r="AD826" s="11" t="n">
        <v>96.756</v>
      </c>
      <c r="AE826" s="11" t="n">
        <v>80.072</v>
      </c>
      <c r="AF826" s="11" t="n">
        <v>40.474</v>
      </c>
      <c r="AG826" s="11" t="n">
        <v>64.528</v>
      </c>
      <c r="AH826" s="11" t="n">
        <f aca="false">SUM(AB826:AG826)</f>
        <v>407.389</v>
      </c>
      <c r="AI826" s="12" t="s">
        <v>955</v>
      </c>
    </row>
    <row r="827" customFormat="false" ht="15" hidden="false" customHeight="false" outlineLevel="0" collapsed="false">
      <c r="A827" s="8" t="s">
        <v>1760</v>
      </c>
      <c r="B827" s="12" t="s">
        <v>1761</v>
      </c>
      <c r="C827" s="8" t="s">
        <v>1750</v>
      </c>
      <c r="D827" s="12" t="s">
        <v>1751</v>
      </c>
      <c r="E827" s="10" t="str">
        <f aca="true">IFERROR(IF(INDEX(INDIRECT("'"&amp;$AI827&amp;"'!$E$2:$E$327"),MATCH($A827,INDIRECT("'"&amp;$AI827&amp;"'!$A$2:$A$327"),0))="","",INDEX(INDIRECT("'"&amp;$AI827&amp;"'!$E$2:$E$327"),MATCH($A827,INDIRECT("'"&amp;$AI827&amp;"'!$A$2:$A$327"),0))),"")</f>
        <v/>
      </c>
      <c r="F827" s="9" t="str">
        <f aca="false">IF($E827="","",IFERROR(INDEX(担当者マスタ!$B$2:$B$101,MATCH($E827,担当者マスタ!$A$2:$A$101,0)),"※マスタ未登録"))</f>
        <v/>
      </c>
      <c r="G827" s="11" t="n">
        <v>268.734</v>
      </c>
      <c r="H827" s="11" t="n">
        <v>543.52</v>
      </c>
      <c r="I827" s="11" t="n">
        <v>201.41</v>
      </c>
      <c r="J827" s="11" t="n">
        <v>541.08</v>
      </c>
      <c r="K827" s="11" t="n">
        <v>110.08</v>
      </c>
      <c r="L827" s="11" t="n">
        <v>556.724</v>
      </c>
      <c r="M827" s="11" t="n">
        <f aca="false">SUM(G827:L827)</f>
        <v>2221.548</v>
      </c>
      <c r="N827" s="11" t="n">
        <v>58.651</v>
      </c>
      <c r="O827" s="11" t="n">
        <v>66.108</v>
      </c>
      <c r="P827" s="11" t="n">
        <v>34.556</v>
      </c>
      <c r="Q827" s="11" t="n">
        <v>63.852</v>
      </c>
      <c r="R827" s="11" t="n">
        <v>25.232</v>
      </c>
      <c r="S827" s="11" t="n">
        <v>76.143</v>
      </c>
      <c r="T827" s="11" t="n">
        <f aca="false">SUM(N827:S827)</f>
        <v>324.542</v>
      </c>
      <c r="U827" s="11" t="n">
        <v>525.88</v>
      </c>
      <c r="V827" s="11" t="n">
        <v>183.98</v>
      </c>
      <c r="W827" s="11" t="n">
        <v>705.534</v>
      </c>
      <c r="X827" s="11" t="n">
        <v>443.68</v>
      </c>
      <c r="Y827" s="11" t="n">
        <v>132.98</v>
      </c>
      <c r="Z827" s="11" t="n">
        <v>581.224</v>
      </c>
      <c r="AA827" s="11" t="n">
        <f aca="false">SUM(U827:Z827)</f>
        <v>2573.278</v>
      </c>
      <c r="AB827" s="11" t="n">
        <v>60.082</v>
      </c>
      <c r="AC827" s="11" t="n">
        <v>36.932</v>
      </c>
      <c r="AD827" s="11" t="n">
        <v>98.677</v>
      </c>
      <c r="AE827" s="11" t="n">
        <v>46.932</v>
      </c>
      <c r="AF827" s="11" t="n">
        <v>29.432</v>
      </c>
      <c r="AG827" s="11" t="n">
        <v>82.828</v>
      </c>
      <c r="AH827" s="11" t="n">
        <f aca="false">SUM(AB827:AG827)</f>
        <v>354.883</v>
      </c>
      <c r="AI827" s="12" t="s">
        <v>955</v>
      </c>
    </row>
    <row r="828" customFormat="false" ht="15" hidden="false" customHeight="false" outlineLevel="0" collapsed="false">
      <c r="A828" s="8" t="s">
        <v>1762</v>
      </c>
      <c r="B828" s="12" t="s">
        <v>1763</v>
      </c>
      <c r="C828" s="8" t="s">
        <v>1750</v>
      </c>
      <c r="D828" s="12" t="s">
        <v>1751</v>
      </c>
      <c r="E828" s="10" t="str">
        <f aca="true">IFERROR(IF(INDEX(INDIRECT("'"&amp;$AI828&amp;"'!$E$2:$E$327"),MATCH($A828,INDIRECT("'"&amp;$AI828&amp;"'!$A$2:$A$327"),0))="","",INDEX(INDIRECT("'"&amp;$AI828&amp;"'!$E$2:$E$327"),MATCH($A828,INDIRECT("'"&amp;$AI828&amp;"'!$A$2:$A$327"),0))),"")</f>
        <v/>
      </c>
      <c r="F828" s="9" t="str">
        <f aca="false">IF($E828="","",IFERROR(INDEX(担当者マスタ!$B$2:$B$101,MATCH($E828,担当者マスタ!$A$2:$A$101,0)),"※マスタ未登録"))</f>
        <v/>
      </c>
      <c r="G828" s="11" t="n">
        <v>697.2</v>
      </c>
      <c r="H828" s="11" t="n">
        <v>525.954</v>
      </c>
      <c r="I828" s="11" t="n">
        <v>755.149</v>
      </c>
      <c r="J828" s="11" t="n">
        <v>705.183</v>
      </c>
      <c r="K828" s="11" t="n">
        <v>170.63</v>
      </c>
      <c r="L828" s="11" t="n">
        <v>351.676</v>
      </c>
      <c r="M828" s="11" t="n">
        <f aca="false">SUM(G828:L828)</f>
        <v>3205.792</v>
      </c>
      <c r="N828" s="11" t="n">
        <v>113.616</v>
      </c>
      <c r="O828" s="11" t="n">
        <v>92.036</v>
      </c>
      <c r="P828" s="11" t="n">
        <v>80.702</v>
      </c>
      <c r="Q828" s="11" t="n">
        <v>116.299</v>
      </c>
      <c r="R828" s="11" t="n">
        <v>34.35</v>
      </c>
      <c r="S828" s="11" t="n">
        <v>56.699</v>
      </c>
      <c r="T828" s="11" t="n">
        <f aca="false">SUM(N828:S828)</f>
        <v>493.702</v>
      </c>
      <c r="U828" s="11" t="n">
        <v>425.79</v>
      </c>
      <c r="V828" s="11" t="n">
        <v>572.77</v>
      </c>
      <c r="W828" s="11" t="n">
        <v>525.299</v>
      </c>
      <c r="X828" s="11" t="n">
        <v>1045.739</v>
      </c>
      <c r="Y828" s="11" t="n">
        <v>649.78</v>
      </c>
      <c r="Z828" s="11" t="n">
        <v>816.748</v>
      </c>
      <c r="AA828" s="11" t="n">
        <f aca="false">SUM(U828:Z828)</f>
        <v>4036.126</v>
      </c>
      <c r="AB828" s="11" t="n">
        <v>62.436</v>
      </c>
      <c r="AC828" s="11" t="n">
        <v>94.441</v>
      </c>
      <c r="AD828" s="11" t="n">
        <v>66.921</v>
      </c>
      <c r="AE828" s="11" t="n">
        <v>173.241</v>
      </c>
      <c r="AF828" s="11" t="n">
        <v>101.662</v>
      </c>
      <c r="AG828" s="11" t="n">
        <v>130.276</v>
      </c>
      <c r="AH828" s="11" t="n">
        <f aca="false">SUM(AB828:AG828)</f>
        <v>628.977</v>
      </c>
      <c r="AI828" s="12" t="s">
        <v>955</v>
      </c>
    </row>
    <row r="829" customFormat="false" ht="15" hidden="false" customHeight="false" outlineLevel="0" collapsed="false">
      <c r="A829" s="8" t="s">
        <v>1764</v>
      </c>
      <c r="B829" s="12" t="s">
        <v>1765</v>
      </c>
      <c r="C829" s="8" t="s">
        <v>1750</v>
      </c>
      <c r="D829" s="12" t="s">
        <v>1751</v>
      </c>
      <c r="E829" s="10" t="str">
        <f aca="true">IFERROR(IF(INDEX(INDIRECT("'"&amp;$AI829&amp;"'!$E$2:$E$327"),MATCH($A829,INDIRECT("'"&amp;$AI829&amp;"'!$A$2:$A$327"),0))="","",INDEX(INDIRECT("'"&amp;$AI829&amp;"'!$E$2:$E$327"),MATCH($A829,INDIRECT("'"&amp;$AI829&amp;"'!$A$2:$A$327"),0))),"")</f>
        <v/>
      </c>
      <c r="F829" s="9" t="str">
        <f aca="false">IF($E829="","",IFERROR(INDEX(担当者マスタ!$B$2:$B$101,MATCH($E829,担当者マスタ!$A$2:$A$101,0)),"※マスタ未登録"))</f>
        <v/>
      </c>
      <c r="G829" s="11" t="n">
        <v>22.5</v>
      </c>
      <c r="H829" s="11" t="n">
        <v>14</v>
      </c>
      <c r="I829" s="11" t="n">
        <v>0</v>
      </c>
      <c r="J829" s="11" t="n">
        <v>0.8</v>
      </c>
      <c r="K829" s="11" t="n">
        <v>0</v>
      </c>
      <c r="L829" s="11" t="n">
        <v>0</v>
      </c>
      <c r="M829" s="11" t="n">
        <f aca="false">SUM(G829:L829)</f>
        <v>37.3</v>
      </c>
      <c r="N829" s="11" t="n">
        <v>2.71</v>
      </c>
      <c r="O829" s="11" t="n">
        <v>2.1</v>
      </c>
      <c r="P829" s="11" t="n">
        <v>0</v>
      </c>
      <c r="Q829" s="11" t="n">
        <v>0.12</v>
      </c>
      <c r="R829" s="11" t="n">
        <v>0</v>
      </c>
      <c r="S829" s="11" t="n">
        <v>0</v>
      </c>
      <c r="T829" s="11" t="n">
        <f aca="false">SUM(N829:S829)</f>
        <v>4.93</v>
      </c>
      <c r="U829" s="11" t="n">
        <v>2.4</v>
      </c>
      <c r="V829" s="11" t="n">
        <v>0</v>
      </c>
      <c r="W829" s="11" t="n">
        <v>0</v>
      </c>
      <c r="X829" s="11" t="n">
        <v>0.95</v>
      </c>
      <c r="Y829" s="11" t="n">
        <v>0</v>
      </c>
      <c r="Z829" s="11" t="n">
        <v>0</v>
      </c>
      <c r="AA829" s="11" t="n">
        <f aca="false">SUM(U829:Z829)</f>
        <v>3.35</v>
      </c>
      <c r="AB829" s="11" t="n">
        <v>0.36</v>
      </c>
      <c r="AC829" s="11" t="n">
        <v>0</v>
      </c>
      <c r="AD829" s="11" t="n">
        <v>0</v>
      </c>
      <c r="AE829" s="11" t="n">
        <v>0.27</v>
      </c>
      <c r="AF829" s="11" t="n">
        <v>0</v>
      </c>
      <c r="AG829" s="11" t="n">
        <v>0</v>
      </c>
      <c r="AH829" s="11" t="n">
        <f aca="false">SUM(AB829:AG829)</f>
        <v>0.63</v>
      </c>
      <c r="AI829" s="12" t="s">
        <v>955</v>
      </c>
    </row>
    <row r="830" customFormat="false" ht="15" hidden="false" customHeight="false" outlineLevel="0" collapsed="false">
      <c r="A830" s="8" t="s">
        <v>1766</v>
      </c>
      <c r="B830" s="12" t="s">
        <v>1767</v>
      </c>
      <c r="C830" s="8" t="s">
        <v>1750</v>
      </c>
      <c r="D830" s="12" t="s">
        <v>1751</v>
      </c>
      <c r="E830" s="10" t="str">
        <f aca="true">IFERROR(IF(INDEX(INDIRECT("'"&amp;$AI830&amp;"'!$E$2:$E$327"),MATCH($A830,INDIRECT("'"&amp;$AI830&amp;"'!$A$2:$A$327"),0))="","",INDEX(INDIRECT("'"&amp;$AI830&amp;"'!$E$2:$E$327"),MATCH($A830,INDIRECT("'"&amp;$AI830&amp;"'!$A$2:$A$327"),0))),"")</f>
        <v/>
      </c>
      <c r="F830" s="9" t="str">
        <f aca="false">IF($E830="","",IFERROR(INDEX(担当者マスタ!$B$2:$B$101,MATCH($E830,担当者マスタ!$A$2:$A$101,0)),"※マスタ未登録"))</f>
        <v/>
      </c>
      <c r="G830" s="11" t="n">
        <v>0</v>
      </c>
      <c r="H830" s="11" t="n">
        <v>0</v>
      </c>
      <c r="I830" s="11" t="n">
        <v>13.317</v>
      </c>
      <c r="J830" s="11" t="n">
        <v>0</v>
      </c>
      <c r="K830" s="11" t="n">
        <v>0</v>
      </c>
      <c r="L830" s="11" t="n">
        <v>10.59</v>
      </c>
      <c r="M830" s="11" t="n">
        <f aca="false">SUM(G830:L830)</f>
        <v>23.907</v>
      </c>
      <c r="N830" s="11" t="n">
        <v>0</v>
      </c>
      <c r="O830" s="11" t="n">
        <v>0</v>
      </c>
      <c r="P830" s="11" t="n">
        <v>2.85</v>
      </c>
      <c r="Q830" s="11" t="n">
        <v>0</v>
      </c>
      <c r="R830" s="11" t="n">
        <v>0</v>
      </c>
      <c r="S830" s="11" t="n">
        <v>2</v>
      </c>
      <c r="T830" s="11" t="n">
        <f aca="false">SUM(N830:S830)</f>
        <v>4.85</v>
      </c>
      <c r="U830" s="11" t="n">
        <v>0</v>
      </c>
      <c r="V830" s="11" t="n">
        <v>0</v>
      </c>
      <c r="W830" s="11" t="n">
        <v>0</v>
      </c>
      <c r="X830" s="11" t="n">
        <v>0</v>
      </c>
      <c r="Y830" s="11" t="n">
        <v>0</v>
      </c>
      <c r="Z830" s="11" t="n">
        <v>0</v>
      </c>
      <c r="AA830" s="11" t="n">
        <f aca="false">SUM(U830:Z830)</f>
        <v>0</v>
      </c>
      <c r="AB830" s="11" t="n">
        <v>0</v>
      </c>
      <c r="AC830" s="11" t="n">
        <v>0</v>
      </c>
      <c r="AD830" s="11" t="n">
        <v>0</v>
      </c>
      <c r="AE830" s="11" t="n">
        <v>0</v>
      </c>
      <c r="AF830" s="11" t="n">
        <v>0</v>
      </c>
      <c r="AG830" s="11" t="n">
        <v>0</v>
      </c>
      <c r="AH830" s="11" t="n">
        <f aca="false">SUM(AB830:AG830)</f>
        <v>0</v>
      </c>
      <c r="AI830" s="12" t="s">
        <v>955</v>
      </c>
    </row>
    <row r="831" customFormat="false" ht="15" hidden="false" customHeight="false" outlineLevel="0" collapsed="false">
      <c r="A831" s="8" t="s">
        <v>1768</v>
      </c>
      <c r="B831" s="12" t="s">
        <v>1769</v>
      </c>
      <c r="C831" s="8" t="s">
        <v>1750</v>
      </c>
      <c r="D831" s="12" t="s">
        <v>1751</v>
      </c>
      <c r="E831" s="10" t="str">
        <f aca="true">IFERROR(IF(INDEX(INDIRECT("'"&amp;$AI831&amp;"'!$E$2:$E$327"),MATCH($A831,INDIRECT("'"&amp;$AI831&amp;"'!$A$2:$A$327"),0))="","",INDEX(INDIRECT("'"&amp;$AI831&amp;"'!$E$2:$E$327"),MATCH($A831,INDIRECT("'"&amp;$AI831&amp;"'!$A$2:$A$327"),0))),"")</f>
        <v/>
      </c>
      <c r="F831" s="9" t="str">
        <f aca="false">IF($E831="","",IFERROR(INDEX(担当者マスタ!$B$2:$B$101,MATCH($E831,担当者マスタ!$A$2:$A$101,0)),"※マスタ未登録"))</f>
        <v/>
      </c>
      <c r="G831" s="11" t="n">
        <v>71.75</v>
      </c>
      <c r="H831" s="11" t="n">
        <v>293.57</v>
      </c>
      <c r="I831" s="11" t="n">
        <v>180.098</v>
      </c>
      <c r="J831" s="11" t="n">
        <v>96.505</v>
      </c>
      <c r="K831" s="11" t="n">
        <v>392.371</v>
      </c>
      <c r="L831" s="11" t="n">
        <v>155.59</v>
      </c>
      <c r="M831" s="11" t="n">
        <f aca="false">SUM(G831:L831)</f>
        <v>1189.884</v>
      </c>
      <c r="N831" s="11" t="n">
        <v>30.99</v>
      </c>
      <c r="O831" s="11" t="n">
        <v>78.942</v>
      </c>
      <c r="P831" s="11" t="n">
        <v>41.109</v>
      </c>
      <c r="Q831" s="11" t="n">
        <v>24.92</v>
      </c>
      <c r="R831" s="11" t="n">
        <v>110.295</v>
      </c>
      <c r="S831" s="11" t="n">
        <v>58.37</v>
      </c>
      <c r="T831" s="11" t="n">
        <f aca="false">SUM(N831:S831)</f>
        <v>344.626</v>
      </c>
      <c r="U831" s="11" t="n">
        <v>86.239</v>
      </c>
      <c r="V831" s="11" t="n">
        <v>190.441</v>
      </c>
      <c r="W831" s="11" t="n">
        <v>55.398</v>
      </c>
      <c r="X831" s="11" t="n">
        <v>180.426</v>
      </c>
      <c r="Y831" s="11" t="n">
        <v>68.824</v>
      </c>
      <c r="Z831" s="11" t="n">
        <v>66.15</v>
      </c>
      <c r="AA831" s="11" t="n">
        <f aca="false">SUM(U831:Z831)</f>
        <v>647.478</v>
      </c>
      <c r="AB831" s="11" t="n">
        <v>24.737</v>
      </c>
      <c r="AC831" s="11" t="n">
        <v>58.076</v>
      </c>
      <c r="AD831" s="11" t="n">
        <v>15.25</v>
      </c>
      <c r="AE831" s="11" t="n">
        <v>48.842</v>
      </c>
      <c r="AF831" s="11" t="n">
        <v>20.183</v>
      </c>
      <c r="AG831" s="11" t="n">
        <v>18.2</v>
      </c>
      <c r="AH831" s="11" t="n">
        <f aca="false">SUM(AB831:AG831)</f>
        <v>185.288</v>
      </c>
      <c r="AI831" s="12" t="s">
        <v>955</v>
      </c>
    </row>
    <row r="832" customFormat="false" ht="15" hidden="false" customHeight="false" outlineLevel="0" collapsed="false">
      <c r="A832" s="8" t="s">
        <v>1770</v>
      </c>
      <c r="B832" s="12" t="s">
        <v>1771</v>
      </c>
      <c r="C832" s="8" t="s">
        <v>1750</v>
      </c>
      <c r="D832" s="12" t="s">
        <v>1751</v>
      </c>
      <c r="E832" s="10" t="str">
        <f aca="true">IFERROR(IF(INDEX(INDIRECT("'"&amp;$AI832&amp;"'!$E$2:$E$327"),MATCH($A832,INDIRECT("'"&amp;$AI832&amp;"'!$A$2:$A$327"),0))="","",INDEX(INDIRECT("'"&amp;$AI832&amp;"'!$E$2:$E$327"),MATCH($A832,INDIRECT("'"&amp;$AI832&amp;"'!$A$2:$A$327"),0))),"")</f>
        <v/>
      </c>
      <c r="F832" s="9" t="str">
        <f aca="false">IF($E832="","",IFERROR(INDEX(担当者マスタ!$B$2:$B$101,MATCH($E832,担当者マスタ!$A$2:$A$101,0)),"※マスタ未登録"))</f>
        <v/>
      </c>
      <c r="G832" s="11" t="n">
        <v>588.563</v>
      </c>
      <c r="H832" s="11" t="n">
        <v>727.055</v>
      </c>
      <c r="I832" s="11" t="n">
        <v>1301.243</v>
      </c>
      <c r="J832" s="11" t="n">
        <v>465.593</v>
      </c>
      <c r="K832" s="11" t="n">
        <v>482.218</v>
      </c>
      <c r="L832" s="11" t="n">
        <v>198.023</v>
      </c>
      <c r="M832" s="11" t="n">
        <f aca="false">SUM(G832:L832)</f>
        <v>3762.695</v>
      </c>
      <c r="N832" s="11" t="n">
        <v>83.019</v>
      </c>
      <c r="O832" s="11" t="n">
        <v>96.54</v>
      </c>
      <c r="P832" s="11" t="n">
        <v>170.921</v>
      </c>
      <c r="Q832" s="11" t="n">
        <v>69.132</v>
      </c>
      <c r="R832" s="11" t="n">
        <v>62.593</v>
      </c>
      <c r="S832" s="11" t="n">
        <v>18.41</v>
      </c>
      <c r="T832" s="11" t="n">
        <f aca="false">SUM(N832:S832)</f>
        <v>500.615</v>
      </c>
      <c r="U832" s="11" t="n">
        <v>3285.043</v>
      </c>
      <c r="V832" s="11" t="n">
        <v>3271.837</v>
      </c>
      <c r="W832" s="11" t="n">
        <v>4778.953</v>
      </c>
      <c r="X832" s="11" t="n">
        <v>1295.142</v>
      </c>
      <c r="Y832" s="11" t="n">
        <v>1512.318</v>
      </c>
      <c r="Z832" s="11" t="n">
        <v>2107.485</v>
      </c>
      <c r="AA832" s="11" t="n">
        <f aca="false">SUM(U832:Z832)</f>
        <v>16250.778</v>
      </c>
      <c r="AB832" s="11" t="n">
        <v>337.309</v>
      </c>
      <c r="AC832" s="11" t="n">
        <v>359.913</v>
      </c>
      <c r="AD832" s="11" t="n">
        <v>475.838</v>
      </c>
      <c r="AE832" s="11" t="n">
        <v>129.412</v>
      </c>
      <c r="AF832" s="11" t="n">
        <v>160.235</v>
      </c>
      <c r="AG832" s="11" t="n">
        <v>213.2</v>
      </c>
      <c r="AH832" s="11" t="n">
        <f aca="false">SUM(AB832:AG832)</f>
        <v>1675.907</v>
      </c>
      <c r="AI832" s="12" t="s">
        <v>955</v>
      </c>
    </row>
    <row r="833" customFormat="false" ht="15" hidden="false" customHeight="false" outlineLevel="0" collapsed="false">
      <c r="A833" s="8" t="s">
        <v>1772</v>
      </c>
      <c r="B833" s="12" t="s">
        <v>1773</v>
      </c>
      <c r="C833" s="8" t="s">
        <v>1750</v>
      </c>
      <c r="D833" s="12" t="s">
        <v>1751</v>
      </c>
      <c r="E833" s="10" t="str">
        <f aca="true">IFERROR(IF(INDEX(INDIRECT("'"&amp;$AI833&amp;"'!$E$2:$E$327"),MATCH($A833,INDIRECT("'"&amp;$AI833&amp;"'!$A$2:$A$327"),0))="","",INDEX(INDIRECT("'"&amp;$AI833&amp;"'!$E$2:$E$327"),MATCH($A833,INDIRECT("'"&amp;$AI833&amp;"'!$A$2:$A$327"),0))),"")</f>
        <v/>
      </c>
      <c r="F833" s="9" t="str">
        <f aca="false">IF($E833="","",IFERROR(INDEX(担当者マスタ!$B$2:$B$101,MATCH($E833,担当者マスタ!$A$2:$A$101,0)),"※マスタ未登録"))</f>
        <v/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19000</v>
      </c>
      <c r="L833" s="11" t="n">
        <v>0</v>
      </c>
      <c r="M833" s="11" t="n">
        <f aca="false">SUM(G833:L833)</f>
        <v>19000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4200</v>
      </c>
      <c r="S833" s="11" t="n">
        <v>0</v>
      </c>
      <c r="T833" s="11" t="n">
        <f aca="false">SUM(N833:S833)</f>
        <v>4200</v>
      </c>
      <c r="U833" s="11" t="n">
        <v>0</v>
      </c>
      <c r="V833" s="11" t="n">
        <v>11400</v>
      </c>
      <c r="W833" s="11" t="n">
        <v>0</v>
      </c>
      <c r="X833" s="11" t="n">
        <v>0</v>
      </c>
      <c r="Y833" s="11" t="n">
        <v>0</v>
      </c>
      <c r="Z833" s="11" t="n">
        <v>0</v>
      </c>
      <c r="AA833" s="11" t="n">
        <f aca="false">SUM(U833:Z833)</f>
        <v>11400</v>
      </c>
      <c r="AB833" s="11" t="n">
        <v>0</v>
      </c>
      <c r="AC833" s="11" t="n">
        <v>2150</v>
      </c>
      <c r="AD833" s="11" t="n">
        <v>0</v>
      </c>
      <c r="AE833" s="11" t="n">
        <v>0</v>
      </c>
      <c r="AF833" s="11" t="n">
        <v>0</v>
      </c>
      <c r="AG833" s="11" t="n">
        <v>0</v>
      </c>
      <c r="AH833" s="11" t="n">
        <f aca="false">SUM(AB833:AG833)</f>
        <v>2150</v>
      </c>
      <c r="AI833" s="12" t="s">
        <v>955</v>
      </c>
    </row>
    <row r="834" customFormat="false" ht="15" hidden="false" customHeight="false" outlineLevel="0" collapsed="false">
      <c r="A834" s="8" t="s">
        <v>1774</v>
      </c>
      <c r="B834" s="12" t="s">
        <v>1775</v>
      </c>
      <c r="C834" s="8" t="s">
        <v>1750</v>
      </c>
      <c r="D834" s="12" t="s">
        <v>1751</v>
      </c>
      <c r="E834" s="10" t="str">
        <f aca="true">IFERROR(IF(INDEX(INDIRECT("'"&amp;$AI834&amp;"'!$E$2:$E$327"),MATCH($A834,INDIRECT("'"&amp;$AI834&amp;"'!$A$2:$A$327"),0))="","",INDEX(INDIRECT("'"&amp;$AI834&amp;"'!$E$2:$E$327"),MATCH($A834,INDIRECT("'"&amp;$AI834&amp;"'!$A$2:$A$327"),0))),"")</f>
        <v/>
      </c>
      <c r="F834" s="9" t="str">
        <f aca="false">IF($E834="","",IFERROR(INDEX(担当者マスタ!$B$2:$B$101,MATCH($E834,担当者マスタ!$A$2:$A$101,0)),"※マスタ未登録"))</f>
        <v/>
      </c>
      <c r="G834" s="11" t="n">
        <v>2428.261</v>
      </c>
      <c r="H834" s="11" t="n">
        <v>2649.655</v>
      </c>
      <c r="I834" s="11" t="n">
        <v>3027.91</v>
      </c>
      <c r="J834" s="11" t="n">
        <v>1736.43</v>
      </c>
      <c r="K834" s="11" t="n">
        <v>1676.581</v>
      </c>
      <c r="L834" s="11" t="n">
        <v>1907.288</v>
      </c>
      <c r="M834" s="11" t="n">
        <f aca="false">SUM(G834:L834)</f>
        <v>13426.125</v>
      </c>
      <c r="N834" s="11" t="n">
        <v>381.339</v>
      </c>
      <c r="O834" s="11" t="n">
        <v>430.317</v>
      </c>
      <c r="P834" s="11" t="n">
        <v>499.015</v>
      </c>
      <c r="Q834" s="11" t="n">
        <v>229.602</v>
      </c>
      <c r="R834" s="11" t="n">
        <v>244.008</v>
      </c>
      <c r="S834" s="11" t="n">
        <v>292.09</v>
      </c>
      <c r="T834" s="11" t="n">
        <f aca="false">SUM(N834:S834)</f>
        <v>2076.371</v>
      </c>
      <c r="U834" s="11" t="n">
        <v>0</v>
      </c>
      <c r="V834" s="11" t="n">
        <v>1114</v>
      </c>
      <c r="W834" s="11" t="n">
        <v>2189.46</v>
      </c>
      <c r="X834" s="11" t="n">
        <v>1295.3</v>
      </c>
      <c r="Y834" s="11" t="n">
        <v>1479.005</v>
      </c>
      <c r="Z834" s="11" t="n">
        <v>2040.719</v>
      </c>
      <c r="AA834" s="11" t="n">
        <f aca="false">SUM(U834:Z834)</f>
        <v>8118.484</v>
      </c>
      <c r="AB834" s="11" t="n">
        <v>0</v>
      </c>
      <c r="AC834" s="11" t="n">
        <v>193.348</v>
      </c>
      <c r="AD834" s="11" t="n">
        <v>356.36</v>
      </c>
      <c r="AE834" s="11" t="n">
        <v>175.938</v>
      </c>
      <c r="AF834" s="11" t="n">
        <v>224.487</v>
      </c>
      <c r="AG834" s="11" t="n">
        <v>321.343</v>
      </c>
      <c r="AH834" s="11" t="n">
        <f aca="false">SUM(AB834:AG834)</f>
        <v>1271.476</v>
      </c>
      <c r="AI834" s="12" t="s">
        <v>955</v>
      </c>
    </row>
    <row r="835" customFormat="false" ht="15" hidden="false" customHeight="false" outlineLevel="0" collapsed="false">
      <c r="A835" s="8" t="s">
        <v>1776</v>
      </c>
      <c r="B835" s="12" t="s">
        <v>1777</v>
      </c>
      <c r="C835" s="8" t="s">
        <v>1750</v>
      </c>
      <c r="D835" s="12" t="s">
        <v>1751</v>
      </c>
      <c r="E835" s="10" t="str">
        <f aca="true">IFERROR(IF(INDEX(INDIRECT("'"&amp;$AI835&amp;"'!$E$2:$E$327"),MATCH($A835,INDIRECT("'"&amp;$AI835&amp;"'!$A$2:$A$327"),0))="","",INDEX(INDIRECT("'"&amp;$AI835&amp;"'!$E$2:$E$327"),MATCH($A835,INDIRECT("'"&amp;$AI835&amp;"'!$A$2:$A$327"),0))),"")</f>
        <v/>
      </c>
      <c r="F835" s="9" t="str">
        <f aca="false">IF($E835="","",IFERROR(INDEX(担当者マスタ!$B$2:$B$101,MATCH($E835,担当者マスタ!$A$2:$A$101,0)),"※マスタ未登録"))</f>
        <v/>
      </c>
      <c r="G835" s="11" t="n">
        <v>319.385</v>
      </c>
      <c r="H835" s="11" t="n">
        <v>174.98</v>
      </c>
      <c r="I835" s="11" t="n">
        <v>549.36</v>
      </c>
      <c r="J835" s="11" t="n">
        <v>174.475</v>
      </c>
      <c r="K835" s="11" t="n">
        <v>192.5</v>
      </c>
      <c r="L835" s="11" t="n">
        <v>209.285</v>
      </c>
      <c r="M835" s="11" t="n">
        <f aca="false">SUM(G835:L835)</f>
        <v>1619.985</v>
      </c>
      <c r="N835" s="11" t="n">
        <v>58.68</v>
      </c>
      <c r="O835" s="11" t="n">
        <v>39.43</v>
      </c>
      <c r="P835" s="11" t="n">
        <v>114.74</v>
      </c>
      <c r="Q835" s="11" t="n">
        <v>33.365</v>
      </c>
      <c r="R835" s="11" t="n">
        <v>32.45</v>
      </c>
      <c r="S835" s="11" t="n">
        <v>44.46</v>
      </c>
      <c r="T835" s="11" t="n">
        <f aca="false">SUM(N835:S835)</f>
        <v>323.125</v>
      </c>
      <c r="U835" s="11" t="n">
        <v>93.03</v>
      </c>
      <c r="V835" s="11" t="n">
        <v>157.76</v>
      </c>
      <c r="W835" s="11" t="n">
        <v>510.43</v>
      </c>
      <c r="X835" s="11" t="n">
        <v>104.8</v>
      </c>
      <c r="Y835" s="11" t="n">
        <v>96.05</v>
      </c>
      <c r="Z835" s="11" t="n">
        <v>83.25</v>
      </c>
      <c r="AA835" s="11" t="n">
        <f aca="false">SUM(U835:Z835)</f>
        <v>1045.32</v>
      </c>
      <c r="AB835" s="11" t="n">
        <v>11.47</v>
      </c>
      <c r="AC835" s="11" t="n">
        <v>35.11</v>
      </c>
      <c r="AD835" s="11" t="n">
        <v>100.69</v>
      </c>
      <c r="AE835" s="11" t="n">
        <v>19.5</v>
      </c>
      <c r="AF835" s="11" t="n">
        <v>19.285</v>
      </c>
      <c r="AG835" s="11" t="n">
        <v>16.925</v>
      </c>
      <c r="AH835" s="11" t="n">
        <f aca="false">SUM(AB835:AG835)</f>
        <v>202.98</v>
      </c>
      <c r="AI835" s="12" t="s">
        <v>955</v>
      </c>
    </row>
    <row r="836" customFormat="false" ht="15" hidden="false" customHeight="false" outlineLevel="0" collapsed="false">
      <c r="A836" s="8" t="s">
        <v>1778</v>
      </c>
      <c r="B836" s="12" t="s">
        <v>1779</v>
      </c>
      <c r="C836" s="8" t="s">
        <v>1750</v>
      </c>
      <c r="D836" s="12" t="s">
        <v>1751</v>
      </c>
      <c r="E836" s="10" t="str">
        <f aca="true">IFERROR(IF(INDEX(INDIRECT("'"&amp;$AI836&amp;"'!$E$2:$E$327"),MATCH($A836,INDIRECT("'"&amp;$AI836&amp;"'!$A$2:$A$327"),0))="","",INDEX(INDIRECT("'"&amp;$AI836&amp;"'!$E$2:$E$327"),MATCH($A836,INDIRECT("'"&amp;$AI836&amp;"'!$A$2:$A$327"),0))),"")</f>
        <v/>
      </c>
      <c r="F836" s="9" t="str">
        <f aca="false">IF($E836="","",IFERROR(INDEX(担当者マスタ!$B$2:$B$101,MATCH($E836,担当者マスタ!$A$2:$A$101,0)),"※マスタ未登録"))</f>
        <v/>
      </c>
      <c r="G836" s="11" t="n">
        <v>81.68</v>
      </c>
      <c r="H836" s="11" t="n">
        <v>159.18</v>
      </c>
      <c r="I836" s="11" t="n">
        <v>182.88</v>
      </c>
      <c r="J836" s="11" t="n">
        <v>115.69</v>
      </c>
      <c r="K836" s="11" t="n">
        <v>34.5</v>
      </c>
      <c r="L836" s="11" t="n">
        <v>-18</v>
      </c>
      <c r="M836" s="11" t="n">
        <f aca="false">SUM(G836:L836)</f>
        <v>555.93</v>
      </c>
      <c r="N836" s="11" t="n">
        <v>15.03</v>
      </c>
      <c r="O836" s="11" t="n">
        <v>30.28</v>
      </c>
      <c r="P836" s="11" t="n">
        <v>33.28</v>
      </c>
      <c r="Q836" s="11" t="n">
        <v>20.99</v>
      </c>
      <c r="R836" s="11" t="n">
        <v>5</v>
      </c>
      <c r="S836" s="11" t="n">
        <v>0</v>
      </c>
      <c r="T836" s="11" t="n">
        <f aca="false">SUM(N836:S836)</f>
        <v>104.58</v>
      </c>
      <c r="U836" s="11" t="n">
        <v>0</v>
      </c>
      <c r="V836" s="11" t="n">
        <v>394.32</v>
      </c>
      <c r="W836" s="11" t="n">
        <v>222.51</v>
      </c>
      <c r="X836" s="11" t="n">
        <v>0</v>
      </c>
      <c r="Y836" s="11" t="n">
        <v>0</v>
      </c>
      <c r="Z836" s="11" t="n">
        <v>0</v>
      </c>
      <c r="AA836" s="11" t="n">
        <f aca="false">SUM(U836:Z836)</f>
        <v>616.83</v>
      </c>
      <c r="AB836" s="11" t="n">
        <v>0</v>
      </c>
      <c r="AC836" s="11" t="n">
        <v>72.42</v>
      </c>
      <c r="AD836" s="11" t="n">
        <v>42.26</v>
      </c>
      <c r="AE836" s="11" t="n">
        <v>0</v>
      </c>
      <c r="AF836" s="11" t="n">
        <v>0</v>
      </c>
      <c r="AG836" s="11" t="n">
        <v>0</v>
      </c>
      <c r="AH836" s="11" t="n">
        <f aca="false">SUM(AB836:AG836)</f>
        <v>114.68</v>
      </c>
      <c r="AI836" s="12" t="s">
        <v>955</v>
      </c>
    </row>
    <row r="837" customFormat="false" ht="15" hidden="false" customHeight="false" outlineLevel="0" collapsed="false">
      <c r="A837" s="8" t="s">
        <v>1780</v>
      </c>
      <c r="B837" s="12" t="s">
        <v>1781</v>
      </c>
      <c r="C837" s="8" t="s">
        <v>1750</v>
      </c>
      <c r="D837" s="12" t="s">
        <v>1751</v>
      </c>
      <c r="E837" s="10" t="str">
        <f aca="true">IFERROR(IF(INDEX(INDIRECT("'"&amp;$AI837&amp;"'!$E$2:$E$327"),MATCH($A837,INDIRECT("'"&amp;$AI837&amp;"'!$A$2:$A$327"),0))="","",INDEX(INDIRECT("'"&amp;$AI837&amp;"'!$E$2:$E$327"),MATCH($A837,INDIRECT("'"&amp;$AI837&amp;"'!$A$2:$A$327"),0))),"")</f>
        <v/>
      </c>
      <c r="F837" s="9" t="str">
        <f aca="false">IF($E837="","",IFERROR(INDEX(担当者マスタ!$B$2:$B$101,MATCH($E837,担当者マスタ!$A$2:$A$101,0)),"※マスタ未登録"))</f>
        <v/>
      </c>
      <c r="G837" s="11" t="n">
        <v>0</v>
      </c>
      <c r="H837" s="11" t="n">
        <v>0</v>
      </c>
      <c r="I837" s="11" t="n">
        <v>0</v>
      </c>
      <c r="J837" s="11" t="n">
        <v>11000</v>
      </c>
      <c r="K837" s="11" t="n">
        <v>0</v>
      </c>
      <c r="L837" s="11" t="n">
        <v>0</v>
      </c>
      <c r="M837" s="11" t="n">
        <f aca="false">SUM(G837:L837)</f>
        <v>11000</v>
      </c>
      <c r="N837" s="11" t="n">
        <v>0</v>
      </c>
      <c r="O837" s="11" t="n">
        <v>0</v>
      </c>
      <c r="P837" s="11" t="n">
        <v>0</v>
      </c>
      <c r="Q837" s="11" t="n">
        <v>2140</v>
      </c>
      <c r="R837" s="11" t="n">
        <v>0</v>
      </c>
      <c r="S837" s="11" t="n">
        <v>0</v>
      </c>
      <c r="T837" s="11" t="n">
        <f aca="false">SUM(N837:S837)</f>
        <v>2140</v>
      </c>
      <c r="U837" s="11" t="n">
        <v>2630</v>
      </c>
      <c r="V837" s="11" t="n">
        <v>0</v>
      </c>
      <c r="W837" s="11" t="n">
        <v>0</v>
      </c>
      <c r="X837" s="11" t="n">
        <v>0</v>
      </c>
      <c r="Y837" s="11" t="n">
        <v>0</v>
      </c>
      <c r="Z837" s="11" t="n">
        <v>0</v>
      </c>
      <c r="AA837" s="11" t="n">
        <f aca="false">SUM(U837:Z837)</f>
        <v>2630</v>
      </c>
      <c r="AB837" s="11" t="n">
        <v>532</v>
      </c>
      <c r="AC837" s="11" t="n">
        <v>0</v>
      </c>
      <c r="AD837" s="11" t="n">
        <v>0</v>
      </c>
      <c r="AE837" s="11" t="n">
        <v>0</v>
      </c>
      <c r="AF837" s="11" t="n">
        <v>0</v>
      </c>
      <c r="AG837" s="11" t="n">
        <v>0</v>
      </c>
      <c r="AH837" s="11" t="n">
        <f aca="false">SUM(AB837:AG837)</f>
        <v>532</v>
      </c>
      <c r="AI837" s="12" t="s">
        <v>955</v>
      </c>
    </row>
    <row r="838" customFormat="false" ht="15" hidden="false" customHeight="false" outlineLevel="0" collapsed="false">
      <c r="A838" s="8" t="s">
        <v>1782</v>
      </c>
      <c r="B838" s="9" t="s">
        <v>1783</v>
      </c>
      <c r="C838" s="8" t="s">
        <v>1750</v>
      </c>
      <c r="D838" s="12" t="s">
        <v>1751</v>
      </c>
      <c r="E838" s="10" t="str">
        <f aca="true">IFERROR(IF(INDEX(INDIRECT("'"&amp;$AI838&amp;"'!$E$2:$E$327"),MATCH($A838,INDIRECT("'"&amp;$AI838&amp;"'!$A$2:$A$327"),0))="","",INDEX(INDIRECT("'"&amp;$AI838&amp;"'!$E$2:$E$327"),MATCH($A838,INDIRECT("'"&amp;$AI838&amp;"'!$A$2:$A$327"),0))),"")</f>
        <v/>
      </c>
      <c r="F838" s="9" t="str">
        <f aca="false">IF($E838="","",IFERROR(INDEX(担当者マスタ!$B$2:$B$101,MATCH($E838,担当者マスタ!$A$2:$A$101,0)),"※マスタ未登録"))</f>
        <v/>
      </c>
      <c r="G838" s="11" t="n">
        <v>48.95</v>
      </c>
      <c r="H838" s="11" t="n">
        <v>81.88</v>
      </c>
      <c r="I838" s="11" t="n">
        <v>66.525</v>
      </c>
      <c r="J838" s="11" t="n">
        <v>59.755</v>
      </c>
      <c r="K838" s="11" t="n">
        <v>122.87</v>
      </c>
      <c r="L838" s="11" t="n">
        <v>154.528</v>
      </c>
      <c r="M838" s="11" t="n">
        <f aca="false">SUM(G838:L838)</f>
        <v>534.508</v>
      </c>
      <c r="N838" s="11" t="n">
        <v>12.63</v>
      </c>
      <c r="O838" s="11" t="n">
        <v>21.874</v>
      </c>
      <c r="P838" s="11" t="n">
        <v>18.135</v>
      </c>
      <c r="Q838" s="11" t="n">
        <v>16.155</v>
      </c>
      <c r="R838" s="11" t="n">
        <v>39.965</v>
      </c>
      <c r="S838" s="11" t="n">
        <v>47.829</v>
      </c>
      <c r="T838" s="11" t="n">
        <f aca="false">SUM(N838:S838)</f>
        <v>156.588</v>
      </c>
      <c r="U838" s="11" t="n">
        <v>55.88</v>
      </c>
      <c r="V838" s="11" t="n">
        <v>68.75</v>
      </c>
      <c r="W838" s="11" t="n">
        <v>59.93</v>
      </c>
      <c r="X838" s="11" t="n">
        <v>28.45</v>
      </c>
      <c r="Y838" s="11" t="n">
        <v>62.2</v>
      </c>
      <c r="Z838" s="11" t="n">
        <v>141.02</v>
      </c>
      <c r="AA838" s="11" t="n">
        <f aca="false">SUM(U838:Z838)</f>
        <v>416.23</v>
      </c>
      <c r="AB838" s="11" t="n">
        <v>14.6</v>
      </c>
      <c r="AC838" s="11" t="n">
        <v>19.23</v>
      </c>
      <c r="AD838" s="11" t="n">
        <v>16.28</v>
      </c>
      <c r="AE838" s="11" t="n">
        <v>8.25</v>
      </c>
      <c r="AF838" s="11" t="n">
        <v>16.14</v>
      </c>
      <c r="AG838" s="11" t="n">
        <v>44.415</v>
      </c>
      <c r="AH838" s="11" t="n">
        <f aca="false">SUM(AB838:AG838)</f>
        <v>118.915</v>
      </c>
      <c r="AI838" s="12" t="s">
        <v>955</v>
      </c>
    </row>
    <row r="839" customFormat="false" ht="15" hidden="false" customHeight="false" outlineLevel="0" collapsed="false">
      <c r="A839" s="8" t="s">
        <v>1784</v>
      </c>
      <c r="B839" s="12" t="s">
        <v>1785</v>
      </c>
      <c r="C839" s="8" t="s">
        <v>1750</v>
      </c>
      <c r="D839" s="12" t="s">
        <v>1751</v>
      </c>
      <c r="E839" s="10" t="str">
        <f aca="true">IFERROR(IF(INDEX(INDIRECT("'"&amp;$AI839&amp;"'!$E$2:$E$327"),MATCH($A839,INDIRECT("'"&amp;$AI839&amp;"'!$A$2:$A$327"),0))="","",INDEX(INDIRECT("'"&amp;$AI839&amp;"'!$E$2:$E$327"),MATCH($A839,INDIRECT("'"&amp;$AI839&amp;"'!$A$2:$A$327"),0))),"")</f>
        <v/>
      </c>
      <c r="F839" s="9" t="str">
        <f aca="false">IF($E839="","",IFERROR(INDEX(担当者マスタ!$B$2:$B$101,MATCH($E839,担当者マスタ!$A$2:$A$101,0)),"※マスタ未登録"))</f>
        <v/>
      </c>
      <c r="G839" s="11" t="n">
        <v>117.81</v>
      </c>
      <c r="H839" s="11" t="n">
        <v>67.7</v>
      </c>
      <c r="I839" s="11" t="n">
        <v>109.56</v>
      </c>
      <c r="J839" s="11" t="n">
        <v>67.155</v>
      </c>
      <c r="K839" s="11" t="n">
        <v>107.01</v>
      </c>
      <c r="L839" s="11" t="n">
        <v>84.055</v>
      </c>
      <c r="M839" s="11" t="n">
        <f aca="false">SUM(G839:L839)</f>
        <v>553.29</v>
      </c>
      <c r="N839" s="11" t="n">
        <v>39.999</v>
      </c>
      <c r="O839" s="11" t="n">
        <v>24.32</v>
      </c>
      <c r="P839" s="11" t="n">
        <v>36.178</v>
      </c>
      <c r="Q839" s="11" t="n">
        <v>23.598</v>
      </c>
      <c r="R839" s="11" t="n">
        <v>38.275</v>
      </c>
      <c r="S839" s="11" t="n">
        <v>30.312</v>
      </c>
      <c r="T839" s="11" t="n">
        <f aca="false">SUM(N839:S839)</f>
        <v>192.682</v>
      </c>
      <c r="U839" s="11" t="n">
        <v>127.785</v>
      </c>
      <c r="V839" s="11" t="n">
        <v>76.745</v>
      </c>
      <c r="W839" s="11" t="n">
        <v>151.855</v>
      </c>
      <c r="X839" s="11" t="n">
        <v>63.26</v>
      </c>
      <c r="Y839" s="11" t="n">
        <v>108.825</v>
      </c>
      <c r="Z839" s="11" t="n">
        <v>111.45</v>
      </c>
      <c r="AA839" s="11" t="n">
        <f aca="false">SUM(U839:Z839)</f>
        <v>639.92</v>
      </c>
      <c r="AB839" s="11" t="n">
        <v>43.325</v>
      </c>
      <c r="AC839" s="11" t="n">
        <v>24.838</v>
      </c>
      <c r="AD839" s="11" t="n">
        <v>46.625</v>
      </c>
      <c r="AE839" s="11" t="n">
        <v>18.266</v>
      </c>
      <c r="AF839" s="11" t="n">
        <v>36.936</v>
      </c>
      <c r="AG839" s="11" t="n">
        <v>37.193</v>
      </c>
      <c r="AH839" s="11" t="n">
        <f aca="false">SUM(AB839:AG839)</f>
        <v>207.183</v>
      </c>
      <c r="AI839" s="12" t="s">
        <v>955</v>
      </c>
    </row>
    <row r="840" customFormat="false" ht="15" hidden="false" customHeight="false" outlineLevel="0" collapsed="false">
      <c r="A840" s="8" t="s">
        <v>1786</v>
      </c>
      <c r="B840" s="12" t="s">
        <v>1787</v>
      </c>
      <c r="C840" s="8" t="s">
        <v>1750</v>
      </c>
      <c r="D840" s="12" t="s">
        <v>1751</v>
      </c>
      <c r="E840" s="10" t="str">
        <f aca="true">IFERROR(IF(INDEX(INDIRECT("'"&amp;$AI840&amp;"'!$E$2:$E$327"),MATCH($A840,INDIRECT("'"&amp;$AI840&amp;"'!$A$2:$A$327"),0))="","",INDEX(INDIRECT("'"&amp;$AI840&amp;"'!$E$2:$E$327"),MATCH($A840,INDIRECT("'"&amp;$AI840&amp;"'!$A$2:$A$327"),0))),"")</f>
        <v/>
      </c>
      <c r="F840" s="9" t="str">
        <f aca="false">IF($E840="","",IFERROR(INDEX(担当者マスタ!$B$2:$B$101,MATCH($E840,担当者マスタ!$A$2:$A$101,0)),"※マスタ未登録"))</f>
        <v/>
      </c>
      <c r="G840" s="11" t="n">
        <v>274.9</v>
      </c>
      <c r="H840" s="11" t="n">
        <v>407.42</v>
      </c>
      <c r="I840" s="11" t="n">
        <v>186.32</v>
      </c>
      <c r="J840" s="11" t="n">
        <v>1014.04</v>
      </c>
      <c r="K840" s="11" t="n">
        <v>210.815</v>
      </c>
      <c r="L840" s="11" t="n">
        <v>263.57</v>
      </c>
      <c r="M840" s="11" t="n">
        <f aca="false">SUM(G840:L840)</f>
        <v>2357.065</v>
      </c>
      <c r="N840" s="11" t="n">
        <v>39.54</v>
      </c>
      <c r="O840" s="11" t="n">
        <v>58.38</v>
      </c>
      <c r="P840" s="11" t="n">
        <v>26.64</v>
      </c>
      <c r="Q840" s="11" t="n">
        <v>190.81</v>
      </c>
      <c r="R840" s="11" t="n">
        <v>33.625</v>
      </c>
      <c r="S840" s="11" t="n">
        <v>41.94</v>
      </c>
      <c r="T840" s="11" t="n">
        <f aca="false">SUM(N840:S840)</f>
        <v>390.935</v>
      </c>
      <c r="U840" s="11" t="n">
        <v>348.4</v>
      </c>
      <c r="V840" s="11" t="n">
        <v>303.115</v>
      </c>
      <c r="W840" s="11" t="n">
        <v>340.24</v>
      </c>
      <c r="X840" s="11" t="n">
        <v>382.58</v>
      </c>
      <c r="Y840" s="11" t="n">
        <v>310.38</v>
      </c>
      <c r="Z840" s="11" t="n">
        <v>307.6</v>
      </c>
      <c r="AA840" s="11" t="n">
        <f aca="false">SUM(U840:Z840)</f>
        <v>1992.315</v>
      </c>
      <c r="AB840" s="11" t="n">
        <v>54.04</v>
      </c>
      <c r="AC840" s="11" t="n">
        <v>47.045</v>
      </c>
      <c r="AD840" s="11" t="n">
        <v>52.72</v>
      </c>
      <c r="AE840" s="11" t="n">
        <v>62.6</v>
      </c>
      <c r="AF840" s="11" t="n">
        <v>50.4</v>
      </c>
      <c r="AG840" s="11" t="n">
        <v>47.44</v>
      </c>
      <c r="AH840" s="11" t="n">
        <f aca="false">SUM(AB840:AG840)</f>
        <v>314.245</v>
      </c>
      <c r="AI840" s="12" t="s">
        <v>955</v>
      </c>
    </row>
    <row r="841" customFormat="false" ht="15" hidden="false" customHeight="false" outlineLevel="0" collapsed="false">
      <c r="A841" s="8" t="s">
        <v>1788</v>
      </c>
      <c r="B841" s="12" t="s">
        <v>1789</v>
      </c>
      <c r="C841" s="8" t="s">
        <v>1750</v>
      </c>
      <c r="D841" s="12" t="s">
        <v>1751</v>
      </c>
      <c r="E841" s="10" t="str">
        <f aca="true">IFERROR(IF(INDEX(INDIRECT("'"&amp;$AI841&amp;"'!$E$2:$E$327"),MATCH($A841,INDIRECT("'"&amp;$AI841&amp;"'!$A$2:$A$327"),0))="","",INDEX(INDIRECT("'"&amp;$AI841&amp;"'!$E$2:$E$327"),MATCH($A841,INDIRECT("'"&amp;$AI841&amp;"'!$A$2:$A$327"),0))),"")</f>
        <v/>
      </c>
      <c r="F841" s="9" t="str">
        <f aca="false">IF($E841="","",IFERROR(INDEX(担当者マスタ!$B$2:$B$101,MATCH($E841,担当者マスタ!$A$2:$A$101,0)),"※マスタ未登録"))</f>
        <v/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12.12</v>
      </c>
      <c r="L841" s="11" t="n">
        <v>0</v>
      </c>
      <c r="M841" s="11" t="n">
        <f aca="false">SUM(G841:L841)</f>
        <v>12.12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2.52</v>
      </c>
      <c r="S841" s="11" t="n">
        <v>0</v>
      </c>
      <c r="T841" s="11" t="n">
        <f aca="false">SUM(N841:S841)</f>
        <v>2.52</v>
      </c>
      <c r="U841" s="11" t="n">
        <v>12.12</v>
      </c>
      <c r="V841" s="11" t="n">
        <v>0</v>
      </c>
      <c r="W841" s="11" t="n">
        <v>0</v>
      </c>
      <c r="X841" s="11" t="n">
        <v>0</v>
      </c>
      <c r="Y841" s="11" t="n">
        <v>0</v>
      </c>
      <c r="Z841" s="11" t="n">
        <v>0</v>
      </c>
      <c r="AA841" s="11" t="n">
        <f aca="false">SUM(U841:Z841)</f>
        <v>12.12</v>
      </c>
      <c r="AB841" s="11" t="n">
        <v>2.52</v>
      </c>
      <c r="AC841" s="11" t="n">
        <v>0</v>
      </c>
      <c r="AD841" s="11" t="n">
        <v>0</v>
      </c>
      <c r="AE841" s="11" t="n">
        <v>0</v>
      </c>
      <c r="AF841" s="11" t="n">
        <v>0</v>
      </c>
      <c r="AG841" s="11" t="n">
        <v>0</v>
      </c>
      <c r="AH841" s="11" t="n">
        <f aca="false">SUM(AB841:AG841)</f>
        <v>2.52</v>
      </c>
      <c r="AI841" s="12" t="s">
        <v>955</v>
      </c>
    </row>
    <row r="842" customFormat="false" ht="15" hidden="false" customHeight="false" outlineLevel="0" collapsed="false">
      <c r="A842" s="8" t="s">
        <v>1790</v>
      </c>
      <c r="B842" s="12" t="s">
        <v>1791</v>
      </c>
      <c r="C842" s="8" t="s">
        <v>1750</v>
      </c>
      <c r="D842" s="12" t="s">
        <v>1751</v>
      </c>
      <c r="E842" s="10" t="str">
        <f aca="true">IFERROR(IF(INDEX(INDIRECT("'"&amp;$AI842&amp;"'!$E$2:$E$327"),MATCH($A842,INDIRECT("'"&amp;$AI842&amp;"'!$A$2:$A$327"),0))="","",INDEX(INDIRECT("'"&amp;$AI842&amp;"'!$E$2:$E$327"),MATCH($A842,INDIRECT("'"&amp;$AI842&amp;"'!$A$2:$A$327"),0))),"")</f>
        <v/>
      </c>
      <c r="F842" s="9" t="str">
        <f aca="false">IF($E842="","",IFERROR(INDEX(担当者マスタ!$B$2:$B$101,MATCH($E842,担当者マスタ!$A$2:$A$101,0)),"※マスタ未登録"))</f>
        <v/>
      </c>
      <c r="G842" s="11" t="n">
        <v>2796.419</v>
      </c>
      <c r="H842" s="11" t="n">
        <v>2656.071</v>
      </c>
      <c r="I842" s="11" t="n">
        <v>2000.086</v>
      </c>
      <c r="J842" s="11" t="n">
        <v>1744.706</v>
      </c>
      <c r="K842" s="11" t="n">
        <v>1234.484</v>
      </c>
      <c r="L842" s="11" t="n">
        <v>1543.167</v>
      </c>
      <c r="M842" s="11" t="n">
        <f aca="false">SUM(G842:L842)</f>
        <v>11974.933</v>
      </c>
      <c r="N842" s="11" t="n">
        <v>500.458</v>
      </c>
      <c r="O842" s="11" t="n">
        <v>538.704</v>
      </c>
      <c r="P842" s="11" t="n">
        <v>386.719</v>
      </c>
      <c r="Q842" s="11" t="n">
        <v>335.533</v>
      </c>
      <c r="R842" s="11" t="n">
        <v>256.621</v>
      </c>
      <c r="S842" s="11" t="n">
        <v>323.43</v>
      </c>
      <c r="T842" s="11" t="n">
        <f aca="false">SUM(N842:S842)</f>
        <v>2341.465</v>
      </c>
      <c r="U842" s="11" t="n">
        <v>2726.543</v>
      </c>
      <c r="V842" s="11" t="n">
        <v>1710.19</v>
      </c>
      <c r="W842" s="11" t="n">
        <v>2335.069</v>
      </c>
      <c r="X842" s="11" t="n">
        <v>1378.09</v>
      </c>
      <c r="Y842" s="11" t="n">
        <v>2116.256</v>
      </c>
      <c r="Z842" s="11" t="n">
        <v>1679.986</v>
      </c>
      <c r="AA842" s="11" t="n">
        <f aca="false">SUM(U842:Z842)</f>
        <v>11946.134</v>
      </c>
      <c r="AB842" s="11" t="n">
        <v>490.847</v>
      </c>
      <c r="AC842" s="11" t="n">
        <v>336.952</v>
      </c>
      <c r="AD842" s="11" t="n">
        <v>505.982</v>
      </c>
      <c r="AE842" s="11" t="n">
        <v>267.31</v>
      </c>
      <c r="AF842" s="11" t="n">
        <v>428.184</v>
      </c>
      <c r="AG842" s="11" t="n">
        <v>345.295</v>
      </c>
      <c r="AH842" s="11" t="n">
        <f aca="false">SUM(AB842:AG842)</f>
        <v>2374.57</v>
      </c>
      <c r="AI842" s="12" t="s">
        <v>955</v>
      </c>
    </row>
    <row r="843" customFormat="false" ht="15" hidden="false" customHeight="false" outlineLevel="0" collapsed="false">
      <c r="A843" s="8" t="s">
        <v>1792</v>
      </c>
      <c r="B843" s="9" t="s">
        <v>1793</v>
      </c>
      <c r="C843" s="8" t="s">
        <v>1750</v>
      </c>
      <c r="D843" s="12" t="s">
        <v>1751</v>
      </c>
      <c r="E843" s="10" t="str">
        <f aca="true">IFERROR(IF(INDEX(INDIRECT("'"&amp;$AI843&amp;"'!$E$2:$E$327"),MATCH($A843,INDIRECT("'"&amp;$AI843&amp;"'!$A$2:$A$327"),0))="","",INDEX(INDIRECT("'"&amp;$AI843&amp;"'!$E$2:$E$327"),MATCH($A843,INDIRECT("'"&amp;$AI843&amp;"'!$A$2:$A$327"),0))),"")</f>
        <v/>
      </c>
      <c r="F843" s="9" t="str">
        <f aca="false">IF($E843="","",IFERROR(INDEX(担当者マスタ!$B$2:$B$101,MATCH($E843,担当者マスタ!$A$2:$A$101,0)),"※マスタ未登録"))</f>
        <v/>
      </c>
      <c r="G843" s="11" t="n">
        <v>14.6</v>
      </c>
      <c r="H843" s="11" t="n">
        <v>66.617</v>
      </c>
      <c r="I843" s="11" t="n">
        <v>123.93</v>
      </c>
      <c r="J843" s="11" t="n">
        <v>4.1</v>
      </c>
      <c r="K843" s="11" t="n">
        <v>12</v>
      </c>
      <c r="L843" s="11" t="n">
        <v>2.6</v>
      </c>
      <c r="M843" s="11" t="n">
        <f aca="false">SUM(G843:L843)</f>
        <v>223.847</v>
      </c>
      <c r="N843" s="11" t="n">
        <v>3.41</v>
      </c>
      <c r="O843" s="11" t="n">
        <v>16.266</v>
      </c>
      <c r="P843" s="11" t="n">
        <v>32.549</v>
      </c>
      <c r="Q843" s="11" t="n">
        <v>1.53</v>
      </c>
      <c r="R843" s="11" t="n">
        <v>2.76</v>
      </c>
      <c r="S843" s="11" t="n">
        <v>0.77</v>
      </c>
      <c r="T843" s="11" t="n">
        <f aca="false">SUM(N843:S843)</f>
        <v>57.285</v>
      </c>
      <c r="U843" s="11" t="n">
        <v>84.402</v>
      </c>
      <c r="V843" s="11" t="n">
        <v>44.075</v>
      </c>
      <c r="W843" s="11" t="n">
        <v>71.78</v>
      </c>
      <c r="X843" s="11" t="n">
        <v>21.33</v>
      </c>
      <c r="Y843" s="11" t="n">
        <v>2.6</v>
      </c>
      <c r="Z843" s="11" t="n">
        <v>73.3</v>
      </c>
      <c r="AA843" s="11" t="n">
        <f aca="false">SUM(U843:Z843)</f>
        <v>297.487</v>
      </c>
      <c r="AB843" s="11" t="n">
        <v>19.004</v>
      </c>
      <c r="AC843" s="11" t="n">
        <v>13.98</v>
      </c>
      <c r="AD843" s="11" t="n">
        <v>17.328</v>
      </c>
      <c r="AE843" s="11" t="n">
        <v>4.239</v>
      </c>
      <c r="AF843" s="11" t="n">
        <v>0.77</v>
      </c>
      <c r="AG843" s="11" t="n">
        <v>18.62</v>
      </c>
      <c r="AH843" s="11" t="n">
        <f aca="false">SUM(AB843:AG843)</f>
        <v>73.941</v>
      </c>
      <c r="AI843" s="12" t="s">
        <v>955</v>
      </c>
    </row>
    <row r="844" customFormat="false" ht="15" hidden="false" customHeight="false" outlineLevel="0" collapsed="false">
      <c r="A844" s="8" t="s">
        <v>1794</v>
      </c>
      <c r="B844" s="9" t="s">
        <v>1795</v>
      </c>
      <c r="C844" s="8" t="s">
        <v>1750</v>
      </c>
      <c r="D844" s="12" t="s">
        <v>1751</v>
      </c>
      <c r="E844" s="10" t="str">
        <f aca="true">IFERROR(IF(INDEX(INDIRECT("'"&amp;$AI844&amp;"'!$E$2:$E$327"),MATCH($A844,INDIRECT("'"&amp;$AI844&amp;"'!$A$2:$A$327"),0))="","",INDEX(INDIRECT("'"&amp;$AI844&amp;"'!$E$2:$E$327"),MATCH($A844,INDIRECT("'"&amp;$AI844&amp;"'!$A$2:$A$327"),0))),"")</f>
        <v/>
      </c>
      <c r="F844" s="9" t="str">
        <f aca="false">IF($E844="","",IFERROR(INDEX(担当者マスタ!$B$2:$B$101,MATCH($E844,担当者マスタ!$A$2:$A$101,0)),"※マスタ未登録"))</f>
        <v/>
      </c>
      <c r="G844" s="11" t="n">
        <v>6.2</v>
      </c>
      <c r="H844" s="11" t="n">
        <v>0</v>
      </c>
      <c r="I844" s="11" t="n">
        <v>4.45</v>
      </c>
      <c r="J844" s="11" t="n">
        <v>0</v>
      </c>
      <c r="K844" s="11" t="n">
        <v>0</v>
      </c>
      <c r="L844" s="11" t="n">
        <v>12.284</v>
      </c>
      <c r="M844" s="11" t="n">
        <f aca="false">SUM(G844:L844)</f>
        <v>22.934</v>
      </c>
      <c r="N844" s="11" t="n">
        <v>1.51</v>
      </c>
      <c r="O844" s="11" t="n">
        <v>0</v>
      </c>
      <c r="P844" s="11" t="n">
        <v>1.07</v>
      </c>
      <c r="Q844" s="11" t="n">
        <v>0</v>
      </c>
      <c r="R844" s="11" t="n">
        <v>0</v>
      </c>
      <c r="S844" s="11" t="n">
        <v>3.19</v>
      </c>
      <c r="T844" s="11" t="n">
        <f aca="false">SUM(N844:S844)</f>
        <v>5.77</v>
      </c>
      <c r="U844" s="11" t="n">
        <v>137.7</v>
      </c>
      <c r="V844" s="11" t="n">
        <v>0</v>
      </c>
      <c r="W844" s="11" t="n">
        <v>11.433</v>
      </c>
      <c r="X844" s="11" t="n">
        <v>0</v>
      </c>
      <c r="Y844" s="11" t="n">
        <v>0</v>
      </c>
      <c r="Z844" s="11" t="n">
        <v>7.25</v>
      </c>
      <c r="AA844" s="11" t="n">
        <f aca="false">SUM(U844:Z844)</f>
        <v>156.383</v>
      </c>
      <c r="AB844" s="11" t="n">
        <v>15.7</v>
      </c>
      <c r="AC844" s="11" t="n">
        <v>0</v>
      </c>
      <c r="AD844" s="11" t="n">
        <v>3.189</v>
      </c>
      <c r="AE844" s="11" t="n">
        <v>0</v>
      </c>
      <c r="AF844" s="11" t="n">
        <v>0</v>
      </c>
      <c r="AG844" s="11" t="n">
        <v>2.045</v>
      </c>
      <c r="AH844" s="11" t="n">
        <f aca="false">SUM(AB844:AG844)</f>
        <v>20.934</v>
      </c>
      <c r="AI844" s="12" t="s">
        <v>955</v>
      </c>
    </row>
    <row r="845" customFormat="false" ht="15" hidden="false" customHeight="false" outlineLevel="0" collapsed="false">
      <c r="A845" s="8" t="s">
        <v>1796</v>
      </c>
      <c r="B845" s="12" t="s">
        <v>1797</v>
      </c>
      <c r="C845" s="8" t="s">
        <v>1750</v>
      </c>
      <c r="D845" s="12" t="s">
        <v>1751</v>
      </c>
      <c r="E845" s="10" t="str">
        <f aca="true">IFERROR(IF(INDEX(INDIRECT("'"&amp;$AI845&amp;"'!$E$2:$E$327"),MATCH($A845,INDIRECT("'"&amp;$AI845&amp;"'!$A$2:$A$327"),0))="","",INDEX(INDIRECT("'"&amp;$AI845&amp;"'!$E$2:$E$327"),MATCH($A845,INDIRECT("'"&amp;$AI845&amp;"'!$A$2:$A$327"),0))),"")</f>
        <v/>
      </c>
      <c r="F845" s="9" t="str">
        <f aca="false">IF($E845="","",IFERROR(INDEX(担当者マスタ!$B$2:$B$101,MATCH($E845,担当者マスタ!$A$2:$A$101,0)),"※マスタ未登録"))</f>
        <v/>
      </c>
      <c r="G845" s="11" t="n">
        <v>218.099</v>
      </c>
      <c r="H845" s="11" t="n">
        <v>191.049</v>
      </c>
      <c r="I845" s="11" t="n">
        <v>112.906</v>
      </c>
      <c r="J845" s="11" t="n">
        <v>104.896</v>
      </c>
      <c r="K845" s="11" t="n">
        <v>47.194</v>
      </c>
      <c r="L845" s="11" t="n">
        <v>85.985</v>
      </c>
      <c r="M845" s="11" t="n">
        <f aca="false">SUM(G845:L845)</f>
        <v>760.129</v>
      </c>
      <c r="N845" s="11" t="n">
        <v>65.546</v>
      </c>
      <c r="O845" s="11" t="n">
        <v>52.257</v>
      </c>
      <c r="P845" s="11" t="n">
        <v>30.298</v>
      </c>
      <c r="Q845" s="11" t="n">
        <v>30.17</v>
      </c>
      <c r="R845" s="11" t="n">
        <v>12.567</v>
      </c>
      <c r="S845" s="11" t="n">
        <v>25.471</v>
      </c>
      <c r="T845" s="11" t="n">
        <f aca="false">SUM(N845:S845)</f>
        <v>216.309</v>
      </c>
      <c r="U845" s="11" t="n">
        <v>184.666</v>
      </c>
      <c r="V845" s="11" t="n">
        <v>222.072</v>
      </c>
      <c r="W845" s="11" t="n">
        <v>33.84</v>
      </c>
      <c r="X845" s="11" t="n">
        <v>58.645</v>
      </c>
      <c r="Y845" s="11" t="n">
        <v>22.03</v>
      </c>
      <c r="Z845" s="11" t="n">
        <v>59.72</v>
      </c>
      <c r="AA845" s="11" t="n">
        <f aca="false">SUM(U845:Z845)</f>
        <v>580.973</v>
      </c>
      <c r="AB845" s="11" t="n">
        <v>48.977</v>
      </c>
      <c r="AC845" s="11" t="n">
        <v>61.684</v>
      </c>
      <c r="AD845" s="11" t="n">
        <v>9.749</v>
      </c>
      <c r="AE845" s="11" t="n">
        <v>16.475</v>
      </c>
      <c r="AF845" s="11" t="n">
        <v>5.14</v>
      </c>
      <c r="AG845" s="11" t="n">
        <v>17.806</v>
      </c>
      <c r="AH845" s="11" t="n">
        <f aca="false">SUM(AB845:AG845)</f>
        <v>159.831</v>
      </c>
      <c r="AI845" s="12" t="s">
        <v>955</v>
      </c>
    </row>
    <row r="846" customFormat="false" ht="15" hidden="false" customHeight="false" outlineLevel="0" collapsed="false">
      <c r="A846" s="8" t="s">
        <v>1798</v>
      </c>
      <c r="B846" s="12" t="s">
        <v>1799</v>
      </c>
      <c r="C846" s="8" t="s">
        <v>1750</v>
      </c>
      <c r="D846" s="12" t="s">
        <v>1751</v>
      </c>
      <c r="E846" s="10" t="str">
        <f aca="true">IFERROR(IF(INDEX(INDIRECT("'"&amp;$AI846&amp;"'!$E$2:$E$327"),MATCH($A846,INDIRECT("'"&amp;$AI846&amp;"'!$A$2:$A$327"),0))="","",INDEX(INDIRECT("'"&amp;$AI846&amp;"'!$E$2:$E$327"),MATCH($A846,INDIRECT("'"&amp;$AI846&amp;"'!$A$2:$A$327"),0))),"")</f>
        <v/>
      </c>
      <c r="F846" s="9" t="str">
        <f aca="false">IF($E846="","",IFERROR(INDEX(担当者マスタ!$B$2:$B$101,MATCH($E846,担当者マスタ!$A$2:$A$101,0)),"※マスタ未登録"))</f>
        <v/>
      </c>
      <c r="G846" s="11" t="n">
        <v>30.9</v>
      </c>
      <c r="H846" s="11" t="n">
        <v>92.68</v>
      </c>
      <c r="I846" s="11" t="n">
        <v>165.22</v>
      </c>
      <c r="J846" s="11" t="n">
        <v>99.53</v>
      </c>
      <c r="K846" s="11" t="n">
        <v>180.43</v>
      </c>
      <c r="L846" s="11" t="n">
        <v>203.18</v>
      </c>
      <c r="M846" s="11" t="n">
        <f aca="false">SUM(G846:L846)</f>
        <v>771.94</v>
      </c>
      <c r="N846" s="11" t="n">
        <v>8.088</v>
      </c>
      <c r="O846" s="11" t="n">
        <v>23.524</v>
      </c>
      <c r="P846" s="11" t="n">
        <v>42.009</v>
      </c>
      <c r="Q846" s="11" t="n">
        <v>24.09</v>
      </c>
      <c r="R846" s="11" t="n">
        <v>43.864</v>
      </c>
      <c r="S846" s="11" t="n">
        <v>48.52</v>
      </c>
      <c r="T846" s="11" t="n">
        <f aca="false">SUM(N846:S846)</f>
        <v>190.095</v>
      </c>
      <c r="U846" s="11" t="n">
        <v>100.29</v>
      </c>
      <c r="V846" s="11" t="n">
        <v>115.24</v>
      </c>
      <c r="W846" s="11" t="n">
        <v>192.36</v>
      </c>
      <c r="X846" s="11" t="n">
        <v>49.74</v>
      </c>
      <c r="Y846" s="11" t="n">
        <v>205.67</v>
      </c>
      <c r="Z846" s="11" t="n">
        <v>278.58</v>
      </c>
      <c r="AA846" s="11" t="n">
        <f aca="false">SUM(U846:Z846)</f>
        <v>941.88</v>
      </c>
      <c r="AB846" s="11" t="n">
        <v>23.725</v>
      </c>
      <c r="AC846" s="11" t="n">
        <v>27.32</v>
      </c>
      <c r="AD846" s="11" t="n">
        <v>52.53</v>
      </c>
      <c r="AE846" s="11" t="n">
        <v>11.82</v>
      </c>
      <c r="AF846" s="11" t="n">
        <v>50.89</v>
      </c>
      <c r="AG846" s="11" t="n">
        <v>64.26</v>
      </c>
      <c r="AH846" s="11" t="n">
        <f aca="false">SUM(AB846:AG846)</f>
        <v>230.545</v>
      </c>
      <c r="AI846" s="12" t="s">
        <v>955</v>
      </c>
    </row>
    <row r="847" customFormat="false" ht="15" hidden="false" customHeight="false" outlineLevel="0" collapsed="false">
      <c r="A847" s="8" t="s">
        <v>1800</v>
      </c>
      <c r="B847" s="9" t="s">
        <v>1801</v>
      </c>
      <c r="C847" s="8" t="s">
        <v>1750</v>
      </c>
      <c r="D847" s="12" t="s">
        <v>1751</v>
      </c>
      <c r="E847" s="10" t="str">
        <f aca="true">IFERROR(IF(INDEX(INDIRECT("'"&amp;$AI847&amp;"'!$E$2:$E$327"),MATCH($A847,INDIRECT("'"&amp;$AI847&amp;"'!$A$2:$A$327"),0))="","",INDEX(INDIRECT("'"&amp;$AI847&amp;"'!$E$2:$E$327"),MATCH($A847,INDIRECT("'"&amp;$AI847&amp;"'!$A$2:$A$327"),0))),"")</f>
        <v/>
      </c>
      <c r="F847" s="9" t="str">
        <f aca="false">IF($E847="","",IFERROR(INDEX(担当者マスタ!$B$2:$B$101,MATCH($E847,担当者マスタ!$A$2:$A$101,0)),"※マスタ未登録"))</f>
        <v/>
      </c>
      <c r="G847" s="11" t="n">
        <v>6.3</v>
      </c>
      <c r="H847" s="11" t="n">
        <v>0</v>
      </c>
      <c r="I847" s="11" t="n">
        <v>0</v>
      </c>
      <c r="J847" s="11" t="n">
        <v>15.3</v>
      </c>
      <c r="K847" s="11" t="n">
        <v>0</v>
      </c>
      <c r="L847" s="11" t="n">
        <v>0</v>
      </c>
      <c r="M847" s="11" t="n">
        <f aca="false">SUM(G847:L847)</f>
        <v>21.6</v>
      </c>
      <c r="N847" s="11" t="n">
        <v>1.5</v>
      </c>
      <c r="O847" s="11" t="n">
        <v>0</v>
      </c>
      <c r="P847" s="11" t="n">
        <v>0</v>
      </c>
      <c r="Q847" s="11" t="n">
        <v>3.9</v>
      </c>
      <c r="R847" s="11" t="n">
        <v>0</v>
      </c>
      <c r="S847" s="11" t="n">
        <v>0</v>
      </c>
      <c r="T847" s="11" t="n">
        <f aca="false">SUM(N847:S847)</f>
        <v>5.4</v>
      </c>
      <c r="U847" s="11" t="n">
        <v>0</v>
      </c>
      <c r="V847" s="11" t="n">
        <v>0</v>
      </c>
      <c r="W847" s="11" t="n">
        <v>35.1</v>
      </c>
      <c r="X847" s="11" t="n">
        <v>0</v>
      </c>
      <c r="Y847" s="11" t="n">
        <v>0</v>
      </c>
      <c r="Z847" s="11" t="n">
        <v>0</v>
      </c>
      <c r="AA847" s="11" t="n">
        <f aca="false">SUM(U847:Z847)</f>
        <v>35.1</v>
      </c>
      <c r="AB847" s="11" t="n">
        <v>0</v>
      </c>
      <c r="AC847" s="11" t="n">
        <v>0</v>
      </c>
      <c r="AD847" s="11" t="n">
        <v>8.654</v>
      </c>
      <c r="AE847" s="11" t="n">
        <v>0</v>
      </c>
      <c r="AF847" s="11" t="n">
        <v>0</v>
      </c>
      <c r="AG847" s="11" t="n">
        <v>0</v>
      </c>
      <c r="AH847" s="11" t="n">
        <f aca="false">SUM(AB847:AG847)</f>
        <v>8.654</v>
      </c>
      <c r="AI847" s="12" t="s">
        <v>955</v>
      </c>
    </row>
    <row r="848" customFormat="false" ht="15" hidden="false" customHeight="false" outlineLevel="0" collapsed="false">
      <c r="A848" s="8" t="s">
        <v>1802</v>
      </c>
      <c r="B848" s="9" t="s">
        <v>1803</v>
      </c>
      <c r="C848" s="8" t="s">
        <v>1750</v>
      </c>
      <c r="D848" s="12" t="s">
        <v>1751</v>
      </c>
      <c r="E848" s="10" t="str">
        <f aca="true">IFERROR(IF(INDEX(INDIRECT("'"&amp;$AI848&amp;"'!$E$2:$E$327"),MATCH($A848,INDIRECT("'"&amp;$AI848&amp;"'!$A$2:$A$327"),0))="","",INDEX(INDIRECT("'"&amp;$AI848&amp;"'!$E$2:$E$327"),MATCH($A848,INDIRECT("'"&amp;$AI848&amp;"'!$A$2:$A$327"),0))),"")</f>
        <v/>
      </c>
      <c r="F848" s="9" t="str">
        <f aca="false">IF($E848="","",IFERROR(INDEX(担当者マスタ!$B$2:$B$101,MATCH($E848,担当者マスタ!$A$2:$A$101,0)),"※マスタ未登録"))</f>
        <v/>
      </c>
      <c r="G848" s="11" t="n">
        <v>7.02</v>
      </c>
      <c r="H848" s="11" t="n">
        <v>95.775</v>
      </c>
      <c r="I848" s="11" t="n">
        <v>73.202</v>
      </c>
      <c r="J848" s="11" t="n">
        <v>20.14</v>
      </c>
      <c r="K848" s="11" t="n">
        <v>0</v>
      </c>
      <c r="L848" s="11" t="n">
        <v>63.84</v>
      </c>
      <c r="M848" s="11" t="n">
        <f aca="false">SUM(G848:L848)</f>
        <v>259.977</v>
      </c>
      <c r="N848" s="11" t="n">
        <v>1.64</v>
      </c>
      <c r="O848" s="11" t="n">
        <v>23.261</v>
      </c>
      <c r="P848" s="11" t="n">
        <v>14.323</v>
      </c>
      <c r="Q848" s="11" t="n">
        <v>5</v>
      </c>
      <c r="R848" s="11" t="n">
        <v>0</v>
      </c>
      <c r="S848" s="11" t="n">
        <v>15.256</v>
      </c>
      <c r="T848" s="11" t="n">
        <f aca="false">SUM(N848:S848)</f>
        <v>59.48</v>
      </c>
      <c r="U848" s="11" t="n">
        <v>81.501</v>
      </c>
      <c r="V848" s="11" t="n">
        <v>75.505</v>
      </c>
      <c r="W848" s="11" t="n">
        <v>21.05</v>
      </c>
      <c r="X848" s="11" t="n">
        <v>7.03</v>
      </c>
      <c r="Y848" s="11" t="n">
        <v>0</v>
      </c>
      <c r="Z848" s="11" t="n">
        <v>79.545</v>
      </c>
      <c r="AA848" s="11" t="n">
        <f aca="false">SUM(U848:Z848)</f>
        <v>264.631</v>
      </c>
      <c r="AB848" s="11" t="n">
        <v>23.378</v>
      </c>
      <c r="AC848" s="11" t="n">
        <v>17.886</v>
      </c>
      <c r="AD848" s="11" t="n">
        <v>4.861</v>
      </c>
      <c r="AE848" s="11" t="n">
        <v>1.882</v>
      </c>
      <c r="AF848" s="11" t="n">
        <v>0</v>
      </c>
      <c r="AG848" s="11" t="n">
        <v>18.961</v>
      </c>
      <c r="AH848" s="11" t="n">
        <f aca="false">SUM(AB848:AG848)</f>
        <v>66.968</v>
      </c>
      <c r="AI848" s="12" t="s">
        <v>955</v>
      </c>
    </row>
    <row r="849" customFormat="false" ht="15" hidden="false" customHeight="false" outlineLevel="0" collapsed="false">
      <c r="A849" s="8" t="s">
        <v>1804</v>
      </c>
      <c r="B849" s="9" t="s">
        <v>1805</v>
      </c>
      <c r="C849" s="8" t="s">
        <v>1750</v>
      </c>
      <c r="D849" s="12" t="s">
        <v>1751</v>
      </c>
      <c r="E849" s="10" t="str">
        <f aca="true">IFERROR(IF(INDEX(INDIRECT("'"&amp;$AI849&amp;"'!$E$2:$E$327"),MATCH($A849,INDIRECT("'"&amp;$AI849&amp;"'!$A$2:$A$327"),0))="","",INDEX(INDIRECT("'"&amp;$AI849&amp;"'!$E$2:$E$327"),MATCH($A849,INDIRECT("'"&amp;$AI849&amp;"'!$A$2:$A$327"),0))),"")</f>
        <v/>
      </c>
      <c r="F849" s="9" t="str">
        <f aca="false">IF($E849="","",IFERROR(INDEX(担当者マスタ!$B$2:$B$101,MATCH($E849,担当者マスタ!$A$2:$A$101,0)),"※マスタ未登録"))</f>
        <v/>
      </c>
      <c r="G849" s="11" t="n">
        <v>603.322</v>
      </c>
      <c r="H849" s="11" t="n">
        <v>874.203</v>
      </c>
      <c r="I849" s="11" t="n">
        <v>914.596</v>
      </c>
      <c r="J849" s="11" t="n">
        <v>708.856</v>
      </c>
      <c r="K849" s="11" t="n">
        <v>403.188</v>
      </c>
      <c r="L849" s="11" t="n">
        <v>471.905</v>
      </c>
      <c r="M849" s="11" t="n">
        <f aca="false">SUM(G849:L849)</f>
        <v>3976.07</v>
      </c>
      <c r="N849" s="11" t="n">
        <v>47.04</v>
      </c>
      <c r="O849" s="11" t="n">
        <v>67.563</v>
      </c>
      <c r="P849" s="11" t="n">
        <v>75.004</v>
      </c>
      <c r="Q849" s="11" t="n">
        <v>86.635</v>
      </c>
      <c r="R849" s="11" t="n">
        <v>22.816</v>
      </c>
      <c r="S849" s="11" t="n">
        <v>49.307</v>
      </c>
      <c r="T849" s="11" t="n">
        <f aca="false">SUM(N849:S849)</f>
        <v>348.365</v>
      </c>
      <c r="U849" s="11" t="n">
        <v>867.513</v>
      </c>
      <c r="V849" s="11" t="n">
        <v>747.416</v>
      </c>
      <c r="W849" s="11" t="n">
        <v>689.305</v>
      </c>
      <c r="X849" s="11" t="n">
        <v>415.084</v>
      </c>
      <c r="Y849" s="11" t="n">
        <v>766.19</v>
      </c>
      <c r="Z849" s="11" t="n">
        <v>442.841</v>
      </c>
      <c r="AA849" s="11" t="n">
        <f aca="false">SUM(U849:Z849)</f>
        <v>3928.349</v>
      </c>
      <c r="AB849" s="11" t="n">
        <v>66.704</v>
      </c>
      <c r="AC849" s="11" t="n">
        <v>59.184</v>
      </c>
      <c r="AD849" s="11" t="n">
        <v>65.573</v>
      </c>
      <c r="AE849" s="11" t="n">
        <v>34.41</v>
      </c>
      <c r="AF849" s="11" t="n">
        <v>48.074</v>
      </c>
      <c r="AG849" s="11" t="n">
        <v>34.562</v>
      </c>
      <c r="AH849" s="11" t="n">
        <f aca="false">SUM(AB849:AG849)</f>
        <v>308.507</v>
      </c>
      <c r="AI849" s="12" t="s">
        <v>955</v>
      </c>
    </row>
    <row r="850" customFormat="false" ht="15" hidden="false" customHeight="false" outlineLevel="0" collapsed="false">
      <c r="A850" s="8" t="s">
        <v>1806</v>
      </c>
      <c r="B850" s="9" t="s">
        <v>1807</v>
      </c>
      <c r="C850" s="8" t="s">
        <v>1750</v>
      </c>
      <c r="D850" s="12" t="s">
        <v>1751</v>
      </c>
      <c r="E850" s="10" t="str">
        <f aca="true">IFERROR(IF(INDEX(INDIRECT("'"&amp;$AI850&amp;"'!$E$2:$E$327"),MATCH($A850,INDIRECT("'"&amp;$AI850&amp;"'!$A$2:$A$327"),0))="","",INDEX(INDIRECT("'"&amp;$AI850&amp;"'!$E$2:$E$327"),MATCH($A850,INDIRECT("'"&amp;$AI850&amp;"'!$A$2:$A$327"),0))),"")</f>
        <v/>
      </c>
      <c r="F850" s="9" t="str">
        <f aca="false">IF($E850="","",IFERROR(INDEX(担当者マスタ!$B$2:$B$101,MATCH($E850,担当者マスタ!$A$2:$A$101,0)),"※マスタ未登録"))</f>
        <v/>
      </c>
      <c r="G850" s="11" t="n">
        <v>17.5</v>
      </c>
      <c r="H850" s="11" t="n">
        <v>0</v>
      </c>
      <c r="I850" s="11" t="n">
        <v>61.66</v>
      </c>
      <c r="J850" s="11" t="n">
        <v>37.23</v>
      </c>
      <c r="K850" s="11" t="n">
        <v>3.05</v>
      </c>
      <c r="L850" s="11" t="n">
        <v>30.6</v>
      </c>
      <c r="M850" s="11" t="n">
        <f aca="false">SUM(G850:L850)</f>
        <v>150.04</v>
      </c>
      <c r="N850" s="11" t="n">
        <v>4.53</v>
      </c>
      <c r="O850" s="11" t="n">
        <v>0</v>
      </c>
      <c r="P850" s="11" t="n">
        <v>16.327</v>
      </c>
      <c r="Q850" s="11" t="n">
        <v>9.725</v>
      </c>
      <c r="R850" s="11" t="n">
        <v>0.47</v>
      </c>
      <c r="S850" s="11" t="n">
        <v>8.05</v>
      </c>
      <c r="T850" s="11" t="n">
        <f aca="false">SUM(N850:S850)</f>
        <v>39.102</v>
      </c>
      <c r="U850" s="11" t="n">
        <v>0</v>
      </c>
      <c r="V850" s="11" t="n">
        <v>0</v>
      </c>
      <c r="W850" s="11" t="n">
        <v>53.9</v>
      </c>
      <c r="X850" s="11" t="n">
        <v>23.85</v>
      </c>
      <c r="Y850" s="11" t="n">
        <v>0</v>
      </c>
      <c r="Z850" s="11" t="n">
        <v>0</v>
      </c>
      <c r="AA850" s="11" t="n">
        <f aca="false">SUM(U850:Z850)</f>
        <v>77.75</v>
      </c>
      <c r="AB850" s="11" t="n">
        <v>0</v>
      </c>
      <c r="AC850" s="11" t="n">
        <v>0</v>
      </c>
      <c r="AD850" s="11" t="n">
        <v>13.4</v>
      </c>
      <c r="AE850" s="11" t="n">
        <v>5.906</v>
      </c>
      <c r="AF850" s="11" t="n">
        <v>0</v>
      </c>
      <c r="AG850" s="11" t="n">
        <v>0</v>
      </c>
      <c r="AH850" s="11" t="n">
        <f aca="false">SUM(AB850:AG850)</f>
        <v>19.306</v>
      </c>
      <c r="AI850" s="12" t="s">
        <v>955</v>
      </c>
    </row>
    <row r="851" customFormat="false" ht="15" hidden="false" customHeight="false" outlineLevel="0" collapsed="false">
      <c r="A851" s="8" t="s">
        <v>1808</v>
      </c>
      <c r="B851" s="9" t="s">
        <v>1809</v>
      </c>
      <c r="C851" s="8" t="s">
        <v>1750</v>
      </c>
      <c r="D851" s="12" t="s">
        <v>1751</v>
      </c>
      <c r="E851" s="10" t="str">
        <f aca="true">IFERROR(IF(INDEX(INDIRECT("'"&amp;$AI851&amp;"'!$E$2:$E$327"),MATCH($A851,INDIRECT("'"&amp;$AI851&amp;"'!$A$2:$A$327"),0))="","",INDEX(INDIRECT("'"&amp;$AI851&amp;"'!$E$2:$E$327"),MATCH($A851,INDIRECT("'"&amp;$AI851&amp;"'!$A$2:$A$327"),0))),"")</f>
        <v/>
      </c>
      <c r="F851" s="9" t="str">
        <f aca="false">IF($E851="","",IFERROR(INDEX(担当者マスタ!$B$2:$B$101,MATCH($E851,担当者マスタ!$A$2:$A$101,0)),"※マスタ未登録"))</f>
        <v/>
      </c>
      <c r="G851" s="11" t="n">
        <v>19.8</v>
      </c>
      <c r="H851" s="11" t="n">
        <v>19.8</v>
      </c>
      <c r="I851" s="11" t="n">
        <v>0</v>
      </c>
      <c r="J851" s="11" t="n">
        <v>19.8</v>
      </c>
      <c r="K851" s="11" t="n">
        <v>0</v>
      </c>
      <c r="L851" s="11" t="n">
        <v>0</v>
      </c>
      <c r="M851" s="11" t="n">
        <f aca="false">SUM(G851:L851)</f>
        <v>59.4</v>
      </c>
      <c r="N851" s="11" t="n">
        <v>3.55</v>
      </c>
      <c r="O851" s="11" t="n">
        <v>3.55</v>
      </c>
      <c r="P851" s="11" t="n">
        <v>0</v>
      </c>
      <c r="Q851" s="11" t="n">
        <v>3.55</v>
      </c>
      <c r="R851" s="11" t="n">
        <v>0</v>
      </c>
      <c r="S851" s="11" t="n">
        <v>0</v>
      </c>
      <c r="T851" s="11" t="n">
        <f aca="false">SUM(N851:S851)</f>
        <v>10.65</v>
      </c>
      <c r="U851" s="11" t="n">
        <v>0</v>
      </c>
      <c r="V851" s="11" t="n">
        <v>0</v>
      </c>
      <c r="W851" s="11" t="n">
        <v>19.8</v>
      </c>
      <c r="X851" s="11" t="n">
        <v>0</v>
      </c>
      <c r="Y851" s="11" t="n">
        <v>96.8</v>
      </c>
      <c r="Z851" s="11" t="n">
        <v>22.2</v>
      </c>
      <c r="AA851" s="11" t="n">
        <f aca="false">SUM(U851:Z851)</f>
        <v>138.8</v>
      </c>
      <c r="AB851" s="11" t="n">
        <v>0</v>
      </c>
      <c r="AC851" s="11" t="n">
        <v>0</v>
      </c>
      <c r="AD851" s="11" t="n">
        <v>3.55</v>
      </c>
      <c r="AE851" s="11" t="n">
        <v>0</v>
      </c>
      <c r="AF851" s="11" t="n">
        <v>19.8</v>
      </c>
      <c r="AG851" s="11" t="n">
        <v>4.45</v>
      </c>
      <c r="AH851" s="11" t="n">
        <f aca="false">SUM(AB851:AG851)</f>
        <v>27.8</v>
      </c>
      <c r="AI851" s="12" t="s">
        <v>955</v>
      </c>
    </row>
    <row r="852" customFormat="false" ht="15" hidden="false" customHeight="false" outlineLevel="0" collapsed="false">
      <c r="A852" s="8" t="s">
        <v>1810</v>
      </c>
      <c r="B852" s="12" t="s">
        <v>1811</v>
      </c>
      <c r="C852" s="8" t="s">
        <v>1750</v>
      </c>
      <c r="D852" s="12" t="s">
        <v>1751</v>
      </c>
      <c r="E852" s="10" t="str">
        <f aca="true">IFERROR(IF(INDEX(INDIRECT("'"&amp;$AI852&amp;"'!$E$2:$E$327"),MATCH($A852,INDIRECT("'"&amp;$AI852&amp;"'!$A$2:$A$327"),0))="","",INDEX(INDIRECT("'"&amp;$AI852&amp;"'!$E$2:$E$327"),MATCH($A852,INDIRECT("'"&amp;$AI852&amp;"'!$A$2:$A$327"),0))),"")</f>
        <v/>
      </c>
      <c r="F852" s="9" t="str">
        <f aca="false">IF($E852="","",IFERROR(INDEX(担当者マスタ!$B$2:$B$101,MATCH($E852,担当者マスタ!$A$2:$A$101,0)),"※マスタ未登録"))</f>
        <v/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f aca="false">SUM(G852:L852)</f>
        <v>0</v>
      </c>
      <c r="N852" s="11" t="n">
        <v>0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0</v>
      </c>
      <c r="T852" s="11" t="n">
        <f aca="false">SUM(N852:S852)</f>
        <v>0</v>
      </c>
      <c r="U852" s="11" t="n">
        <v>0</v>
      </c>
      <c r="V852" s="11" t="n">
        <v>27.1</v>
      </c>
      <c r="W852" s="11" t="n">
        <v>0</v>
      </c>
      <c r="X852" s="11" t="n">
        <v>0</v>
      </c>
      <c r="Y852" s="11" t="n">
        <v>0</v>
      </c>
      <c r="Z852" s="11" t="n">
        <v>0</v>
      </c>
      <c r="AA852" s="11" t="n">
        <f aca="false">SUM(U852:Z852)</f>
        <v>27.1</v>
      </c>
      <c r="AB852" s="11" t="n">
        <v>0</v>
      </c>
      <c r="AC852" s="11" t="n">
        <v>6.75</v>
      </c>
      <c r="AD852" s="11" t="n">
        <v>0</v>
      </c>
      <c r="AE852" s="11" t="n">
        <v>0</v>
      </c>
      <c r="AF852" s="11" t="n">
        <v>0</v>
      </c>
      <c r="AG852" s="11" t="n">
        <v>0</v>
      </c>
      <c r="AH852" s="11" t="n">
        <f aca="false">SUM(AB852:AG852)</f>
        <v>6.75</v>
      </c>
      <c r="AI852" s="12" t="s">
        <v>955</v>
      </c>
    </row>
    <row r="853" customFormat="false" ht="15" hidden="false" customHeight="false" outlineLevel="0" collapsed="false">
      <c r="A853" s="8" t="s">
        <v>1812</v>
      </c>
      <c r="B853" s="12" t="s">
        <v>1813</v>
      </c>
      <c r="C853" s="8" t="s">
        <v>1750</v>
      </c>
      <c r="D853" s="12" t="s">
        <v>1751</v>
      </c>
      <c r="E853" s="10" t="str">
        <f aca="true">IFERROR(IF(INDEX(INDIRECT("'"&amp;$AI853&amp;"'!$E$2:$E$327"),MATCH($A853,INDIRECT("'"&amp;$AI853&amp;"'!$A$2:$A$327"),0))="","",INDEX(INDIRECT("'"&amp;$AI853&amp;"'!$E$2:$E$327"),MATCH($A853,INDIRECT("'"&amp;$AI853&amp;"'!$A$2:$A$327"),0))),"")</f>
        <v/>
      </c>
      <c r="F853" s="9" t="str">
        <f aca="false">IF($E853="","",IFERROR(INDEX(担当者マスタ!$B$2:$B$101,MATCH($E853,担当者マスタ!$A$2:$A$101,0)),"※マスタ未登録"))</f>
        <v/>
      </c>
      <c r="G853" s="11" t="n">
        <v>10.9</v>
      </c>
      <c r="H853" s="11" t="n">
        <v>28.08</v>
      </c>
      <c r="I853" s="11" t="n">
        <v>17.55</v>
      </c>
      <c r="J853" s="11" t="n">
        <v>14.31</v>
      </c>
      <c r="K853" s="11" t="n">
        <v>2.1</v>
      </c>
      <c r="L853" s="11" t="n">
        <v>15.26</v>
      </c>
      <c r="M853" s="11" t="n">
        <f aca="false">SUM(G853:L853)</f>
        <v>88.2</v>
      </c>
      <c r="N853" s="11" t="n">
        <v>3.045</v>
      </c>
      <c r="O853" s="11" t="n">
        <v>8.01</v>
      </c>
      <c r="P853" s="11" t="n">
        <v>4.81</v>
      </c>
      <c r="Q853" s="11" t="n">
        <v>4.68</v>
      </c>
      <c r="R853" s="11" t="n">
        <v>0.51</v>
      </c>
      <c r="S853" s="11" t="n">
        <v>4.9</v>
      </c>
      <c r="T853" s="11" t="n">
        <f aca="false">SUM(N853:S853)</f>
        <v>25.955</v>
      </c>
      <c r="U853" s="11" t="n">
        <v>15.975</v>
      </c>
      <c r="V853" s="11" t="n">
        <v>18.797</v>
      </c>
      <c r="W853" s="11" t="n">
        <v>15.605</v>
      </c>
      <c r="X853" s="11" t="n">
        <v>16.21</v>
      </c>
      <c r="Y853" s="11" t="n">
        <v>25.36</v>
      </c>
      <c r="Z853" s="11" t="n">
        <v>17.407</v>
      </c>
      <c r="AA853" s="11" t="n">
        <f aca="false">SUM(U853:Z853)</f>
        <v>109.354</v>
      </c>
      <c r="AB853" s="11" t="n">
        <v>4.505</v>
      </c>
      <c r="AC853" s="11" t="n">
        <v>5.31</v>
      </c>
      <c r="AD853" s="11" t="n">
        <v>4.405</v>
      </c>
      <c r="AE853" s="11" t="n">
        <v>4.575</v>
      </c>
      <c r="AF853" s="11" t="n">
        <v>7.555</v>
      </c>
      <c r="AG853" s="11" t="n">
        <v>5.222</v>
      </c>
      <c r="AH853" s="11" t="n">
        <f aca="false">SUM(AB853:AG853)</f>
        <v>31.572</v>
      </c>
      <c r="AI853" s="12" t="s">
        <v>955</v>
      </c>
    </row>
    <row r="854" customFormat="false" ht="15" hidden="false" customHeight="false" outlineLevel="0" collapsed="false">
      <c r="A854" s="8" t="s">
        <v>1814</v>
      </c>
      <c r="B854" s="9" t="s">
        <v>1815</v>
      </c>
      <c r="C854" s="8" t="s">
        <v>1750</v>
      </c>
      <c r="D854" s="12" t="s">
        <v>1751</v>
      </c>
      <c r="E854" s="10" t="str">
        <f aca="true">IFERROR(IF(INDEX(INDIRECT("'"&amp;$AI854&amp;"'!$E$2:$E$327"),MATCH($A854,INDIRECT("'"&amp;$AI854&amp;"'!$A$2:$A$327"),0))="","",INDEX(INDIRECT("'"&amp;$AI854&amp;"'!$E$2:$E$327"),MATCH($A854,INDIRECT("'"&amp;$AI854&amp;"'!$A$2:$A$327"),0))),"")</f>
        <v/>
      </c>
      <c r="F854" s="9" t="str">
        <f aca="false">IF($E854="","",IFERROR(INDEX(担当者マスタ!$B$2:$B$101,MATCH($E854,担当者マスタ!$A$2:$A$101,0)),"※マスタ未登録"))</f>
        <v/>
      </c>
      <c r="G854" s="11" t="n">
        <v>64.155</v>
      </c>
      <c r="H854" s="11" t="n">
        <v>62.03</v>
      </c>
      <c r="I854" s="11" t="n">
        <v>100.155</v>
      </c>
      <c r="J854" s="11" t="n">
        <v>47.275</v>
      </c>
      <c r="K854" s="11" t="n">
        <v>32.235</v>
      </c>
      <c r="L854" s="11" t="n">
        <v>123.935</v>
      </c>
      <c r="M854" s="11" t="n">
        <f aca="false">SUM(G854:L854)</f>
        <v>429.785</v>
      </c>
      <c r="N854" s="11" t="n">
        <v>18.559</v>
      </c>
      <c r="O854" s="11" t="n">
        <v>23.967</v>
      </c>
      <c r="P854" s="11" t="n">
        <v>28.762</v>
      </c>
      <c r="Q854" s="11" t="n">
        <v>15.898</v>
      </c>
      <c r="R854" s="11" t="n">
        <v>9.463</v>
      </c>
      <c r="S854" s="11" t="n">
        <v>36.421</v>
      </c>
      <c r="T854" s="11" t="n">
        <f aca="false">SUM(N854:S854)</f>
        <v>133.07</v>
      </c>
      <c r="U854" s="11" t="n">
        <v>109.265</v>
      </c>
      <c r="V854" s="11" t="n">
        <v>63.74</v>
      </c>
      <c r="W854" s="11" t="n">
        <v>99.3</v>
      </c>
      <c r="X854" s="11" t="n">
        <v>56.73</v>
      </c>
      <c r="Y854" s="11" t="n">
        <v>96.825</v>
      </c>
      <c r="Z854" s="11" t="n">
        <v>11.175</v>
      </c>
      <c r="AA854" s="11" t="n">
        <f aca="false">SUM(U854:Z854)</f>
        <v>437.035</v>
      </c>
      <c r="AB854" s="11" t="n">
        <v>34.554</v>
      </c>
      <c r="AC854" s="11" t="n">
        <v>20.735</v>
      </c>
      <c r="AD854" s="11" t="n">
        <v>33.569</v>
      </c>
      <c r="AE854" s="11" t="n">
        <v>18.576</v>
      </c>
      <c r="AF854" s="11" t="n">
        <v>34.498</v>
      </c>
      <c r="AG854" s="11" t="n">
        <v>2.91</v>
      </c>
      <c r="AH854" s="11" t="n">
        <f aca="false">SUM(AB854:AG854)</f>
        <v>144.842</v>
      </c>
      <c r="AI854" s="12" t="s">
        <v>955</v>
      </c>
    </row>
    <row r="855" customFormat="false" ht="15" hidden="false" customHeight="false" outlineLevel="0" collapsed="false">
      <c r="A855" s="8" t="s">
        <v>1816</v>
      </c>
      <c r="B855" s="12" t="s">
        <v>1817</v>
      </c>
      <c r="C855" s="8" t="s">
        <v>1750</v>
      </c>
      <c r="D855" s="12" t="s">
        <v>1751</v>
      </c>
      <c r="E855" s="10" t="str">
        <f aca="true">IFERROR(IF(INDEX(INDIRECT("'"&amp;$AI855&amp;"'!$E$2:$E$327"),MATCH($A855,INDIRECT("'"&amp;$AI855&amp;"'!$A$2:$A$327"),0))="","",INDEX(INDIRECT("'"&amp;$AI855&amp;"'!$E$2:$E$327"),MATCH($A855,INDIRECT("'"&amp;$AI855&amp;"'!$A$2:$A$327"),0))),"")</f>
        <v/>
      </c>
      <c r="F855" s="9" t="str">
        <f aca="false">IF($E855="","",IFERROR(INDEX(担当者マスタ!$B$2:$B$101,MATCH($E855,担当者マスタ!$A$2:$A$101,0)),"※マスタ未登録"))</f>
        <v/>
      </c>
      <c r="G855" s="11" t="n">
        <v>8.92</v>
      </c>
      <c r="H855" s="11" t="n">
        <v>0</v>
      </c>
      <c r="I855" s="11" t="n">
        <v>8.92</v>
      </c>
      <c r="J855" s="11" t="n">
        <v>29.4</v>
      </c>
      <c r="K855" s="11" t="n">
        <v>0</v>
      </c>
      <c r="L855" s="11" t="n">
        <v>0</v>
      </c>
      <c r="M855" s="11" t="n">
        <f aca="false">SUM(G855:L855)</f>
        <v>47.24</v>
      </c>
      <c r="N855" s="11" t="n">
        <v>2.3</v>
      </c>
      <c r="O855" s="11" t="n">
        <v>0</v>
      </c>
      <c r="P855" s="11" t="n">
        <v>1.8</v>
      </c>
      <c r="Q855" s="11" t="n">
        <v>6.28</v>
      </c>
      <c r="R855" s="11" t="n">
        <v>0</v>
      </c>
      <c r="S855" s="11" t="n">
        <v>0</v>
      </c>
      <c r="T855" s="11" t="n">
        <f aca="false">SUM(N855:S855)</f>
        <v>10.38</v>
      </c>
      <c r="U855" s="11" t="n">
        <v>8.92</v>
      </c>
      <c r="V855" s="11" t="n">
        <v>0</v>
      </c>
      <c r="W855" s="11" t="n">
        <v>38.32</v>
      </c>
      <c r="X855" s="11" t="n">
        <v>0</v>
      </c>
      <c r="Y855" s="11" t="n">
        <v>8.92</v>
      </c>
      <c r="Z855" s="11" t="n">
        <v>0</v>
      </c>
      <c r="AA855" s="11" t="n">
        <f aca="false">SUM(U855:Z855)</f>
        <v>56.16</v>
      </c>
      <c r="AB855" s="11" t="n">
        <v>1.8</v>
      </c>
      <c r="AC855" s="11" t="n">
        <v>0</v>
      </c>
      <c r="AD855" s="11" t="n">
        <v>8.08</v>
      </c>
      <c r="AE855" s="11" t="n">
        <v>0</v>
      </c>
      <c r="AF855" s="11" t="n">
        <v>1.8</v>
      </c>
      <c r="AG855" s="11" t="n">
        <v>0</v>
      </c>
      <c r="AH855" s="11" t="n">
        <f aca="false">SUM(AB855:AG855)</f>
        <v>11.68</v>
      </c>
      <c r="AI855" s="12" t="s">
        <v>955</v>
      </c>
    </row>
    <row r="856" customFormat="false" ht="15" hidden="false" customHeight="false" outlineLevel="0" collapsed="false">
      <c r="A856" s="8" t="s">
        <v>1818</v>
      </c>
      <c r="B856" s="12" t="s">
        <v>1819</v>
      </c>
      <c r="C856" s="8" t="s">
        <v>1750</v>
      </c>
      <c r="D856" s="12" t="s">
        <v>1751</v>
      </c>
      <c r="E856" s="10" t="str">
        <f aca="true">IFERROR(IF(INDEX(INDIRECT("'"&amp;$AI856&amp;"'!$E$2:$E$327"),MATCH($A856,INDIRECT("'"&amp;$AI856&amp;"'!$A$2:$A$327"),0))="","",INDEX(INDIRECT("'"&amp;$AI856&amp;"'!$E$2:$E$327"),MATCH($A856,INDIRECT("'"&amp;$AI856&amp;"'!$A$2:$A$327"),0))),"")</f>
        <v/>
      </c>
      <c r="F856" s="9" t="str">
        <f aca="false">IF($E856="","",IFERROR(INDEX(担当者マスタ!$B$2:$B$101,MATCH($E856,担当者マスタ!$A$2:$A$101,0)),"※マスタ未登録"))</f>
        <v/>
      </c>
      <c r="G856" s="11" t="n">
        <v>17.21</v>
      </c>
      <c r="H856" s="11" t="n">
        <v>9.22</v>
      </c>
      <c r="I856" s="11" t="n">
        <v>0</v>
      </c>
      <c r="J856" s="11" t="n">
        <v>9.114</v>
      </c>
      <c r="K856" s="11" t="n">
        <v>4.34</v>
      </c>
      <c r="L856" s="11" t="n">
        <v>40.97</v>
      </c>
      <c r="M856" s="11" t="n">
        <f aca="false">SUM(G856:L856)</f>
        <v>80.854</v>
      </c>
      <c r="N856" s="11" t="n">
        <v>2.854</v>
      </c>
      <c r="O856" s="11" t="n">
        <v>1.718</v>
      </c>
      <c r="P856" s="11" t="n">
        <v>0</v>
      </c>
      <c r="Q856" s="11" t="n">
        <v>1.472</v>
      </c>
      <c r="R856" s="11" t="n">
        <v>0.55</v>
      </c>
      <c r="S856" s="11" t="n">
        <v>7.138</v>
      </c>
      <c r="T856" s="11" t="n">
        <f aca="false">SUM(N856:S856)</f>
        <v>13.732</v>
      </c>
      <c r="U856" s="11" t="n">
        <v>75.14</v>
      </c>
      <c r="V856" s="11" t="n">
        <v>7.31</v>
      </c>
      <c r="W856" s="11" t="n">
        <v>35.19</v>
      </c>
      <c r="X856" s="11" t="n">
        <v>14.04</v>
      </c>
      <c r="Y856" s="11" t="n">
        <v>4.485</v>
      </c>
      <c r="Z856" s="11" t="n">
        <v>14.04</v>
      </c>
      <c r="AA856" s="11" t="n">
        <f aca="false">SUM(U856:Z856)</f>
        <v>150.205</v>
      </c>
      <c r="AB856" s="11" t="n">
        <v>22.804</v>
      </c>
      <c r="AC856" s="11" t="n">
        <v>1.324</v>
      </c>
      <c r="AD856" s="11" t="n">
        <v>10.597</v>
      </c>
      <c r="AE856" s="11" t="n">
        <v>2.556</v>
      </c>
      <c r="AF856" s="11" t="n">
        <v>0.722</v>
      </c>
      <c r="AG856" s="11" t="n">
        <v>2.556</v>
      </c>
      <c r="AH856" s="11" t="n">
        <f aca="false">SUM(AB856:AG856)</f>
        <v>40.559</v>
      </c>
      <c r="AI856" s="12" t="s">
        <v>955</v>
      </c>
    </row>
    <row r="857" customFormat="false" ht="15" hidden="false" customHeight="false" outlineLevel="0" collapsed="false">
      <c r="A857" s="8" t="s">
        <v>1820</v>
      </c>
      <c r="B857" s="12" t="s">
        <v>1821</v>
      </c>
      <c r="C857" s="8" t="s">
        <v>1750</v>
      </c>
      <c r="D857" s="12" t="s">
        <v>1751</v>
      </c>
      <c r="E857" s="10" t="str">
        <f aca="true">IFERROR(IF(INDEX(INDIRECT("'"&amp;$AI857&amp;"'!$E$2:$E$327"),MATCH($A857,INDIRECT("'"&amp;$AI857&amp;"'!$A$2:$A$327"),0))="","",INDEX(INDIRECT("'"&amp;$AI857&amp;"'!$E$2:$E$327"),MATCH($A857,INDIRECT("'"&amp;$AI857&amp;"'!$A$2:$A$327"),0))),"")</f>
        <v/>
      </c>
      <c r="F857" s="9" t="str">
        <f aca="false">IF($E857="","",IFERROR(INDEX(担当者マスタ!$B$2:$B$101,MATCH($E857,担当者マスタ!$A$2:$A$101,0)),"※マスタ未登録"))</f>
        <v/>
      </c>
      <c r="G857" s="11" t="n">
        <v>0</v>
      </c>
      <c r="H857" s="11" t="n">
        <v>57.6</v>
      </c>
      <c r="I857" s="11" t="n">
        <v>91.005</v>
      </c>
      <c r="J857" s="11" t="n">
        <v>78.8</v>
      </c>
      <c r="K857" s="11" t="n">
        <v>124.48</v>
      </c>
      <c r="L857" s="11" t="n">
        <v>68.075</v>
      </c>
      <c r="M857" s="11" t="n">
        <f aca="false">SUM(G857:L857)</f>
        <v>419.96</v>
      </c>
      <c r="N857" s="11" t="n">
        <v>0</v>
      </c>
      <c r="O857" s="11" t="n">
        <v>9.96</v>
      </c>
      <c r="P857" s="11" t="n">
        <v>15.315</v>
      </c>
      <c r="Q857" s="11" t="n">
        <v>16.12</v>
      </c>
      <c r="R857" s="11" t="n">
        <v>25.08</v>
      </c>
      <c r="S857" s="11" t="n">
        <v>13.635</v>
      </c>
      <c r="T857" s="11" t="n">
        <f aca="false">SUM(N857:S857)</f>
        <v>80.11</v>
      </c>
      <c r="U857" s="11" t="n">
        <v>74</v>
      </c>
      <c r="V857" s="11" t="n">
        <v>83.2</v>
      </c>
      <c r="W857" s="11" t="n">
        <v>41.6</v>
      </c>
      <c r="X857" s="11" t="n">
        <v>121.845</v>
      </c>
      <c r="Y857" s="11" t="n">
        <v>4.62</v>
      </c>
      <c r="Z857" s="11" t="n">
        <v>41.6</v>
      </c>
      <c r="AA857" s="11" t="n">
        <f aca="false">SUM(U857:Z857)</f>
        <v>366.865</v>
      </c>
      <c r="AB857" s="11" t="n">
        <v>17.6</v>
      </c>
      <c r="AC857" s="11" t="n">
        <v>20</v>
      </c>
      <c r="AD857" s="11" t="n">
        <v>10</v>
      </c>
      <c r="AE857" s="11" t="n">
        <v>28.9</v>
      </c>
      <c r="AF857" s="11" t="n">
        <v>0.88</v>
      </c>
      <c r="AG857" s="11" t="n">
        <v>10</v>
      </c>
      <c r="AH857" s="11" t="n">
        <f aca="false">SUM(AB857:AG857)</f>
        <v>87.38</v>
      </c>
      <c r="AI857" s="12" t="s">
        <v>955</v>
      </c>
    </row>
    <row r="858" customFormat="false" ht="15" hidden="false" customHeight="false" outlineLevel="0" collapsed="false">
      <c r="A858" s="8" t="s">
        <v>1822</v>
      </c>
      <c r="B858" s="12" t="s">
        <v>1823</v>
      </c>
      <c r="C858" s="8" t="s">
        <v>1750</v>
      </c>
      <c r="D858" s="12" t="s">
        <v>1751</v>
      </c>
      <c r="E858" s="10" t="str">
        <f aca="true">IFERROR(IF(INDEX(INDIRECT("'"&amp;$AI858&amp;"'!$E$2:$E$327"),MATCH($A858,INDIRECT("'"&amp;$AI858&amp;"'!$A$2:$A$327"),0))="","",INDEX(INDIRECT("'"&amp;$AI858&amp;"'!$E$2:$E$327"),MATCH($A858,INDIRECT("'"&amp;$AI858&amp;"'!$A$2:$A$327"),0))),"")</f>
        <v/>
      </c>
      <c r="F858" s="9" t="str">
        <f aca="false">IF($E858="","",IFERROR(INDEX(担当者マスタ!$B$2:$B$101,MATCH($E858,担当者マスタ!$A$2:$A$101,0)),"※マスタ未登録"))</f>
        <v/>
      </c>
      <c r="G858" s="11" t="n">
        <v>138.54</v>
      </c>
      <c r="H858" s="11" t="n">
        <v>465.389</v>
      </c>
      <c r="I858" s="11" t="n">
        <v>497.036</v>
      </c>
      <c r="J858" s="11" t="n">
        <v>96.931</v>
      </c>
      <c r="K858" s="11" t="n">
        <v>160.956</v>
      </c>
      <c r="L858" s="11" t="n">
        <v>119.018</v>
      </c>
      <c r="M858" s="11" t="n">
        <f aca="false">SUM(G858:L858)</f>
        <v>1477.87</v>
      </c>
      <c r="N858" s="11" t="n">
        <v>25.2</v>
      </c>
      <c r="O858" s="11" t="n">
        <v>85.458</v>
      </c>
      <c r="P858" s="11" t="n">
        <v>83.967</v>
      </c>
      <c r="Q858" s="11" t="n">
        <v>17.664</v>
      </c>
      <c r="R858" s="11" t="n">
        <v>29.232</v>
      </c>
      <c r="S858" s="11" t="n">
        <v>21.711</v>
      </c>
      <c r="T858" s="11" t="n">
        <f aca="false">SUM(N858:S858)</f>
        <v>263.232</v>
      </c>
      <c r="U858" s="11" t="n">
        <v>177.346</v>
      </c>
      <c r="V858" s="11" t="n">
        <v>411.66</v>
      </c>
      <c r="W858" s="11" t="n">
        <v>220.101</v>
      </c>
      <c r="X858" s="11" t="n">
        <v>135.093</v>
      </c>
      <c r="Y858" s="11" t="n">
        <v>21.3</v>
      </c>
      <c r="Z858" s="11" t="n">
        <v>510.334</v>
      </c>
      <c r="AA858" s="11" t="n">
        <f aca="false">SUM(U858:Z858)</f>
        <v>1475.834</v>
      </c>
      <c r="AB858" s="11" t="n">
        <v>37.416</v>
      </c>
      <c r="AC858" s="11" t="n">
        <v>75.3</v>
      </c>
      <c r="AD858" s="11" t="n">
        <v>36.641</v>
      </c>
      <c r="AE858" s="11" t="n">
        <v>24.607</v>
      </c>
      <c r="AF858" s="11" t="n">
        <v>4</v>
      </c>
      <c r="AG858" s="11" t="n">
        <v>93.138</v>
      </c>
      <c r="AH858" s="11" t="n">
        <f aca="false">SUM(AB858:AG858)</f>
        <v>271.102</v>
      </c>
      <c r="AI858" s="12" t="s">
        <v>955</v>
      </c>
    </row>
    <row r="859" customFormat="false" ht="15" hidden="false" customHeight="false" outlineLevel="0" collapsed="false">
      <c r="A859" s="8" t="s">
        <v>1824</v>
      </c>
      <c r="B859" s="12" t="s">
        <v>1825</v>
      </c>
      <c r="C859" s="8" t="s">
        <v>1750</v>
      </c>
      <c r="D859" s="12" t="s">
        <v>1751</v>
      </c>
      <c r="E859" s="10" t="str">
        <f aca="true">IFERROR(IF(INDEX(INDIRECT("'"&amp;$AI859&amp;"'!$E$2:$E$327"),MATCH($A859,INDIRECT("'"&amp;$AI859&amp;"'!$A$2:$A$327"),0))="","",INDEX(INDIRECT("'"&amp;$AI859&amp;"'!$E$2:$E$327"),MATCH($A859,INDIRECT("'"&amp;$AI859&amp;"'!$A$2:$A$327"),0))),"")</f>
        <v/>
      </c>
      <c r="F859" s="9" t="str">
        <f aca="false">IF($E859="","",IFERROR(INDEX(担当者マスタ!$B$2:$B$101,MATCH($E859,担当者マスタ!$A$2:$A$101,0)),"※マスタ未登録"))</f>
        <v/>
      </c>
      <c r="G859" s="11" t="n">
        <v>0</v>
      </c>
      <c r="H859" s="11" t="n">
        <v>7.59</v>
      </c>
      <c r="I859" s="11" t="n">
        <v>3.84</v>
      </c>
      <c r="J859" s="11" t="n">
        <v>0</v>
      </c>
      <c r="K859" s="11" t="n">
        <v>0</v>
      </c>
      <c r="L859" s="11" t="n">
        <v>0</v>
      </c>
      <c r="M859" s="11" t="n">
        <f aca="false">SUM(G859:L859)</f>
        <v>11.43</v>
      </c>
      <c r="N859" s="11" t="n">
        <v>0</v>
      </c>
      <c r="O859" s="11" t="n">
        <v>2.106</v>
      </c>
      <c r="P859" s="11" t="n">
        <v>1.056</v>
      </c>
      <c r="Q859" s="11" t="n">
        <v>0</v>
      </c>
      <c r="R859" s="11" t="n">
        <v>0</v>
      </c>
      <c r="S859" s="11" t="n">
        <v>0</v>
      </c>
      <c r="T859" s="11" t="n">
        <f aca="false">SUM(N859:S859)</f>
        <v>3.162</v>
      </c>
      <c r="U859" s="11" t="n">
        <v>0</v>
      </c>
      <c r="V859" s="11" t="n">
        <v>1.92</v>
      </c>
      <c r="W859" s="11" t="n">
        <v>7.59</v>
      </c>
      <c r="X859" s="11" t="n">
        <v>0</v>
      </c>
      <c r="Y859" s="11" t="n">
        <v>0</v>
      </c>
      <c r="Z859" s="11" t="n">
        <v>0</v>
      </c>
      <c r="AA859" s="11" t="n">
        <f aca="false">SUM(U859:Z859)</f>
        <v>9.51</v>
      </c>
      <c r="AB859" s="11" t="n">
        <v>0</v>
      </c>
      <c r="AC859" s="11" t="n">
        <v>0.384</v>
      </c>
      <c r="AD859" s="11" t="n">
        <v>1.518</v>
      </c>
      <c r="AE859" s="11" t="n">
        <v>0</v>
      </c>
      <c r="AF859" s="11" t="n">
        <v>0</v>
      </c>
      <c r="AG859" s="11" t="n">
        <v>0</v>
      </c>
      <c r="AH859" s="11" t="n">
        <f aca="false">SUM(AB859:AG859)</f>
        <v>1.902</v>
      </c>
      <c r="AI859" s="12" t="s">
        <v>955</v>
      </c>
    </row>
    <row r="860" customFormat="false" ht="15" hidden="false" customHeight="false" outlineLevel="0" collapsed="false">
      <c r="A860" s="8" t="s">
        <v>1826</v>
      </c>
      <c r="B860" s="12" t="s">
        <v>1827</v>
      </c>
      <c r="C860" s="8" t="s">
        <v>1750</v>
      </c>
      <c r="D860" s="12" t="s">
        <v>1751</v>
      </c>
      <c r="E860" s="10" t="str">
        <f aca="true">IFERROR(IF(INDEX(INDIRECT("'"&amp;$AI860&amp;"'!$E$2:$E$327"),MATCH($A860,INDIRECT("'"&amp;$AI860&amp;"'!$A$2:$A$327"),0))="","",INDEX(INDIRECT("'"&amp;$AI860&amp;"'!$E$2:$E$327"),MATCH($A860,INDIRECT("'"&amp;$AI860&amp;"'!$A$2:$A$327"),0))),"")</f>
        <v/>
      </c>
      <c r="F860" s="9" t="str">
        <f aca="false">IF($E860="","",IFERROR(INDEX(担当者マスタ!$B$2:$B$101,MATCH($E860,担当者マスタ!$A$2:$A$101,0)),"※マスタ未登録"))</f>
        <v/>
      </c>
      <c r="G860" s="11" t="n">
        <v>0</v>
      </c>
      <c r="H860" s="11" t="n">
        <v>32.2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f aca="false">SUM(G860:L860)</f>
        <v>32.2</v>
      </c>
      <c r="N860" s="11" t="n">
        <v>0</v>
      </c>
      <c r="O860" s="11" t="n">
        <v>9</v>
      </c>
      <c r="P860" s="11" t="n">
        <v>0</v>
      </c>
      <c r="Q860" s="11" t="n">
        <v>0</v>
      </c>
      <c r="R860" s="11" t="n">
        <v>0</v>
      </c>
      <c r="S860" s="11" t="n">
        <v>0</v>
      </c>
      <c r="T860" s="11" t="n">
        <f aca="false">SUM(N860:S860)</f>
        <v>9</v>
      </c>
      <c r="U860" s="11" t="n">
        <v>32.2</v>
      </c>
      <c r="V860" s="11" t="n">
        <v>0</v>
      </c>
      <c r="W860" s="11" t="n">
        <v>0</v>
      </c>
      <c r="X860" s="11" t="n">
        <v>0</v>
      </c>
      <c r="Y860" s="11" t="n">
        <v>0</v>
      </c>
      <c r="Z860" s="11" t="n">
        <v>0</v>
      </c>
      <c r="AA860" s="11" t="n">
        <f aca="false">SUM(U860:Z860)</f>
        <v>32.2</v>
      </c>
      <c r="AB860" s="11" t="n">
        <v>9</v>
      </c>
      <c r="AC860" s="11" t="n">
        <v>0</v>
      </c>
      <c r="AD860" s="11" t="n">
        <v>0</v>
      </c>
      <c r="AE860" s="11" t="n">
        <v>0</v>
      </c>
      <c r="AF860" s="11" t="n">
        <v>0</v>
      </c>
      <c r="AG860" s="11" t="n">
        <v>0</v>
      </c>
      <c r="AH860" s="11" t="n">
        <f aca="false">SUM(AB860:AG860)</f>
        <v>9</v>
      </c>
      <c r="AI860" s="12" t="s">
        <v>955</v>
      </c>
    </row>
    <row r="861" customFormat="false" ht="15" hidden="false" customHeight="false" outlineLevel="0" collapsed="false">
      <c r="A861" s="8" t="s">
        <v>1828</v>
      </c>
      <c r="B861" s="12" t="s">
        <v>1829</v>
      </c>
      <c r="C861" s="8" t="s">
        <v>1830</v>
      </c>
      <c r="D861" s="12" t="s">
        <v>1831</v>
      </c>
      <c r="E861" s="10" t="str">
        <f aca="true">IFERROR(IF(INDEX(INDIRECT("'"&amp;$AI861&amp;"'!$E$2:$E$327"),MATCH($A861,INDIRECT("'"&amp;$AI861&amp;"'!$A$2:$A$327"),0))="","",INDEX(INDIRECT("'"&amp;$AI861&amp;"'!$E$2:$E$327"),MATCH($A861,INDIRECT("'"&amp;$AI861&amp;"'!$A$2:$A$327"),0))),"")</f>
        <v/>
      </c>
      <c r="F861" s="9" t="str">
        <f aca="false">IF($E861="","",IFERROR(INDEX(担当者マスタ!$B$2:$B$101,MATCH($E861,担当者マスタ!$A$2:$A$101,0)),"※マスタ未登録"))</f>
        <v/>
      </c>
      <c r="G861" s="11" t="n">
        <v>14.51</v>
      </c>
      <c r="H861" s="11" t="n">
        <v>34.3</v>
      </c>
      <c r="I861" s="11" t="n">
        <v>8.7</v>
      </c>
      <c r="J861" s="11" t="n">
        <v>5.3</v>
      </c>
      <c r="K861" s="11" t="n">
        <v>36.5</v>
      </c>
      <c r="L861" s="11" t="n">
        <v>5.3</v>
      </c>
      <c r="M861" s="11" t="n">
        <f aca="false">SUM(G861:L861)</f>
        <v>104.61</v>
      </c>
      <c r="N861" s="11" t="n">
        <v>5.895</v>
      </c>
      <c r="O861" s="11" t="n">
        <v>7.39</v>
      </c>
      <c r="P861" s="11" t="n">
        <v>3.424</v>
      </c>
      <c r="Q861" s="11" t="n">
        <v>2.75</v>
      </c>
      <c r="R861" s="11" t="n">
        <v>6.5</v>
      </c>
      <c r="S861" s="11" t="n">
        <v>2.75</v>
      </c>
      <c r="T861" s="11" t="n">
        <f aca="false">SUM(N861:S861)</f>
        <v>28.709</v>
      </c>
      <c r="U861" s="11" t="n">
        <v>10.31</v>
      </c>
      <c r="V861" s="11" t="n">
        <v>98.54</v>
      </c>
      <c r="W861" s="11" t="n">
        <v>0</v>
      </c>
      <c r="X861" s="11" t="n">
        <v>1.96</v>
      </c>
      <c r="Y861" s="11" t="n">
        <v>38.5</v>
      </c>
      <c r="Z861" s="11" t="n">
        <v>0</v>
      </c>
      <c r="AA861" s="11" t="n">
        <f aca="false">SUM(U861:Z861)</f>
        <v>149.31</v>
      </c>
      <c r="AB861" s="11" t="n">
        <v>4.86</v>
      </c>
      <c r="AC861" s="11" t="n">
        <v>16.686</v>
      </c>
      <c r="AD861" s="11" t="n">
        <v>0</v>
      </c>
      <c r="AE861" s="11" t="n">
        <v>0.52</v>
      </c>
      <c r="AF861" s="11" t="n">
        <v>8.785</v>
      </c>
      <c r="AG861" s="11" t="n">
        <v>0</v>
      </c>
      <c r="AH861" s="11" t="n">
        <f aca="false">SUM(AB861:AG861)</f>
        <v>30.851</v>
      </c>
      <c r="AI861" s="12" t="s">
        <v>955</v>
      </c>
    </row>
    <row r="862" customFormat="false" ht="15" hidden="false" customHeight="false" outlineLevel="0" collapsed="false">
      <c r="A862" s="8" t="s">
        <v>1832</v>
      </c>
      <c r="B862" s="12" t="s">
        <v>1833</v>
      </c>
      <c r="C862" s="8" t="s">
        <v>1830</v>
      </c>
      <c r="D862" s="12" t="s">
        <v>1831</v>
      </c>
      <c r="E862" s="10" t="str">
        <f aca="true">IFERROR(IF(INDEX(INDIRECT("'"&amp;$AI862&amp;"'!$E$2:$E$327"),MATCH($A862,INDIRECT("'"&amp;$AI862&amp;"'!$A$2:$A$327"),0))="","",INDEX(INDIRECT("'"&amp;$AI862&amp;"'!$E$2:$E$327"),MATCH($A862,INDIRECT("'"&amp;$AI862&amp;"'!$A$2:$A$327"),0))),"")</f>
        <v/>
      </c>
      <c r="F862" s="9" t="str">
        <f aca="false">IF($E862="","",IFERROR(INDEX(担当者マスタ!$B$2:$B$101,MATCH($E862,担当者マスタ!$A$2:$A$101,0)),"※マスタ未登録"))</f>
        <v/>
      </c>
      <c r="G862" s="11" t="n">
        <v>21.08</v>
      </c>
      <c r="H862" s="11" t="n">
        <v>4.2</v>
      </c>
      <c r="I862" s="11" t="n">
        <v>100.2</v>
      </c>
      <c r="J862" s="11" t="n">
        <v>0</v>
      </c>
      <c r="K862" s="11" t="n">
        <v>0</v>
      </c>
      <c r="L862" s="11" t="n">
        <v>61.445</v>
      </c>
      <c r="M862" s="11" t="n">
        <f aca="false">SUM(G862:L862)</f>
        <v>186.925</v>
      </c>
      <c r="N862" s="11" t="n">
        <v>5.2</v>
      </c>
      <c r="O862" s="11" t="n">
        <v>1.89</v>
      </c>
      <c r="P862" s="11" t="n">
        <v>25.82</v>
      </c>
      <c r="Q862" s="11" t="n">
        <v>0</v>
      </c>
      <c r="R862" s="11" t="n">
        <v>0</v>
      </c>
      <c r="S862" s="11" t="n">
        <v>18.945</v>
      </c>
      <c r="T862" s="11" t="n">
        <f aca="false">SUM(N862:S862)</f>
        <v>51.855</v>
      </c>
      <c r="U862" s="11" t="n">
        <v>12.145</v>
      </c>
      <c r="V862" s="11" t="n">
        <v>13.5</v>
      </c>
      <c r="W862" s="11" t="n">
        <v>73.8</v>
      </c>
      <c r="X862" s="11" t="n">
        <v>0</v>
      </c>
      <c r="Y862" s="11" t="n">
        <v>0</v>
      </c>
      <c r="Z862" s="11" t="n">
        <v>0</v>
      </c>
      <c r="AA862" s="11" t="n">
        <f aca="false">SUM(U862:Z862)</f>
        <v>99.445</v>
      </c>
      <c r="AB862" s="11" t="n">
        <v>6.415</v>
      </c>
      <c r="AC862" s="11" t="n">
        <v>2.8</v>
      </c>
      <c r="AD862" s="11" t="n">
        <v>19.85</v>
      </c>
      <c r="AE862" s="11" t="n">
        <v>0</v>
      </c>
      <c r="AF862" s="11" t="n">
        <v>0</v>
      </c>
      <c r="AG862" s="11" t="n">
        <v>0</v>
      </c>
      <c r="AH862" s="11" t="n">
        <f aca="false">SUM(AB862:AG862)</f>
        <v>29.065</v>
      </c>
      <c r="AI862" s="12" t="s">
        <v>955</v>
      </c>
    </row>
    <row r="863" customFormat="false" ht="15" hidden="false" customHeight="false" outlineLevel="0" collapsed="false">
      <c r="A863" s="8" t="s">
        <v>1834</v>
      </c>
      <c r="B863" s="9" t="s">
        <v>1835</v>
      </c>
      <c r="C863" s="8" t="s">
        <v>1830</v>
      </c>
      <c r="D863" s="12" t="s">
        <v>1831</v>
      </c>
      <c r="E863" s="10" t="str">
        <f aca="true">IFERROR(IF(INDEX(INDIRECT("'"&amp;$AI863&amp;"'!$E$2:$E$327"),MATCH($A863,INDIRECT("'"&amp;$AI863&amp;"'!$A$2:$A$327"),0))="","",INDEX(INDIRECT("'"&amp;$AI863&amp;"'!$E$2:$E$327"),MATCH($A863,INDIRECT("'"&amp;$AI863&amp;"'!$A$2:$A$327"),0))),"")</f>
        <v/>
      </c>
      <c r="F863" s="9" t="str">
        <f aca="false">IF($E863="","",IFERROR(INDEX(担当者マスタ!$B$2:$B$101,MATCH($E863,担当者マスタ!$A$2:$A$101,0)),"※マスタ未登録"))</f>
        <v/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f aca="false">SUM(G863:L863)</f>
        <v>0</v>
      </c>
      <c r="N863" s="11" t="n">
        <v>0</v>
      </c>
      <c r="O863" s="11" t="n">
        <v>0</v>
      </c>
      <c r="P863" s="11" t="n">
        <v>0</v>
      </c>
      <c r="Q863" s="11" t="n">
        <v>0</v>
      </c>
      <c r="R863" s="11" t="n">
        <v>0</v>
      </c>
      <c r="S863" s="11" t="n">
        <v>0</v>
      </c>
      <c r="T863" s="11" t="n">
        <f aca="false">SUM(N863:S863)</f>
        <v>0</v>
      </c>
      <c r="U863" s="11" t="n">
        <v>0</v>
      </c>
      <c r="V863" s="11" t="n">
        <v>0</v>
      </c>
      <c r="W863" s="11" t="n">
        <v>298.76</v>
      </c>
      <c r="X863" s="11" t="n">
        <v>0</v>
      </c>
      <c r="Y863" s="11" t="n">
        <v>0</v>
      </c>
      <c r="Z863" s="11" t="n">
        <v>0</v>
      </c>
      <c r="AA863" s="11" t="n">
        <f aca="false">SUM(U863:Z863)</f>
        <v>298.76</v>
      </c>
      <c r="AB863" s="11" t="n">
        <v>0</v>
      </c>
      <c r="AC863" s="11" t="n">
        <v>0</v>
      </c>
      <c r="AD863" s="11" t="n">
        <v>40.348</v>
      </c>
      <c r="AE863" s="11" t="n">
        <v>0</v>
      </c>
      <c r="AF863" s="11" t="n">
        <v>0</v>
      </c>
      <c r="AG863" s="11" t="n">
        <v>0</v>
      </c>
      <c r="AH863" s="11" t="n">
        <f aca="false">SUM(AB863:AG863)</f>
        <v>40.348</v>
      </c>
      <c r="AI863" s="12" t="s">
        <v>955</v>
      </c>
    </row>
    <row r="864" customFormat="false" ht="15" hidden="false" customHeight="false" outlineLevel="0" collapsed="false">
      <c r="A864" s="8" t="s">
        <v>1836</v>
      </c>
      <c r="B864" s="12" t="s">
        <v>1837</v>
      </c>
      <c r="C864" s="8" t="s">
        <v>1830</v>
      </c>
      <c r="D864" s="12" t="s">
        <v>1831</v>
      </c>
      <c r="E864" s="10" t="str">
        <f aca="true">IFERROR(IF(INDEX(INDIRECT("'"&amp;$AI864&amp;"'!$E$2:$E$327"),MATCH($A864,INDIRECT("'"&amp;$AI864&amp;"'!$A$2:$A$327"),0))="","",INDEX(INDIRECT("'"&amp;$AI864&amp;"'!$E$2:$E$327"),MATCH($A864,INDIRECT("'"&amp;$AI864&amp;"'!$A$2:$A$327"),0))),"")</f>
        <v/>
      </c>
      <c r="F864" s="9" t="str">
        <f aca="false">IF($E864="","",IFERROR(INDEX(担当者マスタ!$B$2:$B$101,MATCH($E864,担当者マスタ!$A$2:$A$101,0)),"※マスタ未登録"))</f>
        <v/>
      </c>
      <c r="G864" s="11" t="n">
        <v>14.84</v>
      </c>
      <c r="H864" s="11" t="n">
        <v>43.5</v>
      </c>
      <c r="I864" s="11" t="n">
        <v>25</v>
      </c>
      <c r="J864" s="11" t="n">
        <v>23.3</v>
      </c>
      <c r="K864" s="11" t="n">
        <v>0</v>
      </c>
      <c r="L864" s="11" t="n">
        <v>0</v>
      </c>
      <c r="M864" s="11" t="n">
        <f aca="false">SUM(G864:L864)</f>
        <v>106.64</v>
      </c>
      <c r="N864" s="11" t="n">
        <v>11.92</v>
      </c>
      <c r="O864" s="11" t="n">
        <v>21.04</v>
      </c>
      <c r="P864" s="11" t="n">
        <v>9.5</v>
      </c>
      <c r="Q864" s="11" t="n">
        <v>12.6</v>
      </c>
      <c r="R864" s="11" t="n">
        <v>0</v>
      </c>
      <c r="S864" s="11" t="n">
        <v>0</v>
      </c>
      <c r="T864" s="11" t="n">
        <f aca="false">SUM(N864:S864)</f>
        <v>55.06</v>
      </c>
      <c r="U864" s="11" t="n">
        <v>24.5</v>
      </c>
      <c r="V864" s="11" t="n">
        <v>8</v>
      </c>
      <c r="W864" s="11" t="n">
        <v>6.88</v>
      </c>
      <c r="X864" s="11" t="n">
        <v>6.4</v>
      </c>
      <c r="Y864" s="11" t="n">
        <v>332.5</v>
      </c>
      <c r="Z864" s="11" t="n">
        <v>258.5</v>
      </c>
      <c r="AA864" s="11" t="n">
        <f aca="false">SUM(U864:Z864)</f>
        <v>636.78</v>
      </c>
      <c r="AB864" s="11" t="n">
        <v>6.1</v>
      </c>
      <c r="AC864" s="11" t="n">
        <v>7.5</v>
      </c>
      <c r="AD864" s="11" t="n">
        <v>2.13</v>
      </c>
      <c r="AE864" s="11" t="n">
        <v>2.6</v>
      </c>
      <c r="AF864" s="11" t="n">
        <v>139.226</v>
      </c>
      <c r="AG864" s="11" t="n">
        <v>122.372</v>
      </c>
      <c r="AH864" s="11" t="n">
        <f aca="false">SUM(AB864:AG864)</f>
        <v>279.928</v>
      </c>
      <c r="AI864" s="12" t="s">
        <v>955</v>
      </c>
    </row>
    <row r="865" customFormat="false" ht="15" hidden="false" customHeight="false" outlineLevel="0" collapsed="false">
      <c r="A865" s="8" t="s">
        <v>1838</v>
      </c>
      <c r="B865" s="12" t="s">
        <v>1839</v>
      </c>
      <c r="C865" s="8" t="s">
        <v>1830</v>
      </c>
      <c r="D865" s="12" t="s">
        <v>1831</v>
      </c>
      <c r="E865" s="10" t="str">
        <f aca="true">IFERROR(IF(INDEX(INDIRECT("'"&amp;$AI865&amp;"'!$E$2:$E$327"),MATCH($A865,INDIRECT("'"&amp;$AI865&amp;"'!$A$2:$A$327"),0))="","",INDEX(INDIRECT("'"&amp;$AI865&amp;"'!$E$2:$E$327"),MATCH($A865,INDIRECT("'"&amp;$AI865&amp;"'!$A$2:$A$327"),0))),"")</f>
        <v/>
      </c>
      <c r="F865" s="9" t="str">
        <f aca="false">IF($E865="","",IFERROR(INDEX(担当者マスタ!$B$2:$B$101,MATCH($E865,担当者マスタ!$A$2:$A$101,0)),"※マスタ未登録"))</f>
        <v/>
      </c>
      <c r="G865" s="11" t="n">
        <v>23450.687</v>
      </c>
      <c r="H865" s="11" t="n">
        <v>25632.074</v>
      </c>
      <c r="I865" s="11" t="n">
        <v>20281.007</v>
      </c>
      <c r="J865" s="11" t="n">
        <v>11489.691</v>
      </c>
      <c r="K865" s="11" t="n">
        <v>5880.966</v>
      </c>
      <c r="L865" s="11" t="n">
        <v>4077.963</v>
      </c>
      <c r="M865" s="11" t="n">
        <f aca="false">SUM(G865:L865)</f>
        <v>90812.388</v>
      </c>
      <c r="N865" s="11" t="n">
        <v>5130.855</v>
      </c>
      <c r="O865" s="11" t="n">
        <v>5935.315</v>
      </c>
      <c r="P865" s="11" t="n">
        <v>4840.803</v>
      </c>
      <c r="Q865" s="11" t="n">
        <v>2366.813</v>
      </c>
      <c r="R865" s="11" t="n">
        <v>1048.557</v>
      </c>
      <c r="S865" s="11" t="n">
        <v>695.682</v>
      </c>
      <c r="T865" s="11" t="n">
        <f aca="false">SUM(N865:S865)</f>
        <v>20018.025</v>
      </c>
      <c r="U865" s="11" t="n">
        <v>20176.031</v>
      </c>
      <c r="V865" s="11" t="n">
        <v>18336.925</v>
      </c>
      <c r="W865" s="11" t="n">
        <v>15387.334</v>
      </c>
      <c r="X865" s="11" t="n">
        <v>7051.025</v>
      </c>
      <c r="Y865" s="11" t="n">
        <v>5092.161</v>
      </c>
      <c r="Z865" s="11" t="n">
        <v>5500.084</v>
      </c>
      <c r="AA865" s="11" t="n">
        <f aca="false">SUM(U865:Z865)</f>
        <v>71543.56</v>
      </c>
      <c r="AB865" s="11" t="n">
        <v>4902.258</v>
      </c>
      <c r="AC865" s="11" t="n">
        <v>4824.327</v>
      </c>
      <c r="AD865" s="11" t="n">
        <v>3950.795</v>
      </c>
      <c r="AE865" s="11" t="n">
        <v>1607.195</v>
      </c>
      <c r="AF865" s="11" t="n">
        <v>836.594</v>
      </c>
      <c r="AG865" s="11" t="n">
        <v>1225.165</v>
      </c>
      <c r="AH865" s="11" t="n">
        <f aca="false">SUM(AB865:AG865)</f>
        <v>17346.334</v>
      </c>
      <c r="AI865" s="12" t="s">
        <v>955</v>
      </c>
    </row>
    <row r="866" customFormat="false" ht="15" hidden="false" customHeight="false" outlineLevel="0" collapsed="false">
      <c r="A866" s="8" t="s">
        <v>1840</v>
      </c>
      <c r="B866" s="12" t="s">
        <v>1841</v>
      </c>
      <c r="C866" s="8" t="s">
        <v>1830</v>
      </c>
      <c r="D866" s="12" t="s">
        <v>1831</v>
      </c>
      <c r="E866" s="10" t="str">
        <f aca="true">IFERROR(IF(INDEX(INDIRECT("'"&amp;$AI866&amp;"'!$E$2:$E$327"),MATCH($A866,INDIRECT("'"&amp;$AI866&amp;"'!$A$2:$A$327"),0))="","",INDEX(INDIRECT("'"&amp;$AI866&amp;"'!$E$2:$E$327"),MATCH($A866,INDIRECT("'"&amp;$AI866&amp;"'!$A$2:$A$327"),0))),"")</f>
        <v/>
      </c>
      <c r="F866" s="9" t="str">
        <f aca="false">IF($E866="","",IFERROR(INDEX(担当者マスタ!$B$2:$B$101,MATCH($E866,担当者マスタ!$A$2:$A$101,0)),"※マスタ未登録"))</f>
        <v/>
      </c>
      <c r="G866" s="11" t="n">
        <v>4878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f aca="false">SUM(G866:L866)</f>
        <v>4878</v>
      </c>
      <c r="N866" s="11" t="n">
        <v>802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  <c r="T866" s="11" t="n">
        <f aca="false">SUM(N866:S866)</f>
        <v>802</v>
      </c>
      <c r="U866" s="11" t="n">
        <v>0</v>
      </c>
      <c r="V866" s="11" t="n">
        <v>0</v>
      </c>
      <c r="W866" s="11" t="n">
        <v>0</v>
      </c>
      <c r="X866" s="11" t="n">
        <v>0</v>
      </c>
      <c r="Y866" s="11" t="n">
        <v>0</v>
      </c>
      <c r="Z866" s="11" t="n">
        <v>0</v>
      </c>
      <c r="AA866" s="11" t="n">
        <f aca="false">SUM(U866:Z866)</f>
        <v>0</v>
      </c>
      <c r="AB866" s="11" t="n">
        <v>0</v>
      </c>
      <c r="AC866" s="11" t="n">
        <v>0</v>
      </c>
      <c r="AD866" s="11" t="n">
        <v>0</v>
      </c>
      <c r="AE866" s="11" t="n">
        <v>0</v>
      </c>
      <c r="AF866" s="11" t="n">
        <v>0</v>
      </c>
      <c r="AG866" s="11" t="n">
        <v>0</v>
      </c>
      <c r="AH866" s="11" t="n">
        <f aca="false">SUM(AB866:AG866)</f>
        <v>0</v>
      </c>
      <c r="AI866" s="12" t="s">
        <v>955</v>
      </c>
    </row>
    <row r="867" customFormat="false" ht="15" hidden="false" customHeight="false" outlineLevel="0" collapsed="false">
      <c r="A867" s="8" t="s">
        <v>1842</v>
      </c>
      <c r="B867" s="9" t="s">
        <v>1843</v>
      </c>
      <c r="C867" s="8" t="s">
        <v>1830</v>
      </c>
      <c r="D867" s="12" t="s">
        <v>1831</v>
      </c>
      <c r="E867" s="10" t="str">
        <f aca="true">IFERROR(IF(INDEX(INDIRECT("'"&amp;$AI867&amp;"'!$E$2:$E$327"),MATCH($A867,INDIRECT("'"&amp;$AI867&amp;"'!$A$2:$A$327"),0))="","",INDEX(INDIRECT("'"&amp;$AI867&amp;"'!$E$2:$E$327"),MATCH($A867,INDIRECT("'"&amp;$AI867&amp;"'!$A$2:$A$327"),0))),"")</f>
        <v/>
      </c>
      <c r="F867" s="9" t="str">
        <f aca="false">IF($E867="","",IFERROR(INDEX(担当者マスタ!$B$2:$B$101,MATCH($E867,担当者マスタ!$A$2:$A$101,0)),"※マスタ未登録"))</f>
        <v/>
      </c>
      <c r="G867" s="11" t="n">
        <v>1178.877</v>
      </c>
      <c r="H867" s="11" t="n">
        <v>1442.944</v>
      </c>
      <c r="I867" s="11" t="n">
        <v>1580.209</v>
      </c>
      <c r="J867" s="11" t="n">
        <v>702.995</v>
      </c>
      <c r="K867" s="11" t="n">
        <v>877.64</v>
      </c>
      <c r="L867" s="11" t="n">
        <v>2303.635</v>
      </c>
      <c r="M867" s="11" t="n">
        <f aca="false">SUM(G867:L867)</f>
        <v>8086.3</v>
      </c>
      <c r="N867" s="11" t="n">
        <v>236.72</v>
      </c>
      <c r="O867" s="11" t="n">
        <v>337.856</v>
      </c>
      <c r="P867" s="11" t="n">
        <v>321.453</v>
      </c>
      <c r="Q867" s="11" t="n">
        <v>244.465</v>
      </c>
      <c r="R867" s="11" t="n">
        <v>277.309</v>
      </c>
      <c r="S867" s="11" t="n">
        <v>593.889</v>
      </c>
      <c r="T867" s="11" t="n">
        <f aca="false">SUM(N867:S867)</f>
        <v>2011.692</v>
      </c>
      <c r="U867" s="11" t="n">
        <v>1955.91</v>
      </c>
      <c r="V867" s="11" t="n">
        <v>1343</v>
      </c>
      <c r="W867" s="11" t="n">
        <v>867.01</v>
      </c>
      <c r="X867" s="11" t="n">
        <v>2057.07</v>
      </c>
      <c r="Y867" s="11" t="n">
        <v>869.57</v>
      </c>
      <c r="Z867" s="11" t="n">
        <v>2005</v>
      </c>
      <c r="AA867" s="11" t="n">
        <f aca="false">SUM(U867:Z867)</f>
        <v>9097.56</v>
      </c>
      <c r="AB867" s="11" t="n">
        <v>334.135</v>
      </c>
      <c r="AC867" s="11" t="n">
        <v>262.337</v>
      </c>
      <c r="AD867" s="11" t="n">
        <v>198.784</v>
      </c>
      <c r="AE867" s="11" t="n">
        <v>573.356</v>
      </c>
      <c r="AF867" s="11" t="n">
        <v>155.603</v>
      </c>
      <c r="AG867" s="11" t="n">
        <v>552.621</v>
      </c>
      <c r="AH867" s="11" t="n">
        <f aca="false">SUM(AB867:AG867)</f>
        <v>2076.836</v>
      </c>
      <c r="AI867" s="12" t="s">
        <v>955</v>
      </c>
    </row>
    <row r="868" customFormat="false" ht="15" hidden="false" customHeight="false" outlineLevel="0" collapsed="false">
      <c r="A868" s="8" t="s">
        <v>1844</v>
      </c>
      <c r="B868" s="12" t="s">
        <v>1845</v>
      </c>
      <c r="C868" s="8" t="s">
        <v>1830</v>
      </c>
      <c r="D868" s="12" t="s">
        <v>1831</v>
      </c>
      <c r="E868" s="10" t="str">
        <f aca="true">IFERROR(IF(INDEX(INDIRECT("'"&amp;$AI868&amp;"'!$E$2:$E$327"),MATCH($A868,INDIRECT("'"&amp;$AI868&amp;"'!$A$2:$A$327"),0))="","",INDEX(INDIRECT("'"&amp;$AI868&amp;"'!$E$2:$E$327"),MATCH($A868,INDIRECT("'"&amp;$AI868&amp;"'!$A$2:$A$327"),0))),"")</f>
        <v/>
      </c>
      <c r="F868" s="9" t="str">
        <f aca="false">IF($E868="","",IFERROR(INDEX(担当者マスタ!$B$2:$B$101,MATCH($E868,担当者マスタ!$A$2:$A$101,0)),"※マスタ未登録"))</f>
        <v/>
      </c>
      <c r="G868" s="11" t="n">
        <v>7.7</v>
      </c>
      <c r="H868" s="11" t="n">
        <v>21.037</v>
      </c>
      <c r="I868" s="11" t="n">
        <v>0</v>
      </c>
      <c r="J868" s="11" t="n">
        <v>10.01</v>
      </c>
      <c r="K868" s="11" t="n">
        <v>14.538</v>
      </c>
      <c r="L868" s="11" t="n">
        <v>13.11</v>
      </c>
      <c r="M868" s="11" t="n">
        <f aca="false">SUM(G868:L868)</f>
        <v>66.395</v>
      </c>
      <c r="N868" s="11" t="n">
        <v>1.2</v>
      </c>
      <c r="O868" s="11" t="n">
        <v>3.374</v>
      </c>
      <c r="P868" s="11" t="n">
        <v>0</v>
      </c>
      <c r="Q868" s="11" t="n">
        <v>1.56</v>
      </c>
      <c r="R868" s="11" t="n">
        <v>1.294</v>
      </c>
      <c r="S868" s="11" t="n">
        <v>2.175</v>
      </c>
      <c r="T868" s="11" t="n">
        <f aca="false">SUM(N868:S868)</f>
        <v>9.603</v>
      </c>
      <c r="U868" s="11" t="n">
        <v>31.1</v>
      </c>
      <c r="V868" s="11" t="n">
        <v>24.4</v>
      </c>
      <c r="W868" s="11" t="n">
        <v>8.68</v>
      </c>
      <c r="X868" s="11" t="n">
        <v>0</v>
      </c>
      <c r="Y868" s="11" t="n">
        <v>5.39</v>
      </c>
      <c r="Z868" s="11" t="n">
        <v>41.342</v>
      </c>
      <c r="AA868" s="11" t="n">
        <f aca="false">SUM(U868:Z868)</f>
        <v>110.912</v>
      </c>
      <c r="AB868" s="11" t="n">
        <v>6.98</v>
      </c>
      <c r="AC868" s="11" t="n">
        <v>3.519</v>
      </c>
      <c r="AD868" s="11" t="n">
        <v>0.88</v>
      </c>
      <c r="AE868" s="11" t="n">
        <v>0</v>
      </c>
      <c r="AF868" s="11" t="n">
        <v>0.84</v>
      </c>
      <c r="AG868" s="11" t="n">
        <v>6.744</v>
      </c>
      <c r="AH868" s="11" t="n">
        <f aca="false">SUM(AB868:AG868)</f>
        <v>18.963</v>
      </c>
      <c r="AI868" s="12" t="s">
        <v>955</v>
      </c>
    </row>
    <row r="869" customFormat="false" ht="15" hidden="false" customHeight="false" outlineLevel="0" collapsed="false">
      <c r="A869" s="8" t="s">
        <v>1846</v>
      </c>
      <c r="B869" s="12" t="s">
        <v>1847</v>
      </c>
      <c r="C869" s="8" t="s">
        <v>1830</v>
      </c>
      <c r="D869" s="12" t="s">
        <v>1831</v>
      </c>
      <c r="E869" s="10" t="str">
        <f aca="true">IFERROR(IF(INDEX(INDIRECT("'"&amp;$AI869&amp;"'!$E$2:$E$327"),MATCH($A869,INDIRECT("'"&amp;$AI869&amp;"'!$A$2:$A$327"),0))="","",INDEX(INDIRECT("'"&amp;$AI869&amp;"'!$E$2:$E$327"),MATCH($A869,INDIRECT("'"&amp;$AI869&amp;"'!$A$2:$A$327"),0))),"")</f>
        <v/>
      </c>
      <c r="F869" s="9" t="str">
        <f aca="false">IF($E869="","",IFERROR(INDEX(担当者マスタ!$B$2:$B$101,MATCH($E869,担当者マスタ!$A$2:$A$101,0)),"※マスタ未登録"))</f>
        <v/>
      </c>
      <c r="G869" s="11" t="n">
        <v>0</v>
      </c>
      <c r="H869" s="11" t="n">
        <v>23.64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f aca="false">SUM(G869:L869)</f>
        <v>23.64</v>
      </c>
      <c r="N869" s="11" t="n">
        <v>0</v>
      </c>
      <c r="O869" s="11" t="n">
        <v>5.16</v>
      </c>
      <c r="P869" s="11" t="n">
        <v>0</v>
      </c>
      <c r="Q869" s="11" t="n">
        <v>0</v>
      </c>
      <c r="R869" s="11" t="n">
        <v>0</v>
      </c>
      <c r="S869" s="11" t="n">
        <v>0</v>
      </c>
      <c r="T869" s="11" t="n">
        <f aca="false">SUM(N869:S869)</f>
        <v>5.16</v>
      </c>
      <c r="U869" s="11" t="n">
        <v>0</v>
      </c>
      <c r="V869" s="11" t="n">
        <v>17.73</v>
      </c>
      <c r="W869" s="11" t="n">
        <v>0</v>
      </c>
      <c r="X869" s="11" t="n">
        <v>0</v>
      </c>
      <c r="Y869" s="11" t="n">
        <v>0</v>
      </c>
      <c r="Z869" s="11" t="n">
        <v>0</v>
      </c>
      <c r="AA869" s="11" t="n">
        <f aca="false">SUM(U869:Z869)</f>
        <v>17.73</v>
      </c>
      <c r="AB869" s="11" t="n">
        <v>0</v>
      </c>
      <c r="AC869" s="11" t="n">
        <v>3.87</v>
      </c>
      <c r="AD869" s="11" t="n">
        <v>0</v>
      </c>
      <c r="AE869" s="11" t="n">
        <v>0</v>
      </c>
      <c r="AF869" s="11" t="n">
        <v>0</v>
      </c>
      <c r="AG869" s="11" t="n">
        <v>0</v>
      </c>
      <c r="AH869" s="11" t="n">
        <f aca="false">SUM(AB869:AG869)</f>
        <v>3.87</v>
      </c>
      <c r="AI869" s="12" t="s">
        <v>955</v>
      </c>
    </row>
    <row r="870" customFormat="false" ht="15" hidden="false" customHeight="false" outlineLevel="0" collapsed="false">
      <c r="A870" s="8" t="s">
        <v>1848</v>
      </c>
      <c r="B870" s="12" t="s">
        <v>1849</v>
      </c>
      <c r="C870" s="8" t="s">
        <v>1830</v>
      </c>
      <c r="D870" s="12" t="s">
        <v>1831</v>
      </c>
      <c r="E870" s="10" t="str">
        <f aca="true">IFERROR(IF(INDEX(INDIRECT("'"&amp;$AI870&amp;"'!$E$2:$E$327"),MATCH($A870,INDIRECT("'"&amp;$AI870&amp;"'!$A$2:$A$327"),0))="","",INDEX(INDIRECT("'"&amp;$AI870&amp;"'!$E$2:$E$327"),MATCH($A870,INDIRECT("'"&amp;$AI870&amp;"'!$A$2:$A$327"),0))),"")</f>
        <v/>
      </c>
      <c r="F870" s="9" t="str">
        <f aca="false">IF($E870="","",IFERROR(INDEX(担当者マスタ!$B$2:$B$101,MATCH($E870,担当者マスタ!$A$2:$A$101,0)),"※マスタ未登録"))</f>
        <v/>
      </c>
      <c r="G870" s="11" t="n">
        <v>8.55</v>
      </c>
      <c r="H870" s="11" t="n">
        <v>0</v>
      </c>
      <c r="I870" s="11" t="n">
        <v>9.6</v>
      </c>
      <c r="J870" s="11" t="n">
        <v>0</v>
      </c>
      <c r="K870" s="11" t="n">
        <v>0</v>
      </c>
      <c r="L870" s="11" t="n">
        <v>32.9</v>
      </c>
      <c r="M870" s="11" t="n">
        <f aca="false">SUM(G870:L870)</f>
        <v>51.05</v>
      </c>
      <c r="N870" s="11" t="n">
        <v>0.337</v>
      </c>
      <c r="O870" s="11" t="n">
        <v>0</v>
      </c>
      <c r="P870" s="11" t="n">
        <v>2.28</v>
      </c>
      <c r="Q870" s="11" t="n">
        <v>0</v>
      </c>
      <c r="R870" s="11" t="n">
        <v>0</v>
      </c>
      <c r="S870" s="11" t="n">
        <v>6.265</v>
      </c>
      <c r="T870" s="11" t="n">
        <f aca="false">SUM(N870:S870)</f>
        <v>8.882</v>
      </c>
      <c r="U870" s="11" t="n">
        <v>0</v>
      </c>
      <c r="V870" s="11" t="n">
        <v>0</v>
      </c>
      <c r="W870" s="11" t="n">
        <v>0</v>
      </c>
      <c r="X870" s="11" t="n">
        <v>0</v>
      </c>
      <c r="Y870" s="11" t="n">
        <v>0</v>
      </c>
      <c r="Z870" s="11" t="n">
        <v>21.96</v>
      </c>
      <c r="AA870" s="11" t="n">
        <f aca="false">SUM(U870:Z870)</f>
        <v>21.96</v>
      </c>
      <c r="AB870" s="11" t="n">
        <v>0</v>
      </c>
      <c r="AC870" s="11" t="n">
        <v>0</v>
      </c>
      <c r="AD870" s="11" t="n">
        <v>0</v>
      </c>
      <c r="AE870" s="11" t="n">
        <v>0</v>
      </c>
      <c r="AF870" s="11" t="n">
        <v>0</v>
      </c>
      <c r="AG870" s="11" t="n">
        <v>6.66</v>
      </c>
      <c r="AH870" s="11" t="n">
        <f aca="false">SUM(AB870:AG870)</f>
        <v>6.66</v>
      </c>
      <c r="AI870" s="12" t="s">
        <v>955</v>
      </c>
    </row>
    <row r="871" customFormat="false" ht="15" hidden="false" customHeight="false" outlineLevel="0" collapsed="false">
      <c r="A871" s="8" t="s">
        <v>1850</v>
      </c>
      <c r="B871" s="12" t="s">
        <v>1851</v>
      </c>
      <c r="C871" s="8" t="s">
        <v>1830</v>
      </c>
      <c r="D871" s="12" t="s">
        <v>1831</v>
      </c>
      <c r="E871" s="10" t="str">
        <f aca="true">IFERROR(IF(INDEX(INDIRECT("'"&amp;$AI871&amp;"'!$E$2:$E$327"),MATCH($A871,INDIRECT("'"&amp;$AI871&amp;"'!$A$2:$A$327"),0))="","",INDEX(INDIRECT("'"&amp;$AI871&amp;"'!$E$2:$E$327"),MATCH($A871,INDIRECT("'"&amp;$AI871&amp;"'!$A$2:$A$327"),0))),"")</f>
        <v/>
      </c>
      <c r="F871" s="9" t="str">
        <f aca="false">IF($E871="","",IFERROR(INDEX(担当者マスタ!$B$2:$B$101,MATCH($E871,担当者マスタ!$A$2:$A$101,0)),"※マスタ未登録"))</f>
        <v/>
      </c>
      <c r="G871" s="11" t="n">
        <v>302.4</v>
      </c>
      <c r="H871" s="11" t="n">
        <v>226.8</v>
      </c>
      <c r="I871" s="11" t="n">
        <v>37.8</v>
      </c>
      <c r="J871" s="11" t="n">
        <v>0</v>
      </c>
      <c r="K871" s="11" t="n">
        <v>0</v>
      </c>
      <c r="L871" s="11" t="n">
        <v>151.2</v>
      </c>
      <c r="M871" s="11" t="n">
        <f aca="false">SUM(G871:L871)</f>
        <v>718.2</v>
      </c>
      <c r="N871" s="11" t="n">
        <v>24</v>
      </c>
      <c r="O871" s="11" t="n">
        <v>18</v>
      </c>
      <c r="P871" s="11" t="n">
        <v>3</v>
      </c>
      <c r="Q871" s="11" t="n">
        <v>0</v>
      </c>
      <c r="R871" s="11" t="n">
        <v>0</v>
      </c>
      <c r="S871" s="11" t="n">
        <v>12</v>
      </c>
      <c r="T871" s="11" t="n">
        <f aca="false">SUM(N871:S871)</f>
        <v>57</v>
      </c>
      <c r="U871" s="11" t="n">
        <v>75.6</v>
      </c>
      <c r="V871" s="11" t="n">
        <v>189</v>
      </c>
      <c r="W871" s="11" t="n">
        <v>302.4</v>
      </c>
      <c r="X871" s="11" t="n">
        <v>75.6</v>
      </c>
      <c r="Y871" s="11" t="n">
        <v>0</v>
      </c>
      <c r="Z871" s="11" t="n">
        <v>0</v>
      </c>
      <c r="AA871" s="11" t="n">
        <f aca="false">SUM(U871:Z871)</f>
        <v>642.6</v>
      </c>
      <c r="AB871" s="11" t="n">
        <v>6</v>
      </c>
      <c r="AC871" s="11" t="n">
        <v>15</v>
      </c>
      <c r="AD871" s="11" t="n">
        <v>24</v>
      </c>
      <c r="AE871" s="11" t="n">
        <v>6</v>
      </c>
      <c r="AF871" s="11" t="n">
        <v>0</v>
      </c>
      <c r="AG871" s="11" t="n">
        <v>0</v>
      </c>
      <c r="AH871" s="11" t="n">
        <f aca="false">SUM(AB871:AG871)</f>
        <v>51</v>
      </c>
      <c r="AI871" s="12" t="s">
        <v>955</v>
      </c>
    </row>
    <row r="872" customFormat="false" ht="15" hidden="false" customHeight="false" outlineLevel="0" collapsed="false">
      <c r="A872" s="8" t="s">
        <v>1852</v>
      </c>
      <c r="B872" s="9" t="s">
        <v>1853</v>
      </c>
      <c r="C872" s="8" t="s">
        <v>1830</v>
      </c>
      <c r="D872" s="12" t="s">
        <v>1831</v>
      </c>
      <c r="E872" s="10" t="str">
        <f aca="true">IFERROR(IF(INDEX(INDIRECT("'"&amp;$AI872&amp;"'!$E$2:$E$327"),MATCH($A872,INDIRECT("'"&amp;$AI872&amp;"'!$A$2:$A$327"),0))="","",INDEX(INDIRECT("'"&amp;$AI872&amp;"'!$E$2:$E$327"),MATCH($A872,INDIRECT("'"&amp;$AI872&amp;"'!$A$2:$A$327"),0))),"")</f>
        <v/>
      </c>
      <c r="F872" s="9" t="str">
        <f aca="false">IF($E872="","",IFERROR(INDEX(担当者マスタ!$B$2:$B$101,MATCH($E872,担当者マスタ!$A$2:$A$101,0)),"※マスタ未登録"))</f>
        <v/>
      </c>
      <c r="G872" s="11" t="n">
        <v>0</v>
      </c>
      <c r="H872" s="11" t="n">
        <v>0</v>
      </c>
      <c r="I872" s="11" t="n">
        <v>10.566</v>
      </c>
      <c r="J872" s="11" t="n">
        <v>3.44</v>
      </c>
      <c r="K872" s="11" t="n">
        <v>45.9</v>
      </c>
      <c r="L872" s="11" t="n">
        <v>0</v>
      </c>
      <c r="M872" s="11" t="n">
        <f aca="false">SUM(G872:L872)</f>
        <v>59.906</v>
      </c>
      <c r="N872" s="11" t="n">
        <v>0</v>
      </c>
      <c r="O872" s="11" t="n">
        <v>0</v>
      </c>
      <c r="P872" s="11" t="n">
        <v>1.902</v>
      </c>
      <c r="Q872" s="11" t="n">
        <v>1.065</v>
      </c>
      <c r="R872" s="11" t="n">
        <v>13.565</v>
      </c>
      <c r="S872" s="11" t="n">
        <v>0</v>
      </c>
      <c r="T872" s="11" t="n">
        <f aca="false">SUM(N872:S872)</f>
        <v>16.532</v>
      </c>
      <c r="U872" s="11" t="n">
        <v>16</v>
      </c>
      <c r="V872" s="11" t="n">
        <v>0</v>
      </c>
      <c r="W872" s="11" t="n">
        <v>0</v>
      </c>
      <c r="X872" s="11" t="n">
        <v>0</v>
      </c>
      <c r="Y872" s="11" t="n">
        <v>0</v>
      </c>
      <c r="Z872" s="11" t="n">
        <v>0</v>
      </c>
      <c r="AA872" s="11" t="n">
        <f aca="false">SUM(U872:Z872)</f>
        <v>16</v>
      </c>
      <c r="AB872" s="11" t="n">
        <v>16</v>
      </c>
      <c r="AC872" s="11" t="n">
        <v>0</v>
      </c>
      <c r="AD872" s="11" t="n">
        <v>0</v>
      </c>
      <c r="AE872" s="11" t="n">
        <v>0</v>
      </c>
      <c r="AF872" s="11" t="n">
        <v>0</v>
      </c>
      <c r="AG872" s="11" t="n">
        <v>0</v>
      </c>
      <c r="AH872" s="11" t="n">
        <f aca="false">SUM(AB872:AG872)</f>
        <v>16</v>
      </c>
      <c r="AI872" s="12" t="s">
        <v>955</v>
      </c>
    </row>
    <row r="873" customFormat="false" ht="15" hidden="false" customHeight="false" outlineLevel="0" collapsed="false">
      <c r="A873" s="8" t="s">
        <v>1854</v>
      </c>
      <c r="B873" s="9" t="s">
        <v>1855</v>
      </c>
      <c r="C873" s="8" t="s">
        <v>1830</v>
      </c>
      <c r="D873" s="12" t="s">
        <v>1831</v>
      </c>
      <c r="E873" s="10" t="str">
        <f aca="true">IFERROR(IF(INDEX(INDIRECT("'"&amp;$AI873&amp;"'!$E$2:$E$327"),MATCH($A873,INDIRECT("'"&amp;$AI873&amp;"'!$A$2:$A$327"),0))="","",INDEX(INDIRECT("'"&amp;$AI873&amp;"'!$E$2:$E$327"),MATCH($A873,INDIRECT("'"&amp;$AI873&amp;"'!$A$2:$A$327"),0))),"")</f>
        <v/>
      </c>
      <c r="F873" s="9" t="str">
        <f aca="false">IF($E873="","",IFERROR(INDEX(担当者マスタ!$B$2:$B$101,MATCH($E873,担当者マスタ!$A$2:$A$101,0)),"※マスタ未登録"))</f>
        <v/>
      </c>
      <c r="G873" s="11" t="n">
        <v>53.2</v>
      </c>
      <c r="H873" s="11" t="n">
        <v>38.18</v>
      </c>
      <c r="I873" s="11" t="n">
        <v>38.18</v>
      </c>
      <c r="J873" s="11" t="n">
        <v>15.02</v>
      </c>
      <c r="K873" s="11" t="n">
        <v>69.06</v>
      </c>
      <c r="L873" s="11" t="n">
        <v>42.02</v>
      </c>
      <c r="M873" s="11" t="n">
        <f aca="false">SUM(G873:L873)</f>
        <v>255.66</v>
      </c>
      <c r="N873" s="11" t="n">
        <v>17.944</v>
      </c>
      <c r="O873" s="11" t="n">
        <v>13.094</v>
      </c>
      <c r="P873" s="11" t="n">
        <v>13.094</v>
      </c>
      <c r="Q873" s="11" t="n">
        <v>4.85</v>
      </c>
      <c r="R873" s="11" t="n">
        <v>28.154</v>
      </c>
      <c r="S873" s="11" t="n">
        <v>14.424</v>
      </c>
      <c r="T873" s="11" t="n">
        <f aca="false">SUM(N873:S873)</f>
        <v>91.56</v>
      </c>
      <c r="U873" s="11" t="n">
        <v>42.02</v>
      </c>
      <c r="V873" s="11" t="n">
        <v>42.02</v>
      </c>
      <c r="W873" s="11" t="n">
        <v>16.54</v>
      </c>
      <c r="X873" s="11" t="n">
        <v>30.13</v>
      </c>
      <c r="Y873" s="11" t="n">
        <v>16.54</v>
      </c>
      <c r="Z873" s="11" t="n">
        <v>42.02</v>
      </c>
      <c r="AA873" s="11" t="n">
        <f aca="false">SUM(U873:Z873)</f>
        <v>189.27</v>
      </c>
      <c r="AB873" s="11" t="n">
        <v>14.424</v>
      </c>
      <c r="AC873" s="11" t="n">
        <v>14.424</v>
      </c>
      <c r="AD873" s="11" t="n">
        <v>5.352</v>
      </c>
      <c r="AE873" s="11" t="n">
        <v>10.122</v>
      </c>
      <c r="AF873" s="11" t="n">
        <v>5.352</v>
      </c>
      <c r="AG873" s="11" t="n">
        <v>14.424</v>
      </c>
      <c r="AH873" s="11" t="n">
        <f aca="false">SUM(AB873:AG873)</f>
        <v>64.098</v>
      </c>
      <c r="AI873" s="12" t="s">
        <v>955</v>
      </c>
    </row>
    <row r="874" customFormat="false" ht="15" hidden="false" customHeight="false" outlineLevel="0" collapsed="false">
      <c r="A874" s="8" t="s">
        <v>1856</v>
      </c>
      <c r="B874" s="12" t="s">
        <v>155</v>
      </c>
      <c r="C874" s="8" t="s">
        <v>1830</v>
      </c>
      <c r="D874" s="12" t="s">
        <v>1831</v>
      </c>
      <c r="E874" s="10" t="str">
        <f aca="true">IFERROR(IF(INDEX(INDIRECT("'"&amp;$AI874&amp;"'!$E$2:$E$327"),MATCH($A874,INDIRECT("'"&amp;$AI874&amp;"'!$A$2:$A$327"),0))="","",INDEX(INDIRECT("'"&amp;$AI874&amp;"'!$E$2:$E$327"),MATCH($A874,INDIRECT("'"&amp;$AI874&amp;"'!$A$2:$A$327"),0))),"")</f>
        <v/>
      </c>
      <c r="F874" s="9" t="str">
        <f aca="false">IF($E874="","",IFERROR(INDEX(担当者マスタ!$B$2:$B$101,MATCH($E874,担当者マスタ!$A$2:$A$101,0)),"※マスタ未登録"))</f>
        <v/>
      </c>
      <c r="G874" s="11" t="n">
        <v>0</v>
      </c>
      <c r="H874" s="11" t="n">
        <v>29.6</v>
      </c>
      <c r="I874" s="11" t="n">
        <v>0</v>
      </c>
      <c r="J874" s="11" t="n">
        <v>0</v>
      </c>
      <c r="K874" s="11" t="n">
        <v>0</v>
      </c>
      <c r="L874" s="11" t="n">
        <v>14.8</v>
      </c>
      <c r="M874" s="11" t="n">
        <f aca="false">SUM(G874:L874)</f>
        <v>44.4</v>
      </c>
      <c r="N874" s="11" t="n">
        <v>0</v>
      </c>
      <c r="O874" s="11" t="n">
        <v>5.12</v>
      </c>
      <c r="P874" s="11" t="n">
        <v>0</v>
      </c>
      <c r="Q874" s="11" t="n">
        <v>0</v>
      </c>
      <c r="R874" s="11" t="n">
        <v>0</v>
      </c>
      <c r="S874" s="11" t="n">
        <v>2.56</v>
      </c>
      <c r="T874" s="11" t="n">
        <f aca="false">SUM(N874:S874)</f>
        <v>7.68</v>
      </c>
      <c r="U874" s="11" t="n">
        <v>14.8</v>
      </c>
      <c r="V874" s="11" t="n">
        <v>0</v>
      </c>
      <c r="W874" s="11" t="n">
        <v>0</v>
      </c>
      <c r="X874" s="11" t="n">
        <v>0</v>
      </c>
      <c r="Y874" s="11" t="n">
        <v>0</v>
      </c>
      <c r="Z874" s="11" t="n">
        <v>0</v>
      </c>
      <c r="AA874" s="11" t="n">
        <f aca="false">SUM(U874:Z874)</f>
        <v>14.8</v>
      </c>
      <c r="AB874" s="11" t="n">
        <v>2.56</v>
      </c>
      <c r="AC874" s="11" t="n">
        <v>0</v>
      </c>
      <c r="AD874" s="11" t="n">
        <v>0</v>
      </c>
      <c r="AE874" s="11" t="n">
        <v>0</v>
      </c>
      <c r="AF874" s="11" t="n">
        <v>0</v>
      </c>
      <c r="AG874" s="11" t="n">
        <v>0</v>
      </c>
      <c r="AH874" s="11" t="n">
        <f aca="false">SUM(AB874:AG874)</f>
        <v>2.56</v>
      </c>
      <c r="AI874" s="12" t="s">
        <v>955</v>
      </c>
    </row>
    <row r="875" customFormat="false" ht="15" hidden="false" customHeight="false" outlineLevel="0" collapsed="false">
      <c r="A875" s="8" t="s">
        <v>1857</v>
      </c>
      <c r="B875" s="12" t="s">
        <v>1858</v>
      </c>
      <c r="C875" s="8" t="s">
        <v>1830</v>
      </c>
      <c r="D875" s="12" t="s">
        <v>1831</v>
      </c>
      <c r="E875" s="10" t="str">
        <f aca="true">IFERROR(IF(INDEX(INDIRECT("'"&amp;$AI875&amp;"'!$E$2:$E$327"),MATCH($A875,INDIRECT("'"&amp;$AI875&amp;"'!$A$2:$A$327"),0))="","",INDEX(INDIRECT("'"&amp;$AI875&amp;"'!$E$2:$E$327"),MATCH($A875,INDIRECT("'"&amp;$AI875&amp;"'!$A$2:$A$327"),0))),"")</f>
        <v/>
      </c>
      <c r="F875" s="9" t="str">
        <f aca="false">IF($E875="","",IFERROR(INDEX(担当者マスタ!$B$2:$B$101,MATCH($E875,担当者マスタ!$A$2:$A$101,0)),"※マスタ未登録"))</f>
        <v/>
      </c>
      <c r="G875" s="11" t="n">
        <v>0</v>
      </c>
      <c r="H875" s="11" t="n">
        <v>0</v>
      </c>
      <c r="I875" s="11" t="n">
        <v>0</v>
      </c>
      <c r="J875" s="11" t="n">
        <v>85.25</v>
      </c>
      <c r="K875" s="11" t="n">
        <v>0</v>
      </c>
      <c r="L875" s="11" t="n">
        <v>14.1</v>
      </c>
      <c r="M875" s="11" t="n">
        <f aca="false">SUM(G875:L875)</f>
        <v>99.35</v>
      </c>
      <c r="N875" s="11" t="n">
        <v>0</v>
      </c>
      <c r="O875" s="11" t="n">
        <v>0</v>
      </c>
      <c r="P875" s="11" t="n">
        <v>0</v>
      </c>
      <c r="Q875" s="11" t="n">
        <v>19.55</v>
      </c>
      <c r="R875" s="11" t="n">
        <v>0</v>
      </c>
      <c r="S875" s="11" t="n">
        <v>0.8</v>
      </c>
      <c r="T875" s="11" t="n">
        <f aca="false">SUM(N875:S875)</f>
        <v>20.35</v>
      </c>
      <c r="U875" s="11" t="n">
        <v>2.61</v>
      </c>
      <c r="V875" s="11" t="n">
        <v>1.305</v>
      </c>
      <c r="W875" s="11" t="n">
        <v>19.8</v>
      </c>
      <c r="X875" s="11" t="n">
        <v>5.8</v>
      </c>
      <c r="Y875" s="11" t="n">
        <v>100.6</v>
      </c>
      <c r="Z875" s="11" t="n">
        <v>0</v>
      </c>
      <c r="AA875" s="11" t="n">
        <f aca="false">SUM(U875:Z875)</f>
        <v>130.115</v>
      </c>
      <c r="AB875" s="11" t="n">
        <v>0.392</v>
      </c>
      <c r="AC875" s="11" t="n">
        <v>0.196</v>
      </c>
      <c r="AD875" s="11" t="n">
        <v>3.06</v>
      </c>
      <c r="AE875" s="11" t="n">
        <v>0.94</v>
      </c>
      <c r="AF875" s="11" t="n">
        <v>21.3</v>
      </c>
      <c r="AG875" s="11" t="n">
        <v>0</v>
      </c>
      <c r="AH875" s="11" t="n">
        <f aca="false">SUM(AB875:AG875)</f>
        <v>25.888</v>
      </c>
      <c r="AI875" s="12" t="s">
        <v>955</v>
      </c>
    </row>
    <row r="876" customFormat="false" ht="15" hidden="false" customHeight="false" outlineLevel="0" collapsed="false">
      <c r="A876" s="8" t="s">
        <v>1859</v>
      </c>
      <c r="B876" s="9" t="s">
        <v>1860</v>
      </c>
      <c r="C876" s="8" t="s">
        <v>1830</v>
      </c>
      <c r="D876" s="12" t="s">
        <v>1831</v>
      </c>
      <c r="E876" s="10" t="str">
        <f aca="true">IFERROR(IF(INDEX(INDIRECT("'"&amp;$AI876&amp;"'!$E$2:$E$327"),MATCH($A876,INDIRECT("'"&amp;$AI876&amp;"'!$A$2:$A$327"),0))="","",INDEX(INDIRECT("'"&amp;$AI876&amp;"'!$E$2:$E$327"),MATCH($A876,INDIRECT("'"&amp;$AI876&amp;"'!$A$2:$A$327"),0))),"")</f>
        <v/>
      </c>
      <c r="F876" s="9" t="str">
        <f aca="false">IF($E876="","",IFERROR(INDEX(担当者マスタ!$B$2:$B$101,MATCH($E876,担当者マスタ!$A$2:$A$101,0)),"※マスタ未登録"))</f>
        <v/>
      </c>
      <c r="G876" s="11" t="n">
        <v>74.16</v>
      </c>
      <c r="H876" s="11" t="n">
        <v>4.6</v>
      </c>
      <c r="I876" s="11" t="n">
        <v>0</v>
      </c>
      <c r="J876" s="11" t="n">
        <v>0</v>
      </c>
      <c r="K876" s="11" t="n">
        <v>19</v>
      </c>
      <c r="L876" s="11" t="n">
        <v>0</v>
      </c>
      <c r="M876" s="11" t="n">
        <f aca="false">SUM(G876:L876)</f>
        <v>97.76</v>
      </c>
      <c r="N876" s="11" t="n">
        <v>16.58</v>
      </c>
      <c r="O876" s="11" t="n">
        <v>0.75</v>
      </c>
      <c r="P876" s="11" t="n">
        <v>0</v>
      </c>
      <c r="Q876" s="11" t="n">
        <v>0</v>
      </c>
      <c r="R876" s="11" t="n">
        <v>4.75</v>
      </c>
      <c r="S876" s="11" t="n">
        <v>0</v>
      </c>
      <c r="T876" s="11" t="n">
        <f aca="false">SUM(N876:S876)</f>
        <v>22.08</v>
      </c>
      <c r="U876" s="11" t="n">
        <v>25.8</v>
      </c>
      <c r="V876" s="11" t="n">
        <v>0</v>
      </c>
      <c r="W876" s="11" t="n">
        <v>0</v>
      </c>
      <c r="X876" s="11" t="n">
        <v>0</v>
      </c>
      <c r="Y876" s="11" t="n">
        <v>0</v>
      </c>
      <c r="Z876" s="11" t="n">
        <v>351</v>
      </c>
      <c r="AA876" s="11" t="n">
        <f aca="false">SUM(U876:Z876)</f>
        <v>376.8</v>
      </c>
      <c r="AB876" s="11" t="n">
        <v>4.72</v>
      </c>
      <c r="AC876" s="11" t="n">
        <v>0</v>
      </c>
      <c r="AD876" s="11" t="n">
        <v>0</v>
      </c>
      <c r="AE876" s="11" t="n">
        <v>0</v>
      </c>
      <c r="AF876" s="11" t="n">
        <v>0</v>
      </c>
      <c r="AG876" s="11" t="n">
        <v>76.95</v>
      </c>
      <c r="AH876" s="11" t="n">
        <f aca="false">SUM(AB876:AG876)</f>
        <v>81.67</v>
      </c>
      <c r="AI876" s="12" t="s">
        <v>955</v>
      </c>
    </row>
    <row r="877" customFormat="false" ht="15" hidden="false" customHeight="false" outlineLevel="0" collapsed="false">
      <c r="A877" s="8" t="s">
        <v>1861</v>
      </c>
      <c r="B877" s="12" t="s">
        <v>1862</v>
      </c>
      <c r="C877" s="8" t="s">
        <v>1830</v>
      </c>
      <c r="D877" s="12" t="s">
        <v>1831</v>
      </c>
      <c r="E877" s="10" t="str">
        <f aca="true">IFERROR(IF(INDEX(INDIRECT("'"&amp;$AI877&amp;"'!$E$2:$E$327"),MATCH($A877,INDIRECT("'"&amp;$AI877&amp;"'!$A$2:$A$327"),0))="","",INDEX(INDIRECT("'"&amp;$AI877&amp;"'!$E$2:$E$327"),MATCH($A877,INDIRECT("'"&amp;$AI877&amp;"'!$A$2:$A$327"),0))),"")</f>
        <v/>
      </c>
      <c r="F877" s="9" t="str">
        <f aca="false">IF($E877="","",IFERROR(INDEX(担当者マスタ!$B$2:$B$101,MATCH($E877,担当者マスタ!$A$2:$A$101,0)),"※マスタ未登録"))</f>
        <v/>
      </c>
      <c r="G877" s="11" t="n">
        <v>21.2</v>
      </c>
      <c r="H877" s="11" t="n">
        <v>21.2</v>
      </c>
      <c r="I877" s="11" t="n">
        <v>15.9</v>
      </c>
      <c r="J877" s="11" t="n">
        <v>0</v>
      </c>
      <c r="K877" s="11" t="n">
        <v>26.5</v>
      </c>
      <c r="L877" s="11" t="n">
        <v>0</v>
      </c>
      <c r="M877" s="11" t="n">
        <f aca="false">SUM(G877:L877)</f>
        <v>84.8</v>
      </c>
      <c r="N877" s="11" t="n">
        <v>2</v>
      </c>
      <c r="O877" s="11" t="n">
        <v>2</v>
      </c>
      <c r="P877" s="11" t="n">
        <v>1.5</v>
      </c>
      <c r="Q877" s="11" t="n">
        <v>0</v>
      </c>
      <c r="R877" s="11" t="n">
        <v>2.5</v>
      </c>
      <c r="S877" s="11" t="n">
        <v>0</v>
      </c>
      <c r="T877" s="11" t="n">
        <f aca="false">SUM(N877:S877)</f>
        <v>8</v>
      </c>
      <c r="U877" s="11" t="n">
        <v>0</v>
      </c>
      <c r="V877" s="11" t="n">
        <v>31.8</v>
      </c>
      <c r="W877" s="11" t="n">
        <v>0</v>
      </c>
      <c r="X877" s="11" t="n">
        <v>0</v>
      </c>
      <c r="Y877" s="11" t="n">
        <v>26.5</v>
      </c>
      <c r="Z877" s="11" t="n">
        <v>0</v>
      </c>
      <c r="AA877" s="11" t="n">
        <f aca="false">SUM(U877:Z877)</f>
        <v>58.3</v>
      </c>
      <c r="AB877" s="11" t="n">
        <v>0</v>
      </c>
      <c r="AC877" s="11" t="n">
        <v>3</v>
      </c>
      <c r="AD877" s="11" t="n">
        <v>0</v>
      </c>
      <c r="AE877" s="11" t="n">
        <v>0</v>
      </c>
      <c r="AF877" s="11" t="n">
        <v>2.5</v>
      </c>
      <c r="AG877" s="11" t="n">
        <v>0</v>
      </c>
      <c r="AH877" s="11" t="n">
        <f aca="false">SUM(AB877:AG877)</f>
        <v>5.5</v>
      </c>
      <c r="AI877" s="12" t="s">
        <v>955</v>
      </c>
    </row>
    <row r="878" customFormat="false" ht="15" hidden="false" customHeight="false" outlineLevel="0" collapsed="false">
      <c r="A878" s="8" t="s">
        <v>1863</v>
      </c>
      <c r="B878" s="12" t="s">
        <v>1864</v>
      </c>
      <c r="C878" s="8" t="s">
        <v>1830</v>
      </c>
      <c r="D878" s="12" t="s">
        <v>1831</v>
      </c>
      <c r="E878" s="10" t="str">
        <f aca="true">IFERROR(IF(INDEX(INDIRECT("'"&amp;$AI878&amp;"'!$E$2:$E$327"),MATCH($A878,INDIRECT("'"&amp;$AI878&amp;"'!$A$2:$A$327"),0))="","",INDEX(INDIRECT("'"&amp;$AI878&amp;"'!$E$2:$E$327"),MATCH($A878,INDIRECT("'"&amp;$AI878&amp;"'!$A$2:$A$327"),0))),"")</f>
        <v/>
      </c>
      <c r="F878" s="9" t="str">
        <f aca="false">IF($E878="","",IFERROR(INDEX(担当者マスタ!$B$2:$B$101,MATCH($E878,担当者マスタ!$A$2:$A$101,0)),"※マスタ未登録"))</f>
        <v/>
      </c>
      <c r="G878" s="11" t="n">
        <v>0</v>
      </c>
      <c r="H878" s="11" t="n">
        <v>31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f aca="false">SUM(G878:L878)</f>
        <v>31</v>
      </c>
      <c r="N878" s="11" t="n">
        <v>0</v>
      </c>
      <c r="O878" s="11" t="n">
        <v>24.09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f aca="false">SUM(N878:S878)</f>
        <v>24.09</v>
      </c>
      <c r="U878" s="11" t="n">
        <v>0</v>
      </c>
      <c r="V878" s="11" t="n">
        <v>0</v>
      </c>
      <c r="W878" s="11" t="n">
        <v>0</v>
      </c>
      <c r="X878" s="11" t="n">
        <v>0</v>
      </c>
      <c r="Y878" s="11" t="n">
        <v>0</v>
      </c>
      <c r="Z878" s="11" t="n">
        <v>0</v>
      </c>
      <c r="AA878" s="11" t="n">
        <f aca="false">SUM(U878:Z878)</f>
        <v>0</v>
      </c>
      <c r="AB878" s="11" t="n">
        <v>0</v>
      </c>
      <c r="AC878" s="11" t="n">
        <v>0</v>
      </c>
      <c r="AD878" s="11" t="n">
        <v>0</v>
      </c>
      <c r="AE878" s="11" t="n">
        <v>0</v>
      </c>
      <c r="AF878" s="11" t="n">
        <v>0</v>
      </c>
      <c r="AG878" s="11" t="n">
        <v>0</v>
      </c>
      <c r="AH878" s="11" t="n">
        <f aca="false">SUM(AB878:AG878)</f>
        <v>0</v>
      </c>
      <c r="AI878" s="12" t="s">
        <v>955</v>
      </c>
    </row>
    <row r="879" customFormat="false" ht="15" hidden="false" customHeight="false" outlineLevel="0" collapsed="false">
      <c r="A879" s="8" t="s">
        <v>1865</v>
      </c>
      <c r="B879" s="12" t="s">
        <v>1866</v>
      </c>
      <c r="C879" s="8" t="s">
        <v>1830</v>
      </c>
      <c r="D879" s="12" t="s">
        <v>1831</v>
      </c>
      <c r="E879" s="10" t="str">
        <f aca="true">IFERROR(IF(INDEX(INDIRECT("'"&amp;$AI879&amp;"'!$E$2:$E$327"),MATCH($A879,INDIRECT("'"&amp;$AI879&amp;"'!$A$2:$A$327"),0))="","",INDEX(INDIRECT("'"&amp;$AI879&amp;"'!$E$2:$E$327"),MATCH($A879,INDIRECT("'"&amp;$AI879&amp;"'!$A$2:$A$327"),0))),"")</f>
        <v/>
      </c>
      <c r="F879" s="9" t="str">
        <f aca="false">IF($E879="","",IFERROR(INDEX(担当者マスタ!$B$2:$B$101,MATCH($E879,担当者マスタ!$A$2:$A$101,0)),"※マスタ未登録"))</f>
        <v/>
      </c>
      <c r="G879" s="11" t="n">
        <v>93.1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41.6</v>
      </c>
      <c r="M879" s="11" t="n">
        <f aca="false">SUM(G879:L879)</f>
        <v>134.7</v>
      </c>
      <c r="N879" s="11" t="n">
        <v>8.5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3.8</v>
      </c>
      <c r="T879" s="11" t="n">
        <f aca="false">SUM(N879:S879)</f>
        <v>12.3</v>
      </c>
      <c r="U879" s="11" t="n">
        <v>103</v>
      </c>
      <c r="V879" s="11" t="n">
        <v>0</v>
      </c>
      <c r="W879" s="11" t="n">
        <v>41.6</v>
      </c>
      <c r="X879" s="11" t="n">
        <v>0</v>
      </c>
      <c r="Y879" s="11" t="n">
        <v>52</v>
      </c>
      <c r="Z879" s="11" t="n">
        <v>0</v>
      </c>
      <c r="AA879" s="11" t="n">
        <f aca="false">SUM(U879:Z879)</f>
        <v>196.6</v>
      </c>
      <c r="AB879" s="11" t="n">
        <v>9.4</v>
      </c>
      <c r="AC879" s="11" t="n">
        <v>0</v>
      </c>
      <c r="AD879" s="11" t="n">
        <v>3.8</v>
      </c>
      <c r="AE879" s="11" t="n">
        <v>0</v>
      </c>
      <c r="AF879" s="11" t="n">
        <v>6</v>
      </c>
      <c r="AG879" s="11" t="n">
        <v>0</v>
      </c>
      <c r="AH879" s="11" t="n">
        <f aca="false">SUM(AB879:AG879)</f>
        <v>19.2</v>
      </c>
      <c r="AI879" s="12" t="s">
        <v>955</v>
      </c>
    </row>
    <row r="880" customFormat="false" ht="15" hidden="false" customHeight="false" outlineLevel="0" collapsed="false">
      <c r="A880" s="8" t="s">
        <v>1867</v>
      </c>
      <c r="B880" s="12" t="s">
        <v>1868</v>
      </c>
      <c r="C880" s="8" t="s">
        <v>1830</v>
      </c>
      <c r="D880" s="12" t="s">
        <v>1831</v>
      </c>
      <c r="E880" s="10" t="str">
        <f aca="true">IFERROR(IF(INDEX(INDIRECT("'"&amp;$AI880&amp;"'!$E$2:$E$327"),MATCH($A880,INDIRECT("'"&amp;$AI880&amp;"'!$A$2:$A$327"),0))="","",INDEX(INDIRECT("'"&amp;$AI880&amp;"'!$E$2:$E$327"),MATCH($A880,INDIRECT("'"&amp;$AI880&amp;"'!$A$2:$A$327"),0))),"")</f>
        <v/>
      </c>
      <c r="F880" s="9" t="str">
        <f aca="false">IF($E880="","",IFERROR(INDEX(担当者マスタ!$B$2:$B$101,MATCH($E880,担当者マスタ!$A$2:$A$101,0)),"※マスタ未登録"))</f>
        <v/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28.98</v>
      </c>
      <c r="M880" s="11" t="n">
        <f aca="false">SUM(G880:L880)</f>
        <v>28.98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5.04</v>
      </c>
      <c r="T880" s="11" t="n">
        <f aca="false">SUM(N880:S880)</f>
        <v>5.04</v>
      </c>
      <c r="U880" s="11" t="n">
        <v>0</v>
      </c>
      <c r="V880" s="11" t="n">
        <v>0</v>
      </c>
      <c r="W880" s="11" t="n">
        <v>0</v>
      </c>
      <c r="X880" s="11" t="n">
        <v>0</v>
      </c>
      <c r="Y880" s="11" t="n">
        <v>28.98</v>
      </c>
      <c r="Z880" s="11" t="n">
        <v>0</v>
      </c>
      <c r="AA880" s="11" t="n">
        <f aca="false">SUM(U880:Z880)</f>
        <v>28.98</v>
      </c>
      <c r="AB880" s="11" t="n">
        <v>0</v>
      </c>
      <c r="AC880" s="11" t="n">
        <v>0</v>
      </c>
      <c r="AD880" s="11" t="n">
        <v>0</v>
      </c>
      <c r="AE880" s="11" t="n">
        <v>0</v>
      </c>
      <c r="AF880" s="11" t="n">
        <v>5.04</v>
      </c>
      <c r="AG880" s="11" t="n">
        <v>0</v>
      </c>
      <c r="AH880" s="11" t="n">
        <f aca="false">SUM(AB880:AG880)</f>
        <v>5.04</v>
      </c>
      <c r="AI880" s="12" t="s">
        <v>955</v>
      </c>
    </row>
    <row r="881" customFormat="false" ht="15" hidden="false" customHeight="false" outlineLevel="0" collapsed="false">
      <c r="A881" s="8" t="s">
        <v>1869</v>
      </c>
      <c r="B881" s="12" t="s">
        <v>1870</v>
      </c>
      <c r="C881" s="8" t="s">
        <v>1830</v>
      </c>
      <c r="D881" s="12" t="s">
        <v>1831</v>
      </c>
      <c r="E881" s="10" t="str">
        <f aca="true">IFERROR(IF(INDEX(INDIRECT("'"&amp;$AI881&amp;"'!$E$2:$E$327"),MATCH($A881,INDIRECT("'"&amp;$AI881&amp;"'!$A$2:$A$327"),0))="","",INDEX(INDIRECT("'"&amp;$AI881&amp;"'!$E$2:$E$327"),MATCH($A881,INDIRECT("'"&amp;$AI881&amp;"'!$A$2:$A$327"),0))),"")</f>
        <v/>
      </c>
      <c r="F881" s="9" t="str">
        <f aca="false">IF($E881="","",IFERROR(INDEX(担当者マスタ!$B$2:$B$101,MATCH($E881,担当者マスタ!$A$2:$A$101,0)),"※マスタ未登録"))</f>
        <v/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f aca="false">SUM(G881:L881)</f>
        <v>0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1" t="n">
        <f aca="false">SUM(N881:S881)</f>
        <v>0</v>
      </c>
      <c r="U881" s="11" t="n">
        <v>326.8</v>
      </c>
      <c r="V881" s="11" t="n">
        <v>215</v>
      </c>
      <c r="W881" s="11" t="n">
        <v>0</v>
      </c>
      <c r="X881" s="11" t="n">
        <v>0</v>
      </c>
      <c r="Y881" s="11" t="n">
        <v>0</v>
      </c>
      <c r="Z881" s="11" t="n">
        <v>0</v>
      </c>
      <c r="AA881" s="11" t="n">
        <f aca="false">SUM(U881:Z881)</f>
        <v>541.8</v>
      </c>
      <c r="AB881" s="11" t="n">
        <v>71.136</v>
      </c>
      <c r="AC881" s="11" t="n">
        <v>46.8</v>
      </c>
      <c r="AD881" s="11" t="n">
        <v>0</v>
      </c>
      <c r="AE881" s="11" t="n">
        <v>0</v>
      </c>
      <c r="AF881" s="11" t="n">
        <v>0</v>
      </c>
      <c r="AG881" s="11" t="n">
        <v>0</v>
      </c>
      <c r="AH881" s="11" t="n">
        <f aca="false">SUM(AB881:AG881)</f>
        <v>117.936</v>
      </c>
      <c r="AI881" s="12" t="s">
        <v>955</v>
      </c>
    </row>
    <row r="882" customFormat="false" ht="15" hidden="false" customHeight="false" outlineLevel="0" collapsed="false">
      <c r="A882" s="8" t="s">
        <v>1871</v>
      </c>
      <c r="B882" s="12" t="s">
        <v>1872</v>
      </c>
      <c r="C882" s="8" t="s">
        <v>1830</v>
      </c>
      <c r="D882" s="12" t="s">
        <v>1831</v>
      </c>
      <c r="E882" s="10" t="str">
        <f aca="true">IFERROR(IF(INDEX(INDIRECT("'"&amp;$AI882&amp;"'!$E$2:$E$327"),MATCH($A882,INDIRECT("'"&amp;$AI882&amp;"'!$A$2:$A$327"),0))="","",INDEX(INDIRECT("'"&amp;$AI882&amp;"'!$E$2:$E$327"),MATCH($A882,INDIRECT("'"&amp;$AI882&amp;"'!$A$2:$A$327"),0))),"")</f>
        <v/>
      </c>
      <c r="F882" s="9" t="str">
        <f aca="false">IF($E882="","",IFERROR(INDEX(担当者マスタ!$B$2:$B$101,MATCH($E882,担当者マスタ!$A$2:$A$101,0)),"※マスタ未登録"))</f>
        <v/>
      </c>
      <c r="G882" s="11" t="n">
        <v>0</v>
      </c>
      <c r="H882" s="11" t="n">
        <v>60.054</v>
      </c>
      <c r="I882" s="11" t="n">
        <v>205.778</v>
      </c>
      <c r="J882" s="11" t="n">
        <v>88.8</v>
      </c>
      <c r="K882" s="11" t="n">
        <v>160.84</v>
      </c>
      <c r="L882" s="11" t="n">
        <v>233.769</v>
      </c>
      <c r="M882" s="11" t="n">
        <f aca="false">SUM(G882:L882)</f>
        <v>749.241</v>
      </c>
      <c r="N882" s="11" t="n">
        <v>0</v>
      </c>
      <c r="O882" s="11" t="n">
        <v>14.508</v>
      </c>
      <c r="P882" s="11" t="n">
        <v>52.626</v>
      </c>
      <c r="Q882" s="11" t="n">
        <v>33.86</v>
      </c>
      <c r="R882" s="11" t="n">
        <v>32.624</v>
      </c>
      <c r="S882" s="11" t="n">
        <v>54.901</v>
      </c>
      <c r="T882" s="11" t="n">
        <f aca="false">SUM(N882:S882)</f>
        <v>188.519</v>
      </c>
      <c r="U882" s="11" t="n">
        <v>65.884</v>
      </c>
      <c r="V882" s="11" t="n">
        <v>202.244</v>
      </c>
      <c r="W882" s="11" t="n">
        <v>132.494</v>
      </c>
      <c r="X882" s="11" t="n">
        <v>101.88</v>
      </c>
      <c r="Y882" s="11" t="n">
        <v>193.134</v>
      </c>
      <c r="Z882" s="11" t="n">
        <v>196.83</v>
      </c>
      <c r="AA882" s="11" t="n">
        <f aca="false">SUM(U882:Z882)</f>
        <v>892.466</v>
      </c>
      <c r="AB882" s="11" t="n">
        <v>15.05</v>
      </c>
      <c r="AC882" s="11" t="n">
        <v>54.476</v>
      </c>
      <c r="AD882" s="11" t="n">
        <v>34.078</v>
      </c>
      <c r="AE882" s="11" t="n">
        <v>24.436</v>
      </c>
      <c r="AF882" s="11" t="n">
        <v>48.65</v>
      </c>
      <c r="AG882" s="11" t="n">
        <v>35.317</v>
      </c>
      <c r="AH882" s="11" t="n">
        <f aca="false">SUM(AB882:AG882)</f>
        <v>212.007</v>
      </c>
      <c r="AI882" s="12" t="s">
        <v>955</v>
      </c>
    </row>
    <row r="883" customFormat="false" ht="15" hidden="false" customHeight="false" outlineLevel="0" collapsed="false">
      <c r="A883" s="8" t="s">
        <v>1873</v>
      </c>
      <c r="B883" s="12" t="s">
        <v>1874</v>
      </c>
      <c r="C883" s="8" t="s">
        <v>1830</v>
      </c>
      <c r="D883" s="12" t="s">
        <v>1831</v>
      </c>
      <c r="E883" s="10" t="str">
        <f aca="true">IFERROR(IF(INDEX(INDIRECT("'"&amp;$AI883&amp;"'!$E$2:$E$327"),MATCH($A883,INDIRECT("'"&amp;$AI883&amp;"'!$A$2:$A$327"),0))="","",INDEX(INDIRECT("'"&amp;$AI883&amp;"'!$E$2:$E$327"),MATCH($A883,INDIRECT("'"&amp;$AI883&amp;"'!$A$2:$A$327"),0))),"")</f>
        <v/>
      </c>
      <c r="F883" s="9" t="str">
        <f aca="false">IF($E883="","",IFERROR(INDEX(担当者マスタ!$B$2:$B$101,MATCH($E883,担当者マスタ!$A$2:$A$101,0)),"※マスタ未登録"))</f>
        <v/>
      </c>
      <c r="G883" s="11" t="n">
        <v>1576.158</v>
      </c>
      <c r="H883" s="11" t="n">
        <v>241.354</v>
      </c>
      <c r="I883" s="11" t="n">
        <v>300.96</v>
      </c>
      <c r="J883" s="11" t="n">
        <v>161.797</v>
      </c>
      <c r="K883" s="11" t="n">
        <v>75.597</v>
      </c>
      <c r="L883" s="11" t="n">
        <v>322.274</v>
      </c>
      <c r="M883" s="11" t="n">
        <f aca="false">SUM(G883:L883)</f>
        <v>2678.14</v>
      </c>
      <c r="N883" s="11" t="n">
        <v>251.703</v>
      </c>
      <c r="O883" s="11" t="n">
        <v>40.705</v>
      </c>
      <c r="P883" s="11" t="n">
        <v>37.701</v>
      </c>
      <c r="Q883" s="11" t="n">
        <v>20.747</v>
      </c>
      <c r="R883" s="11" t="n">
        <v>6.617</v>
      </c>
      <c r="S883" s="11" t="n">
        <v>47.817</v>
      </c>
      <c r="T883" s="11" t="n">
        <f aca="false">SUM(N883:S883)</f>
        <v>405.29</v>
      </c>
      <c r="U883" s="11" t="n">
        <v>618.73</v>
      </c>
      <c r="V883" s="11" t="n">
        <v>623.668</v>
      </c>
      <c r="W883" s="11" t="n">
        <v>791.649</v>
      </c>
      <c r="X883" s="11" t="n">
        <v>193.421</v>
      </c>
      <c r="Y883" s="11" t="n">
        <v>305.575</v>
      </c>
      <c r="Z883" s="11" t="n">
        <v>343.379</v>
      </c>
      <c r="AA883" s="11" t="n">
        <f aca="false">SUM(U883:Z883)</f>
        <v>2876.422</v>
      </c>
      <c r="AB883" s="11" t="n">
        <v>40.901</v>
      </c>
      <c r="AC883" s="11" t="n">
        <v>91.591</v>
      </c>
      <c r="AD883" s="11" t="n">
        <v>112.495</v>
      </c>
      <c r="AE883" s="11" t="n">
        <v>20.405</v>
      </c>
      <c r="AF883" s="11" t="n">
        <v>49.465</v>
      </c>
      <c r="AG883" s="11" t="n">
        <v>51.067</v>
      </c>
      <c r="AH883" s="11" t="n">
        <f aca="false">SUM(AB883:AG883)</f>
        <v>365.924</v>
      </c>
      <c r="AI883" s="12" t="s">
        <v>955</v>
      </c>
    </row>
    <row r="884" customFormat="false" ht="15" hidden="false" customHeight="false" outlineLevel="0" collapsed="false">
      <c r="A884" s="8" t="s">
        <v>1875</v>
      </c>
      <c r="B884" s="12" t="s">
        <v>1876</v>
      </c>
      <c r="C884" s="8" t="s">
        <v>1830</v>
      </c>
      <c r="D884" s="12" t="s">
        <v>1831</v>
      </c>
      <c r="E884" s="10" t="str">
        <f aca="true">IFERROR(IF(INDEX(INDIRECT("'"&amp;$AI884&amp;"'!$E$2:$E$327"),MATCH($A884,INDIRECT("'"&amp;$AI884&amp;"'!$A$2:$A$327"),0))="","",INDEX(INDIRECT("'"&amp;$AI884&amp;"'!$E$2:$E$327"),MATCH($A884,INDIRECT("'"&amp;$AI884&amp;"'!$A$2:$A$327"),0))),"")</f>
        <v/>
      </c>
      <c r="F884" s="9" t="str">
        <f aca="false">IF($E884="","",IFERROR(INDEX(担当者マスタ!$B$2:$B$101,MATCH($E884,担当者マスタ!$A$2:$A$101,0)),"※マスタ未登録"))</f>
        <v/>
      </c>
      <c r="G884" s="11" t="n">
        <v>0</v>
      </c>
      <c r="H884" s="11" t="n">
        <v>133.8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f aca="false">SUM(G884:L884)</f>
        <v>133.8</v>
      </c>
      <c r="N884" s="11" t="n">
        <v>0</v>
      </c>
      <c r="O884" s="11" t="n">
        <v>37.1</v>
      </c>
      <c r="P884" s="11" t="n">
        <v>0</v>
      </c>
      <c r="Q884" s="11" t="n">
        <v>0</v>
      </c>
      <c r="R884" s="11" t="n">
        <v>0</v>
      </c>
      <c r="S884" s="11" t="n">
        <v>0</v>
      </c>
      <c r="T884" s="11" t="n">
        <f aca="false">SUM(N884:S884)</f>
        <v>37.1</v>
      </c>
      <c r="U884" s="11" t="n">
        <v>0</v>
      </c>
      <c r="V884" s="11" t="n">
        <v>61.54</v>
      </c>
      <c r="W884" s="11" t="n">
        <v>0</v>
      </c>
      <c r="X884" s="11" t="n">
        <v>0</v>
      </c>
      <c r="Y884" s="11" t="n">
        <v>0</v>
      </c>
      <c r="Z884" s="11" t="n">
        <v>0</v>
      </c>
      <c r="AA884" s="11" t="n">
        <f aca="false">SUM(U884:Z884)</f>
        <v>61.54</v>
      </c>
      <c r="AB884" s="11" t="n">
        <v>0</v>
      </c>
      <c r="AC884" s="11" t="n">
        <v>9.62</v>
      </c>
      <c r="AD884" s="11" t="n">
        <v>0</v>
      </c>
      <c r="AE884" s="11" t="n">
        <v>0</v>
      </c>
      <c r="AF884" s="11" t="n">
        <v>0</v>
      </c>
      <c r="AG884" s="11" t="n">
        <v>0</v>
      </c>
      <c r="AH884" s="11" t="n">
        <f aca="false">SUM(AB884:AG884)</f>
        <v>9.62</v>
      </c>
      <c r="AI884" s="12" t="s">
        <v>955</v>
      </c>
    </row>
    <row r="885" customFormat="false" ht="15" hidden="false" customHeight="false" outlineLevel="0" collapsed="false">
      <c r="A885" s="8" t="s">
        <v>1877</v>
      </c>
      <c r="B885" s="12" t="s">
        <v>1878</v>
      </c>
      <c r="C885" s="8" t="s">
        <v>1830</v>
      </c>
      <c r="D885" s="12" t="s">
        <v>1831</v>
      </c>
      <c r="E885" s="10" t="str">
        <f aca="true">IFERROR(IF(INDEX(INDIRECT("'"&amp;$AI885&amp;"'!$E$2:$E$327"),MATCH($A885,INDIRECT("'"&amp;$AI885&amp;"'!$A$2:$A$327"),0))="","",INDEX(INDIRECT("'"&amp;$AI885&amp;"'!$E$2:$E$327"),MATCH($A885,INDIRECT("'"&amp;$AI885&amp;"'!$A$2:$A$327"),0))),"")</f>
        <v/>
      </c>
      <c r="F885" s="9" t="str">
        <f aca="false">IF($E885="","",IFERROR(INDEX(担当者マスタ!$B$2:$B$101,MATCH($E885,担当者マスタ!$A$2:$A$101,0)),"※マスタ未登録"))</f>
        <v/>
      </c>
      <c r="G885" s="11" t="n">
        <v>0</v>
      </c>
      <c r="H885" s="11" t="n">
        <v>331.84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f aca="false">SUM(G885:L885)</f>
        <v>331.84</v>
      </c>
      <c r="N885" s="11" t="n">
        <v>0</v>
      </c>
      <c r="O885" s="11" t="n">
        <v>65.322</v>
      </c>
      <c r="P885" s="11" t="n">
        <v>0</v>
      </c>
      <c r="Q885" s="11" t="n">
        <v>0</v>
      </c>
      <c r="R885" s="11" t="n">
        <v>0</v>
      </c>
      <c r="S885" s="11" t="n">
        <v>0</v>
      </c>
      <c r="T885" s="11" t="n">
        <f aca="false">SUM(N885:S885)</f>
        <v>65.322</v>
      </c>
      <c r="U885" s="11" t="n">
        <v>0</v>
      </c>
      <c r="V885" s="11" t="n">
        <v>159.94</v>
      </c>
      <c r="W885" s="11" t="n">
        <v>0</v>
      </c>
      <c r="X885" s="11" t="n">
        <v>0</v>
      </c>
      <c r="Y885" s="11" t="n">
        <v>0</v>
      </c>
      <c r="Z885" s="11" t="n">
        <v>0</v>
      </c>
      <c r="AA885" s="11" t="n">
        <f aca="false">SUM(U885:Z885)</f>
        <v>159.94</v>
      </c>
      <c r="AB885" s="11" t="n">
        <v>0</v>
      </c>
      <c r="AC885" s="11" t="n">
        <v>29.571</v>
      </c>
      <c r="AD885" s="11" t="n">
        <v>0</v>
      </c>
      <c r="AE885" s="11" t="n">
        <v>0</v>
      </c>
      <c r="AF885" s="11" t="n">
        <v>0</v>
      </c>
      <c r="AG885" s="11" t="n">
        <v>0</v>
      </c>
      <c r="AH885" s="11" t="n">
        <f aca="false">SUM(AB885:AG885)</f>
        <v>29.571</v>
      </c>
      <c r="AI885" s="12" t="s">
        <v>955</v>
      </c>
    </row>
    <row r="886" customFormat="false" ht="15" hidden="false" customHeight="false" outlineLevel="0" collapsed="false">
      <c r="A886" s="8" t="s">
        <v>1879</v>
      </c>
      <c r="B886" s="12" t="s">
        <v>1880</v>
      </c>
      <c r="C886" s="8" t="s">
        <v>1830</v>
      </c>
      <c r="D886" s="12" t="s">
        <v>1831</v>
      </c>
      <c r="E886" s="10" t="str">
        <f aca="true">IFERROR(IF(INDEX(INDIRECT("'"&amp;$AI886&amp;"'!$E$2:$E$327"),MATCH($A886,INDIRECT("'"&amp;$AI886&amp;"'!$A$2:$A$327"),0))="","",INDEX(INDIRECT("'"&amp;$AI886&amp;"'!$E$2:$E$327"),MATCH($A886,INDIRECT("'"&amp;$AI886&amp;"'!$A$2:$A$327"),0))),"")</f>
        <v/>
      </c>
      <c r="F886" s="9" t="str">
        <f aca="false">IF($E886="","",IFERROR(INDEX(担当者マスタ!$B$2:$B$101,MATCH($E886,担当者マスタ!$A$2:$A$101,0)),"※マスタ未登録"))</f>
        <v/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f aca="false">SUM(G886:L886)</f>
        <v>0</v>
      </c>
      <c r="N886" s="11" t="n">
        <v>0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1" t="n">
        <f aca="false">SUM(N886:S886)</f>
        <v>0</v>
      </c>
      <c r="U886" s="11" t="n">
        <v>80</v>
      </c>
      <c r="V886" s="11" t="n">
        <v>0</v>
      </c>
      <c r="W886" s="11" t="n">
        <v>42.5</v>
      </c>
      <c r="X886" s="11" t="n">
        <v>0</v>
      </c>
      <c r="Y886" s="11" t="n">
        <v>0</v>
      </c>
      <c r="Z886" s="11" t="n">
        <v>0</v>
      </c>
      <c r="AA886" s="11" t="n">
        <f aca="false">SUM(U886:Z886)</f>
        <v>122.5</v>
      </c>
      <c r="AB886" s="11" t="n">
        <v>8.4</v>
      </c>
      <c r="AC886" s="11" t="n">
        <v>0</v>
      </c>
      <c r="AD886" s="11" t="n">
        <v>4.25</v>
      </c>
      <c r="AE886" s="11" t="n">
        <v>0</v>
      </c>
      <c r="AF886" s="11" t="n">
        <v>0</v>
      </c>
      <c r="AG886" s="11" t="n">
        <v>0</v>
      </c>
      <c r="AH886" s="11" t="n">
        <f aca="false">SUM(AB886:AG886)</f>
        <v>12.65</v>
      </c>
      <c r="AI886" s="12" t="s">
        <v>955</v>
      </c>
    </row>
    <row r="887" customFormat="false" ht="15" hidden="false" customHeight="false" outlineLevel="0" collapsed="false">
      <c r="A887" s="8" t="s">
        <v>1881</v>
      </c>
      <c r="B887" s="12" t="s">
        <v>1882</v>
      </c>
      <c r="C887" s="8" t="s">
        <v>1830</v>
      </c>
      <c r="D887" s="12" t="s">
        <v>1831</v>
      </c>
      <c r="E887" s="10" t="str">
        <f aca="true">IFERROR(IF(INDEX(INDIRECT("'"&amp;$AI887&amp;"'!$E$2:$E$327"),MATCH($A887,INDIRECT("'"&amp;$AI887&amp;"'!$A$2:$A$327"),0))="","",INDEX(INDIRECT("'"&amp;$AI887&amp;"'!$E$2:$E$327"),MATCH($A887,INDIRECT("'"&amp;$AI887&amp;"'!$A$2:$A$327"),0))),"")</f>
        <v/>
      </c>
      <c r="F887" s="9" t="str">
        <f aca="false">IF($E887="","",IFERROR(INDEX(担当者マスタ!$B$2:$B$101,MATCH($E887,担当者マスタ!$A$2:$A$101,0)),"※マスタ未登録"))</f>
        <v/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f aca="false">SUM(G887:L887)</f>
        <v>0</v>
      </c>
      <c r="N887" s="11" t="n">
        <v>0</v>
      </c>
      <c r="O887" s="11" t="n">
        <v>0</v>
      </c>
      <c r="P887" s="11" t="n">
        <v>0</v>
      </c>
      <c r="Q887" s="11" t="n">
        <v>0</v>
      </c>
      <c r="R887" s="11" t="n">
        <v>0</v>
      </c>
      <c r="S887" s="11" t="n">
        <v>0</v>
      </c>
      <c r="T887" s="11" t="n">
        <f aca="false">SUM(N887:S887)</f>
        <v>0</v>
      </c>
      <c r="U887" s="11" t="n">
        <v>0</v>
      </c>
      <c r="V887" s="11" t="n">
        <v>0</v>
      </c>
      <c r="W887" s="11" t="n">
        <v>44.76</v>
      </c>
      <c r="X887" s="11" t="n">
        <v>0</v>
      </c>
      <c r="Y887" s="11" t="n">
        <v>0</v>
      </c>
      <c r="Z887" s="11" t="n">
        <v>100</v>
      </c>
      <c r="AA887" s="11" t="n">
        <f aca="false">SUM(U887:Z887)</f>
        <v>144.76</v>
      </c>
      <c r="AB887" s="11" t="n">
        <v>0</v>
      </c>
      <c r="AC887" s="11" t="n">
        <v>0</v>
      </c>
      <c r="AD887" s="11" t="n">
        <v>33.075</v>
      </c>
      <c r="AE887" s="11" t="n">
        <v>0</v>
      </c>
      <c r="AF887" s="11" t="n">
        <v>0</v>
      </c>
      <c r="AG887" s="11" t="n">
        <v>15</v>
      </c>
      <c r="AH887" s="11" t="n">
        <f aca="false">SUM(AB887:AG887)</f>
        <v>48.075</v>
      </c>
      <c r="AI887" s="12" t="s">
        <v>955</v>
      </c>
    </row>
    <row r="888" customFormat="false" ht="15" hidden="false" customHeight="false" outlineLevel="0" collapsed="false">
      <c r="A888" s="8" t="s">
        <v>1883</v>
      </c>
      <c r="B888" s="12" t="s">
        <v>1884</v>
      </c>
      <c r="C888" s="8" t="s">
        <v>1830</v>
      </c>
      <c r="D888" s="12" t="s">
        <v>1831</v>
      </c>
      <c r="E888" s="10" t="str">
        <f aca="true">IFERROR(IF(INDEX(INDIRECT("'"&amp;$AI888&amp;"'!$E$2:$E$327"),MATCH($A888,INDIRECT("'"&amp;$AI888&amp;"'!$A$2:$A$327"),0))="","",INDEX(INDIRECT("'"&amp;$AI888&amp;"'!$E$2:$E$327"),MATCH($A888,INDIRECT("'"&amp;$AI888&amp;"'!$A$2:$A$327"),0))),"")</f>
        <v/>
      </c>
      <c r="F888" s="9" t="str">
        <f aca="false">IF($E888="","",IFERROR(INDEX(担当者マスタ!$B$2:$B$101,MATCH($E888,担当者マスタ!$A$2:$A$101,0)),"※マスタ未登録"))</f>
        <v/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f aca="false">SUM(G888:L888)</f>
        <v>0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  <c r="T888" s="11" t="n">
        <f aca="false">SUM(N888:S888)</f>
        <v>0</v>
      </c>
      <c r="U888" s="11" t="n">
        <v>0</v>
      </c>
      <c r="V888" s="11" t="n">
        <v>0</v>
      </c>
      <c r="W888" s="11" t="n">
        <v>0</v>
      </c>
      <c r="X888" s="11" t="n">
        <v>0</v>
      </c>
      <c r="Y888" s="11" t="n">
        <v>31.74</v>
      </c>
      <c r="Z888" s="11" t="n">
        <v>98.65</v>
      </c>
      <c r="AA888" s="11" t="n">
        <f aca="false">SUM(U888:Z888)</f>
        <v>130.39</v>
      </c>
      <c r="AB888" s="11" t="n">
        <v>0</v>
      </c>
      <c r="AC888" s="11" t="n">
        <v>0</v>
      </c>
      <c r="AD888" s="11" t="n">
        <v>0</v>
      </c>
      <c r="AE888" s="11" t="n">
        <v>0</v>
      </c>
      <c r="AF888" s="11" t="n">
        <v>2.048</v>
      </c>
      <c r="AG888" s="11" t="n">
        <v>59.735</v>
      </c>
      <c r="AH888" s="11" t="n">
        <f aca="false">SUM(AB888:AG888)</f>
        <v>61.783</v>
      </c>
      <c r="AI888" s="12" t="s">
        <v>955</v>
      </c>
    </row>
    <row r="889" customFormat="false" ht="15" hidden="false" customHeight="false" outlineLevel="0" collapsed="false">
      <c r="A889" s="8" t="s">
        <v>1885</v>
      </c>
      <c r="B889" s="12" t="s">
        <v>1886</v>
      </c>
      <c r="C889" s="8" t="s">
        <v>1887</v>
      </c>
      <c r="D889" s="12" t="s">
        <v>1888</v>
      </c>
      <c r="E889" s="10" t="str">
        <f aca="true">IFERROR(IF(INDEX(INDIRECT("'"&amp;$AI889&amp;"'!$E$2:$E$327"),MATCH($A889,INDIRECT("'"&amp;$AI889&amp;"'!$A$2:$A$327"),0))="","",INDEX(INDIRECT("'"&amp;$AI889&amp;"'!$E$2:$E$327"),MATCH($A889,INDIRECT("'"&amp;$AI889&amp;"'!$A$2:$A$327"),0))),"")</f>
        <v/>
      </c>
      <c r="F889" s="9" t="str">
        <f aca="false">IF($E889="","",IFERROR(INDEX(担当者マスタ!$B$2:$B$101,MATCH($E889,担当者マスタ!$A$2:$A$101,0)),"※マスタ未登録"))</f>
        <v/>
      </c>
      <c r="G889" s="11" t="n">
        <v>54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f aca="false">SUM(G889:L889)</f>
        <v>54</v>
      </c>
      <c r="N889" s="11" t="n">
        <v>11.65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1" t="n">
        <f aca="false">SUM(N889:S889)</f>
        <v>11.65</v>
      </c>
      <c r="U889" s="11" t="n">
        <v>0</v>
      </c>
      <c r="V889" s="11" t="n">
        <v>0</v>
      </c>
      <c r="W889" s="11" t="n">
        <v>0</v>
      </c>
      <c r="X889" s="11" t="n">
        <v>0</v>
      </c>
      <c r="Y889" s="11" t="n">
        <v>320</v>
      </c>
      <c r="Z889" s="11" t="n">
        <v>0</v>
      </c>
      <c r="AA889" s="11" t="n">
        <f aca="false">SUM(U889:Z889)</f>
        <v>320</v>
      </c>
      <c r="AB889" s="11" t="n">
        <v>0</v>
      </c>
      <c r="AC889" s="11" t="n">
        <v>0</v>
      </c>
      <c r="AD889" s="11" t="n">
        <v>0</v>
      </c>
      <c r="AE889" s="11" t="n">
        <v>0</v>
      </c>
      <c r="AF889" s="11" t="n">
        <v>75</v>
      </c>
      <c r="AG889" s="11" t="n">
        <v>0</v>
      </c>
      <c r="AH889" s="11" t="n">
        <f aca="false">SUM(AB889:AG889)</f>
        <v>75</v>
      </c>
      <c r="AI889" s="12" t="s">
        <v>955</v>
      </c>
    </row>
    <row r="890" customFormat="false" ht="15" hidden="false" customHeight="false" outlineLevel="0" collapsed="false">
      <c r="A890" s="8" t="s">
        <v>1889</v>
      </c>
      <c r="B890" s="12" t="s">
        <v>1890</v>
      </c>
      <c r="C890" s="8" t="s">
        <v>1887</v>
      </c>
      <c r="D890" s="12" t="s">
        <v>1888</v>
      </c>
      <c r="E890" s="10" t="str">
        <f aca="true">IFERROR(IF(INDEX(INDIRECT("'"&amp;$AI890&amp;"'!$E$2:$E$327"),MATCH($A890,INDIRECT("'"&amp;$AI890&amp;"'!$A$2:$A$327"),0))="","",INDEX(INDIRECT("'"&amp;$AI890&amp;"'!$E$2:$E$327"),MATCH($A890,INDIRECT("'"&amp;$AI890&amp;"'!$A$2:$A$327"),0))),"")</f>
        <v/>
      </c>
      <c r="F890" s="9" t="str">
        <f aca="false">IF($E890="","",IFERROR(INDEX(担当者マスタ!$B$2:$B$101,MATCH($E890,担当者マスタ!$A$2:$A$101,0)),"※マスタ未登録"))</f>
        <v/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f aca="false">SUM(G890:L890)</f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1" t="n">
        <f aca="false">SUM(N890:S890)</f>
        <v>0</v>
      </c>
      <c r="U890" s="11" t="n">
        <v>0</v>
      </c>
      <c r="V890" s="11" t="n">
        <v>0</v>
      </c>
      <c r="W890" s="11" t="n">
        <v>0</v>
      </c>
      <c r="X890" s="11" t="n">
        <v>0</v>
      </c>
      <c r="Y890" s="11" t="n">
        <v>0</v>
      </c>
      <c r="Z890" s="11" t="n">
        <v>16000</v>
      </c>
      <c r="AA890" s="11" t="n">
        <f aca="false">SUM(U890:Z890)</f>
        <v>16000</v>
      </c>
      <c r="AB890" s="11" t="n">
        <v>0</v>
      </c>
      <c r="AC890" s="11" t="n">
        <v>0</v>
      </c>
      <c r="AD890" s="11" t="n">
        <v>0</v>
      </c>
      <c r="AE890" s="11" t="n">
        <v>0</v>
      </c>
      <c r="AF890" s="11" t="n">
        <v>0</v>
      </c>
      <c r="AG890" s="11" t="n">
        <v>3974.964</v>
      </c>
      <c r="AH890" s="11" t="n">
        <f aca="false">SUM(AB890:AG890)</f>
        <v>3974.964</v>
      </c>
      <c r="AI890" s="12" t="s">
        <v>955</v>
      </c>
    </row>
    <row r="891" customFormat="false" ht="15" hidden="false" customHeight="false" outlineLevel="0" collapsed="false">
      <c r="A891" s="8" t="s">
        <v>1891</v>
      </c>
      <c r="B891" s="12" t="s">
        <v>1892</v>
      </c>
      <c r="C891" s="8" t="s">
        <v>1887</v>
      </c>
      <c r="D891" s="12" t="s">
        <v>1888</v>
      </c>
      <c r="E891" s="10" t="str">
        <f aca="true">IFERROR(IF(INDEX(INDIRECT("'"&amp;$AI891&amp;"'!$E$2:$E$327"),MATCH($A891,INDIRECT("'"&amp;$AI891&amp;"'!$A$2:$A$327"),0))="","",INDEX(INDIRECT("'"&amp;$AI891&amp;"'!$E$2:$E$327"),MATCH($A891,INDIRECT("'"&amp;$AI891&amp;"'!$A$2:$A$327"),0))),"")</f>
        <v/>
      </c>
      <c r="F891" s="9" t="str">
        <f aca="false">IF($E891="","",IFERROR(INDEX(担当者マスタ!$B$2:$B$101,MATCH($E891,担当者マスタ!$A$2:$A$101,0)),"※マスタ未登録"))</f>
        <v/>
      </c>
      <c r="G891" s="11" t="n">
        <v>0</v>
      </c>
      <c r="H891" s="11" t="n">
        <v>0</v>
      </c>
      <c r="I891" s="11" t="n">
        <v>10.4</v>
      </c>
      <c r="J891" s="11" t="n">
        <v>0</v>
      </c>
      <c r="K891" s="11" t="n">
        <v>0</v>
      </c>
      <c r="L891" s="11" t="n">
        <v>0</v>
      </c>
      <c r="M891" s="11" t="n">
        <f aca="false">SUM(G891:L891)</f>
        <v>10.4</v>
      </c>
      <c r="N891" s="11" t="n">
        <v>0</v>
      </c>
      <c r="O891" s="11" t="n">
        <v>0</v>
      </c>
      <c r="P891" s="11" t="n">
        <v>3.36</v>
      </c>
      <c r="Q891" s="11" t="n">
        <v>0</v>
      </c>
      <c r="R891" s="11" t="n">
        <v>0</v>
      </c>
      <c r="S891" s="11" t="n">
        <v>0</v>
      </c>
      <c r="T891" s="11" t="n">
        <f aca="false">SUM(N891:S891)</f>
        <v>3.36</v>
      </c>
      <c r="U891" s="11" t="n">
        <v>0</v>
      </c>
      <c r="V891" s="11" t="n">
        <v>0</v>
      </c>
      <c r="W891" s="11" t="n">
        <v>0</v>
      </c>
      <c r="X891" s="11" t="n">
        <v>0</v>
      </c>
      <c r="Y891" s="11" t="n">
        <v>0</v>
      </c>
      <c r="Z891" s="11" t="n">
        <v>0</v>
      </c>
      <c r="AA891" s="11" t="n">
        <f aca="false">SUM(U891:Z891)</f>
        <v>0</v>
      </c>
      <c r="AB891" s="11" t="n">
        <v>0</v>
      </c>
      <c r="AC891" s="11" t="n">
        <v>0</v>
      </c>
      <c r="AD891" s="11" t="n">
        <v>0</v>
      </c>
      <c r="AE891" s="11" t="n">
        <v>0</v>
      </c>
      <c r="AF891" s="11" t="n">
        <v>0</v>
      </c>
      <c r="AG891" s="11" t="n">
        <v>0</v>
      </c>
      <c r="AH891" s="11" t="n">
        <f aca="false">SUM(AB891:AG891)</f>
        <v>0</v>
      </c>
      <c r="AI891" s="12" t="s">
        <v>955</v>
      </c>
    </row>
    <row r="892" customFormat="false" ht="15" hidden="false" customHeight="false" outlineLevel="0" collapsed="false">
      <c r="A892" s="8" t="s">
        <v>1893</v>
      </c>
      <c r="B892" s="12" t="s">
        <v>1894</v>
      </c>
      <c r="C892" s="8" t="s">
        <v>1887</v>
      </c>
      <c r="D892" s="12" t="s">
        <v>1888</v>
      </c>
      <c r="E892" s="10" t="str">
        <f aca="true">IFERROR(IF(INDEX(INDIRECT("'"&amp;$AI892&amp;"'!$E$2:$E$327"),MATCH($A892,INDIRECT("'"&amp;$AI892&amp;"'!$A$2:$A$327"),0))="","",INDEX(INDIRECT("'"&amp;$AI892&amp;"'!$E$2:$E$327"),MATCH($A892,INDIRECT("'"&amp;$AI892&amp;"'!$A$2:$A$327"),0))),"")</f>
        <v/>
      </c>
      <c r="F892" s="9" t="str">
        <f aca="false">IF($E892="","",IFERROR(INDEX(担当者マスタ!$B$2:$B$101,MATCH($E892,担当者マスタ!$A$2:$A$101,0)),"※マスタ未登録"))</f>
        <v/>
      </c>
      <c r="G892" s="11" t="n">
        <v>0</v>
      </c>
      <c r="H892" s="11" t="n">
        <v>195.252</v>
      </c>
      <c r="I892" s="11" t="n">
        <v>0</v>
      </c>
      <c r="J892" s="11" t="n">
        <v>0</v>
      </c>
      <c r="K892" s="11" t="n">
        <v>0</v>
      </c>
      <c r="L892" s="11" t="n">
        <v>86.64</v>
      </c>
      <c r="M892" s="11" t="n">
        <f aca="false">SUM(G892:L892)</f>
        <v>281.892</v>
      </c>
      <c r="N892" s="11" t="n">
        <v>0</v>
      </c>
      <c r="O892" s="11" t="n">
        <v>41.445</v>
      </c>
      <c r="P892" s="11" t="n">
        <v>0</v>
      </c>
      <c r="Q892" s="11" t="n">
        <v>0</v>
      </c>
      <c r="R892" s="11" t="n">
        <v>0</v>
      </c>
      <c r="S892" s="11" t="n">
        <v>16.72</v>
      </c>
      <c r="T892" s="11" t="n">
        <f aca="false">SUM(N892:S892)</f>
        <v>58.165</v>
      </c>
      <c r="U892" s="11" t="n">
        <v>163.664</v>
      </c>
      <c r="V892" s="11" t="n">
        <v>0</v>
      </c>
      <c r="W892" s="11" t="n">
        <v>0</v>
      </c>
      <c r="X892" s="11" t="n">
        <v>0</v>
      </c>
      <c r="Y892" s="11" t="n">
        <v>0</v>
      </c>
      <c r="Z892" s="11" t="n">
        <v>0</v>
      </c>
      <c r="AA892" s="11" t="n">
        <f aca="false">SUM(U892:Z892)</f>
        <v>163.664</v>
      </c>
      <c r="AB892" s="11" t="n">
        <v>32.436</v>
      </c>
      <c r="AC892" s="11" t="n">
        <v>0</v>
      </c>
      <c r="AD892" s="11" t="n">
        <v>0</v>
      </c>
      <c r="AE892" s="11" t="n">
        <v>0</v>
      </c>
      <c r="AF892" s="11" t="n">
        <v>0</v>
      </c>
      <c r="AG892" s="11" t="n">
        <v>0</v>
      </c>
      <c r="AH892" s="11" t="n">
        <f aca="false">SUM(AB892:AG892)</f>
        <v>32.436</v>
      </c>
      <c r="AI892" s="12" t="s">
        <v>955</v>
      </c>
    </row>
    <row r="893" customFormat="false" ht="15" hidden="false" customHeight="false" outlineLevel="0" collapsed="false">
      <c r="A893" s="8" t="s">
        <v>1895</v>
      </c>
      <c r="B893" s="9" t="s">
        <v>1896</v>
      </c>
      <c r="C893" s="8" t="s">
        <v>1887</v>
      </c>
      <c r="D893" s="12" t="s">
        <v>1888</v>
      </c>
      <c r="E893" s="10" t="str">
        <f aca="true">IFERROR(IF(INDEX(INDIRECT("'"&amp;$AI893&amp;"'!$E$2:$E$327"),MATCH($A893,INDIRECT("'"&amp;$AI893&amp;"'!$A$2:$A$327"),0))="","",INDEX(INDIRECT("'"&amp;$AI893&amp;"'!$E$2:$E$327"),MATCH($A893,INDIRECT("'"&amp;$AI893&amp;"'!$A$2:$A$327"),0))),"")</f>
        <v/>
      </c>
      <c r="F893" s="9" t="str">
        <f aca="false">IF($E893="","",IFERROR(INDEX(担当者マスタ!$B$2:$B$101,MATCH($E893,担当者マスタ!$A$2:$A$101,0)),"※マスタ未登録"))</f>
        <v/>
      </c>
      <c r="G893" s="11" t="n">
        <v>41.165</v>
      </c>
      <c r="H893" s="11" t="n">
        <v>0</v>
      </c>
      <c r="I893" s="11" t="n">
        <v>60.403</v>
      </c>
      <c r="J893" s="11" t="n">
        <v>0</v>
      </c>
      <c r="K893" s="11" t="n">
        <v>1344.679</v>
      </c>
      <c r="L893" s="11" t="n">
        <v>13.187</v>
      </c>
      <c r="M893" s="11" t="n">
        <f aca="false">SUM(G893:L893)</f>
        <v>1459.434</v>
      </c>
      <c r="N893" s="11" t="n">
        <v>6.365</v>
      </c>
      <c r="O893" s="11" t="n">
        <v>0</v>
      </c>
      <c r="P893" s="11" t="n">
        <v>13.853</v>
      </c>
      <c r="Q893" s="11" t="n">
        <v>0</v>
      </c>
      <c r="R893" s="11" t="n">
        <v>352.066</v>
      </c>
      <c r="S893" s="11" t="n">
        <v>5.362</v>
      </c>
      <c r="T893" s="11" t="n">
        <f aca="false">SUM(N893:S893)</f>
        <v>377.646</v>
      </c>
      <c r="U893" s="11" t="n">
        <v>0</v>
      </c>
      <c r="V893" s="11" t="n">
        <v>0</v>
      </c>
      <c r="W893" s="11" t="n">
        <v>0</v>
      </c>
      <c r="X893" s="11" t="n">
        <v>0</v>
      </c>
      <c r="Y893" s="11" t="n">
        <v>0</v>
      </c>
      <c r="Z893" s="11" t="n">
        <v>0</v>
      </c>
      <c r="AA893" s="11" t="n">
        <f aca="false">SUM(U893:Z893)</f>
        <v>0</v>
      </c>
      <c r="AB893" s="11" t="n">
        <v>0</v>
      </c>
      <c r="AC893" s="11" t="n">
        <v>0</v>
      </c>
      <c r="AD893" s="11" t="n">
        <v>0</v>
      </c>
      <c r="AE893" s="11" t="n">
        <v>0</v>
      </c>
      <c r="AF893" s="11" t="n">
        <v>0</v>
      </c>
      <c r="AG893" s="11" t="n">
        <v>0</v>
      </c>
      <c r="AH893" s="11" t="n">
        <f aca="false">SUM(AB893:AG893)</f>
        <v>0</v>
      </c>
      <c r="AI893" s="12" t="s">
        <v>955</v>
      </c>
    </row>
    <row r="894" customFormat="false" ht="15" hidden="false" customHeight="false" outlineLevel="0" collapsed="false">
      <c r="A894" s="8" t="s">
        <v>1897</v>
      </c>
      <c r="B894" s="9" t="s">
        <v>1898</v>
      </c>
      <c r="C894" s="8" t="s">
        <v>1887</v>
      </c>
      <c r="D894" s="12" t="s">
        <v>1888</v>
      </c>
      <c r="E894" s="10" t="str">
        <f aca="true">IFERROR(IF(INDEX(INDIRECT("'"&amp;$AI894&amp;"'!$E$2:$E$327"),MATCH($A894,INDIRECT("'"&amp;$AI894&amp;"'!$A$2:$A$327"),0))="","",INDEX(INDIRECT("'"&amp;$AI894&amp;"'!$E$2:$E$327"),MATCH($A894,INDIRECT("'"&amp;$AI894&amp;"'!$A$2:$A$327"),0))),"")</f>
        <v/>
      </c>
      <c r="F894" s="9" t="str">
        <f aca="false">IF($E894="","",IFERROR(INDEX(担当者マスタ!$B$2:$B$101,MATCH($E894,担当者マスタ!$A$2:$A$101,0)),"※マスタ未登録"))</f>
        <v/>
      </c>
      <c r="G894" s="11" t="n">
        <v>0</v>
      </c>
      <c r="H894" s="11" t="n">
        <v>0</v>
      </c>
      <c r="I894" s="11" t="n">
        <v>0</v>
      </c>
      <c r="J894" s="11" t="n">
        <v>138</v>
      </c>
      <c r="K894" s="11" t="n">
        <v>0</v>
      </c>
      <c r="L894" s="11" t="n">
        <v>308</v>
      </c>
      <c r="M894" s="11" t="n">
        <f aca="false">SUM(G894:L894)</f>
        <v>446</v>
      </c>
      <c r="N894" s="11" t="n">
        <v>0</v>
      </c>
      <c r="O894" s="11" t="n">
        <v>0</v>
      </c>
      <c r="P894" s="11" t="n">
        <v>0</v>
      </c>
      <c r="Q894" s="11" t="n">
        <v>59.445</v>
      </c>
      <c r="R894" s="11" t="n">
        <v>0</v>
      </c>
      <c r="S894" s="11" t="n">
        <v>85.75</v>
      </c>
      <c r="T894" s="11" t="n">
        <f aca="false">SUM(N894:S894)</f>
        <v>145.195</v>
      </c>
      <c r="U894" s="11" t="n">
        <v>0</v>
      </c>
      <c r="V894" s="11" t="n">
        <v>0</v>
      </c>
      <c r="W894" s="11" t="n">
        <v>90</v>
      </c>
      <c r="X894" s="11" t="n">
        <v>0</v>
      </c>
      <c r="Y894" s="11" t="n">
        <v>0</v>
      </c>
      <c r="Z894" s="11" t="n">
        <v>0</v>
      </c>
      <c r="AA894" s="11" t="n">
        <f aca="false">SUM(U894:Z894)</f>
        <v>90</v>
      </c>
      <c r="AB894" s="11" t="n">
        <v>0</v>
      </c>
      <c r="AC894" s="11" t="n">
        <v>0</v>
      </c>
      <c r="AD894" s="11" t="n">
        <v>35.65</v>
      </c>
      <c r="AE894" s="11" t="n">
        <v>0</v>
      </c>
      <c r="AF894" s="11" t="n">
        <v>0</v>
      </c>
      <c r="AG894" s="11" t="n">
        <v>0</v>
      </c>
      <c r="AH894" s="11" t="n">
        <f aca="false">SUM(AB894:AG894)</f>
        <v>35.65</v>
      </c>
      <c r="AI894" s="12" t="s">
        <v>955</v>
      </c>
    </row>
    <row r="895" customFormat="false" ht="15" hidden="false" customHeight="false" outlineLevel="0" collapsed="false">
      <c r="A895" s="8" t="s">
        <v>1899</v>
      </c>
      <c r="B895" s="9" t="s">
        <v>1900</v>
      </c>
      <c r="C895" s="8" t="s">
        <v>1887</v>
      </c>
      <c r="D895" s="12" t="s">
        <v>1888</v>
      </c>
      <c r="E895" s="10" t="str">
        <f aca="true">IFERROR(IF(INDEX(INDIRECT("'"&amp;$AI895&amp;"'!$E$2:$E$327"),MATCH($A895,INDIRECT("'"&amp;$AI895&amp;"'!$A$2:$A$327"),0))="","",INDEX(INDIRECT("'"&amp;$AI895&amp;"'!$E$2:$E$327"),MATCH($A895,INDIRECT("'"&amp;$AI895&amp;"'!$A$2:$A$327"),0))),"")</f>
        <v/>
      </c>
      <c r="F895" s="9" t="str">
        <f aca="false">IF($E895="","",IFERROR(INDEX(担当者マスタ!$B$2:$B$101,MATCH($E895,担当者マスタ!$A$2:$A$101,0)),"※マスタ未登録"))</f>
        <v/>
      </c>
      <c r="G895" s="11" t="n">
        <v>71.4</v>
      </c>
      <c r="H895" s="11" t="n">
        <v>1635.72</v>
      </c>
      <c r="I895" s="11" t="n">
        <v>1923.65</v>
      </c>
      <c r="J895" s="11" t="n">
        <v>571.35</v>
      </c>
      <c r="K895" s="11" t="n">
        <v>206.55</v>
      </c>
      <c r="L895" s="11" t="n">
        <v>2585.82</v>
      </c>
      <c r="M895" s="11" t="n">
        <f aca="false">SUM(G895:L895)</f>
        <v>6994.49</v>
      </c>
      <c r="N895" s="11" t="n">
        <v>15.3</v>
      </c>
      <c r="O895" s="11" t="n">
        <v>306.49</v>
      </c>
      <c r="P895" s="11" t="n">
        <v>279.261</v>
      </c>
      <c r="Q895" s="11" t="n">
        <v>146.3</v>
      </c>
      <c r="R895" s="11" t="n">
        <v>69.7</v>
      </c>
      <c r="S895" s="11" t="n">
        <v>450.54</v>
      </c>
      <c r="T895" s="11" t="n">
        <f aca="false">SUM(N895:S895)</f>
        <v>1267.591</v>
      </c>
      <c r="U895" s="11" t="n">
        <v>3392.47</v>
      </c>
      <c r="V895" s="11" t="n">
        <v>370.11</v>
      </c>
      <c r="W895" s="11" t="n">
        <v>46.86</v>
      </c>
      <c r="X895" s="11" t="n">
        <v>2551.05</v>
      </c>
      <c r="Y895" s="11" t="n">
        <v>839</v>
      </c>
      <c r="Z895" s="11" t="n">
        <v>1572.15</v>
      </c>
      <c r="AA895" s="11" t="n">
        <f aca="false">SUM(U895:Z895)</f>
        <v>8771.64</v>
      </c>
      <c r="AB895" s="11" t="n">
        <v>563.334</v>
      </c>
      <c r="AC895" s="11" t="n">
        <v>83.66</v>
      </c>
      <c r="AD895" s="11" t="n">
        <v>16.61</v>
      </c>
      <c r="AE895" s="11" t="n">
        <v>449.125</v>
      </c>
      <c r="AF895" s="11" t="n">
        <v>197.3</v>
      </c>
      <c r="AG895" s="11" t="n">
        <v>440.66</v>
      </c>
      <c r="AH895" s="11" t="n">
        <f aca="false">SUM(AB895:AG895)</f>
        <v>1750.689</v>
      </c>
      <c r="AI895" s="12" t="s">
        <v>955</v>
      </c>
    </row>
    <row r="896" customFormat="false" ht="15" hidden="false" customHeight="false" outlineLevel="0" collapsed="false">
      <c r="A896" s="8" t="s">
        <v>1901</v>
      </c>
      <c r="B896" s="12" t="s">
        <v>1902</v>
      </c>
      <c r="C896" s="8" t="s">
        <v>1903</v>
      </c>
      <c r="D896" s="12" t="s">
        <v>655</v>
      </c>
      <c r="E896" s="10" t="str">
        <f aca="true">IFERROR(IF(INDEX(INDIRECT("'"&amp;$AI896&amp;"'!$E$2:$E$327"),MATCH($A896,INDIRECT("'"&amp;$AI896&amp;"'!$A$2:$A$327"),0))="","",INDEX(INDIRECT("'"&amp;$AI896&amp;"'!$E$2:$E$327"),MATCH($A896,INDIRECT("'"&amp;$AI896&amp;"'!$A$2:$A$327"),0))),"")</f>
        <v/>
      </c>
      <c r="F896" s="9" t="str">
        <f aca="false">IF($E896="","",IFERROR(INDEX(担当者マスタ!$B$2:$B$101,MATCH($E896,担当者マスタ!$A$2:$A$101,0)),"※マスタ未登録"))</f>
        <v/>
      </c>
      <c r="G896" s="11" t="n">
        <v>26.7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f aca="false">SUM(G896:L896)</f>
        <v>26.7</v>
      </c>
      <c r="N896" s="11" t="n">
        <v>2.7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1" t="n">
        <f aca="false">SUM(N896:S896)</f>
        <v>2.7</v>
      </c>
      <c r="U896" s="11" t="n">
        <v>0</v>
      </c>
      <c r="V896" s="11" t="n">
        <v>0</v>
      </c>
      <c r="W896" s="11" t="n">
        <v>0</v>
      </c>
      <c r="X896" s="11" t="n">
        <v>0</v>
      </c>
      <c r="Y896" s="11" t="n">
        <v>0</v>
      </c>
      <c r="Z896" s="11" t="n">
        <v>0</v>
      </c>
      <c r="AA896" s="11" t="n">
        <f aca="false">SUM(U896:Z896)</f>
        <v>0</v>
      </c>
      <c r="AB896" s="11" t="n">
        <v>0</v>
      </c>
      <c r="AC896" s="11" t="n">
        <v>0</v>
      </c>
      <c r="AD896" s="11" t="n">
        <v>0</v>
      </c>
      <c r="AE896" s="11" t="n">
        <v>0</v>
      </c>
      <c r="AF896" s="11" t="n">
        <v>0</v>
      </c>
      <c r="AG896" s="11" t="n">
        <v>0</v>
      </c>
      <c r="AH896" s="11" t="n">
        <f aca="false">SUM(AB896:AG896)</f>
        <v>0</v>
      </c>
      <c r="AI896" s="12" t="s">
        <v>955</v>
      </c>
    </row>
    <row r="897" customFormat="false" ht="15" hidden="false" customHeight="false" outlineLevel="0" collapsed="false">
      <c r="A897" s="8" t="s">
        <v>1904</v>
      </c>
      <c r="B897" s="12" t="s">
        <v>1905</v>
      </c>
      <c r="C897" s="8" t="s">
        <v>1903</v>
      </c>
      <c r="D897" s="12" t="s">
        <v>655</v>
      </c>
      <c r="E897" s="10" t="str">
        <f aca="true">IFERROR(IF(INDEX(INDIRECT("'"&amp;$AI897&amp;"'!$E$2:$E$327"),MATCH($A897,INDIRECT("'"&amp;$AI897&amp;"'!$A$2:$A$327"),0))="","",INDEX(INDIRECT("'"&amp;$AI897&amp;"'!$E$2:$E$327"),MATCH($A897,INDIRECT("'"&amp;$AI897&amp;"'!$A$2:$A$327"),0))),"")</f>
        <v/>
      </c>
      <c r="F897" s="9" t="str">
        <f aca="false">IF($E897="","",IFERROR(INDEX(担当者マスタ!$B$2:$B$101,MATCH($E897,担当者マスタ!$A$2:$A$101,0)),"※マスタ未登録"))</f>
        <v/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11.76</v>
      </c>
      <c r="M897" s="11" t="n">
        <f aca="false">SUM(G897:L897)</f>
        <v>11.76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1.2</v>
      </c>
      <c r="T897" s="11" t="n">
        <f aca="false">SUM(N897:S897)</f>
        <v>1.2</v>
      </c>
      <c r="U897" s="11" t="n">
        <v>0</v>
      </c>
      <c r="V897" s="11" t="n">
        <v>0</v>
      </c>
      <c r="W897" s="11" t="n">
        <v>0</v>
      </c>
      <c r="X897" s="11" t="n">
        <v>0</v>
      </c>
      <c r="Y897" s="11" t="n">
        <v>0</v>
      </c>
      <c r="Z897" s="11" t="n">
        <v>0</v>
      </c>
      <c r="AA897" s="11" t="n">
        <f aca="false">SUM(U897:Z897)</f>
        <v>0</v>
      </c>
      <c r="AB897" s="11" t="n">
        <v>0</v>
      </c>
      <c r="AC897" s="11" t="n">
        <v>0</v>
      </c>
      <c r="AD897" s="11" t="n">
        <v>0</v>
      </c>
      <c r="AE897" s="11" t="n">
        <v>0</v>
      </c>
      <c r="AF897" s="11" t="n">
        <v>0</v>
      </c>
      <c r="AG897" s="11" t="n">
        <v>0</v>
      </c>
      <c r="AH897" s="11" t="n">
        <f aca="false">SUM(AB897:AG897)</f>
        <v>0</v>
      </c>
      <c r="AI897" s="12" t="s">
        <v>955</v>
      </c>
    </row>
    <row r="898" customFormat="false" ht="15" hidden="false" customHeight="false" outlineLevel="0" collapsed="false">
      <c r="A898" s="8" t="s">
        <v>1906</v>
      </c>
      <c r="B898" s="12" t="s">
        <v>1907</v>
      </c>
      <c r="C898" s="8" t="s">
        <v>1903</v>
      </c>
      <c r="D898" s="12" t="s">
        <v>655</v>
      </c>
      <c r="E898" s="10" t="str">
        <f aca="true">IFERROR(IF(INDEX(INDIRECT("'"&amp;$AI898&amp;"'!$E$2:$E$327"),MATCH($A898,INDIRECT("'"&amp;$AI898&amp;"'!$A$2:$A$327"),0))="","",INDEX(INDIRECT("'"&amp;$AI898&amp;"'!$E$2:$E$327"),MATCH($A898,INDIRECT("'"&amp;$AI898&amp;"'!$A$2:$A$327"),0))),"")</f>
        <v/>
      </c>
      <c r="F898" s="9" t="str">
        <f aca="false">IF($E898="","",IFERROR(INDEX(担当者マスタ!$B$2:$B$101,MATCH($E898,担当者マスタ!$A$2:$A$101,0)),"※マスタ未登録"))</f>
        <v/>
      </c>
      <c r="G898" s="11" t="n">
        <v>0</v>
      </c>
      <c r="H898" s="11" t="n">
        <v>0</v>
      </c>
      <c r="I898" s="11" t="n">
        <v>9.96</v>
      </c>
      <c r="J898" s="11" t="n">
        <v>0</v>
      </c>
      <c r="K898" s="11" t="n">
        <v>0</v>
      </c>
      <c r="L898" s="11" t="n">
        <v>0</v>
      </c>
      <c r="M898" s="11" t="n">
        <f aca="false">SUM(G898:L898)</f>
        <v>9.96</v>
      </c>
      <c r="N898" s="11" t="n">
        <v>0</v>
      </c>
      <c r="O898" s="11" t="n">
        <v>0</v>
      </c>
      <c r="P898" s="11" t="n">
        <v>1.68</v>
      </c>
      <c r="Q898" s="11" t="n">
        <v>0</v>
      </c>
      <c r="R898" s="11" t="n">
        <v>0</v>
      </c>
      <c r="S898" s="11" t="n">
        <v>0</v>
      </c>
      <c r="T898" s="11" t="n">
        <f aca="false">SUM(N898:S898)</f>
        <v>1.68</v>
      </c>
      <c r="U898" s="11" t="n">
        <v>0</v>
      </c>
      <c r="V898" s="11" t="n">
        <v>0</v>
      </c>
      <c r="W898" s="11" t="n">
        <v>0</v>
      </c>
      <c r="X898" s="11" t="n">
        <v>0</v>
      </c>
      <c r="Y898" s="11" t="n">
        <v>0</v>
      </c>
      <c r="Z898" s="11" t="n">
        <v>0</v>
      </c>
      <c r="AA898" s="11" t="n">
        <f aca="false">SUM(U898:Z898)</f>
        <v>0</v>
      </c>
      <c r="AB898" s="11" t="n">
        <v>0</v>
      </c>
      <c r="AC898" s="11" t="n">
        <v>0</v>
      </c>
      <c r="AD898" s="11" t="n">
        <v>0</v>
      </c>
      <c r="AE898" s="11" t="n">
        <v>0</v>
      </c>
      <c r="AF898" s="11" t="n">
        <v>0</v>
      </c>
      <c r="AG898" s="11" t="n">
        <v>0</v>
      </c>
      <c r="AH898" s="11" t="n">
        <f aca="false">SUM(AB898:AG898)</f>
        <v>0</v>
      </c>
      <c r="AI898" s="12" t="s">
        <v>955</v>
      </c>
    </row>
    <row r="899" customFormat="false" ht="15" hidden="false" customHeight="false" outlineLevel="0" collapsed="false">
      <c r="A899" s="8" t="s">
        <v>1908</v>
      </c>
      <c r="B899" s="12" t="s">
        <v>1909</v>
      </c>
      <c r="C899" s="8" t="s">
        <v>1903</v>
      </c>
      <c r="D899" s="12" t="s">
        <v>655</v>
      </c>
      <c r="E899" s="10" t="str">
        <f aca="true">IFERROR(IF(INDEX(INDIRECT("'"&amp;$AI899&amp;"'!$E$2:$E$327"),MATCH($A899,INDIRECT("'"&amp;$AI899&amp;"'!$A$2:$A$327"),0))="","",INDEX(INDIRECT("'"&amp;$AI899&amp;"'!$E$2:$E$327"),MATCH($A899,INDIRECT("'"&amp;$AI899&amp;"'!$A$2:$A$327"),0))),"")</f>
        <v/>
      </c>
      <c r="F899" s="9" t="str">
        <f aca="false">IF($E899="","",IFERROR(INDEX(担当者マスタ!$B$2:$B$101,MATCH($E899,担当者マスタ!$A$2:$A$101,0)),"※マスタ未登録"))</f>
        <v/>
      </c>
      <c r="G899" s="11" t="n">
        <v>8.95</v>
      </c>
      <c r="H899" s="11" t="n">
        <v>0</v>
      </c>
      <c r="I899" s="11" t="n">
        <v>26.85</v>
      </c>
      <c r="J899" s="11" t="n">
        <v>8.95</v>
      </c>
      <c r="K899" s="11" t="n">
        <v>0</v>
      </c>
      <c r="L899" s="11" t="n">
        <v>8.95</v>
      </c>
      <c r="M899" s="11" t="n">
        <f aca="false">SUM(G899:L899)</f>
        <v>53.7</v>
      </c>
      <c r="N899" s="11" t="n">
        <v>2.2</v>
      </c>
      <c r="O899" s="11" t="n">
        <v>0</v>
      </c>
      <c r="P899" s="11" t="n">
        <v>4.2</v>
      </c>
      <c r="Q899" s="11" t="n">
        <v>1.4</v>
      </c>
      <c r="R899" s="11" t="n">
        <v>0</v>
      </c>
      <c r="S899" s="11" t="n">
        <v>1.4</v>
      </c>
      <c r="T899" s="11" t="n">
        <f aca="false">SUM(N899:S899)</f>
        <v>9.2</v>
      </c>
      <c r="U899" s="11" t="n">
        <v>9.15</v>
      </c>
      <c r="V899" s="11" t="n">
        <v>0</v>
      </c>
      <c r="W899" s="11" t="n">
        <v>18.3</v>
      </c>
      <c r="X899" s="11" t="n">
        <v>9.15</v>
      </c>
      <c r="Y899" s="11" t="n">
        <v>0</v>
      </c>
      <c r="Z899" s="11" t="n">
        <v>9.15</v>
      </c>
      <c r="AA899" s="11" t="n">
        <f aca="false">SUM(U899:Z899)</f>
        <v>45.75</v>
      </c>
      <c r="AB899" s="11" t="n">
        <v>1.4</v>
      </c>
      <c r="AC899" s="11" t="n">
        <v>0</v>
      </c>
      <c r="AD899" s="11" t="n">
        <v>2.8</v>
      </c>
      <c r="AE899" s="11" t="n">
        <v>1.4</v>
      </c>
      <c r="AF899" s="11" t="n">
        <v>0</v>
      </c>
      <c r="AG899" s="11" t="n">
        <v>1.4</v>
      </c>
      <c r="AH899" s="11" t="n">
        <f aca="false">SUM(AB899:AG899)</f>
        <v>7</v>
      </c>
      <c r="AI899" s="12" t="s">
        <v>955</v>
      </c>
    </row>
    <row r="900" customFormat="false" ht="15" hidden="false" customHeight="false" outlineLevel="0" collapsed="false">
      <c r="A900" s="8" t="s">
        <v>1910</v>
      </c>
      <c r="B900" s="12" t="s">
        <v>1911</v>
      </c>
      <c r="C900" s="8" t="s">
        <v>1903</v>
      </c>
      <c r="D900" s="12" t="s">
        <v>655</v>
      </c>
      <c r="E900" s="10" t="str">
        <f aca="true">IFERROR(IF(INDEX(INDIRECT("'"&amp;$AI900&amp;"'!$E$2:$E$327"),MATCH($A900,INDIRECT("'"&amp;$AI900&amp;"'!$A$2:$A$327"),0))="","",INDEX(INDIRECT("'"&amp;$AI900&amp;"'!$E$2:$E$327"),MATCH($A900,INDIRECT("'"&amp;$AI900&amp;"'!$A$2:$A$327"),0))),"")</f>
        <v/>
      </c>
      <c r="F900" s="9" t="str">
        <f aca="false">IF($E900="","",IFERROR(INDEX(担当者マスタ!$B$2:$B$101,MATCH($E900,担当者マスタ!$A$2:$A$101,0)),"※マスタ未登録"))</f>
        <v/>
      </c>
      <c r="G900" s="11" t="n">
        <v>2.58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f aca="false">SUM(G900:L900)</f>
        <v>2.58</v>
      </c>
      <c r="N900" s="11" t="n">
        <v>0.586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1" t="n">
        <f aca="false">SUM(N900:S900)</f>
        <v>0.586</v>
      </c>
      <c r="U900" s="11" t="n">
        <v>0</v>
      </c>
      <c r="V900" s="11" t="n">
        <v>0</v>
      </c>
      <c r="W900" s="11" t="n">
        <v>0</v>
      </c>
      <c r="X900" s="11" t="n">
        <v>0</v>
      </c>
      <c r="Y900" s="11" t="n">
        <v>0</v>
      </c>
      <c r="Z900" s="11" t="n">
        <v>0</v>
      </c>
      <c r="AA900" s="11" t="n">
        <f aca="false">SUM(U900:Z900)</f>
        <v>0</v>
      </c>
      <c r="AB900" s="11" t="n">
        <v>0</v>
      </c>
      <c r="AC900" s="11" t="n">
        <v>0</v>
      </c>
      <c r="AD900" s="11" t="n">
        <v>0</v>
      </c>
      <c r="AE900" s="11" t="n">
        <v>0</v>
      </c>
      <c r="AF900" s="11" t="n">
        <v>0</v>
      </c>
      <c r="AG900" s="11" t="n">
        <v>0</v>
      </c>
      <c r="AH900" s="11" t="n">
        <f aca="false">SUM(AB900:AG900)</f>
        <v>0</v>
      </c>
      <c r="AI900" s="12" t="s">
        <v>955</v>
      </c>
    </row>
    <row r="901" customFormat="false" ht="15" hidden="false" customHeight="false" outlineLevel="0" collapsed="false">
      <c r="A901" s="8" t="s">
        <v>1912</v>
      </c>
      <c r="B901" s="12" t="s">
        <v>1913</v>
      </c>
      <c r="C901" s="8" t="s">
        <v>1903</v>
      </c>
      <c r="D901" s="12" t="s">
        <v>655</v>
      </c>
      <c r="E901" s="10" t="str">
        <f aca="true">IFERROR(IF(INDEX(INDIRECT("'"&amp;$AI901&amp;"'!$E$2:$E$327"),MATCH($A901,INDIRECT("'"&amp;$AI901&amp;"'!$A$2:$A$327"),0))="","",INDEX(INDIRECT("'"&amp;$AI901&amp;"'!$E$2:$E$327"),MATCH($A901,INDIRECT("'"&amp;$AI901&amp;"'!$A$2:$A$327"),0))),"")</f>
        <v/>
      </c>
      <c r="F901" s="9" t="str">
        <f aca="false">IF($E901="","",IFERROR(INDEX(担当者マスタ!$B$2:$B$101,MATCH($E901,担当者マスタ!$A$2:$A$101,0)),"※マスタ未登録"))</f>
        <v/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f aca="false">SUM(G901:L901)</f>
        <v>0</v>
      </c>
      <c r="N901" s="11" t="n">
        <v>0</v>
      </c>
      <c r="O901" s="11" t="n">
        <v>0</v>
      </c>
      <c r="P901" s="11" t="n">
        <v>0</v>
      </c>
      <c r="Q901" s="11" t="n">
        <v>0</v>
      </c>
      <c r="R901" s="11" t="n">
        <v>0</v>
      </c>
      <c r="S901" s="11" t="n">
        <v>0</v>
      </c>
      <c r="T901" s="11" t="n">
        <f aca="false">SUM(N901:S901)</f>
        <v>0</v>
      </c>
      <c r="U901" s="11" t="n">
        <v>0</v>
      </c>
      <c r="V901" s="11" t="n">
        <v>60.96</v>
      </c>
      <c r="W901" s="11" t="n">
        <v>0</v>
      </c>
      <c r="X901" s="11" t="n">
        <v>0</v>
      </c>
      <c r="Y901" s="11" t="n">
        <v>0</v>
      </c>
      <c r="Z901" s="11" t="n">
        <v>0</v>
      </c>
      <c r="AA901" s="11" t="n">
        <f aca="false">SUM(U901:Z901)</f>
        <v>60.96</v>
      </c>
      <c r="AB901" s="11" t="n">
        <v>0</v>
      </c>
      <c r="AC901" s="11" t="n">
        <v>8.16</v>
      </c>
      <c r="AD901" s="11" t="n">
        <v>0</v>
      </c>
      <c r="AE901" s="11" t="n">
        <v>0</v>
      </c>
      <c r="AF901" s="11" t="n">
        <v>0</v>
      </c>
      <c r="AG901" s="11" t="n">
        <v>0</v>
      </c>
      <c r="AH901" s="11" t="n">
        <f aca="false">SUM(AB901:AG901)</f>
        <v>8.16</v>
      </c>
      <c r="AI901" s="12" t="s">
        <v>955</v>
      </c>
    </row>
    <row r="902" customFormat="false" ht="15" hidden="false" customHeight="false" outlineLevel="0" collapsed="false">
      <c r="A902" s="8" t="s">
        <v>1914</v>
      </c>
      <c r="B902" s="12" t="s">
        <v>1915</v>
      </c>
      <c r="C902" s="8" t="s">
        <v>1903</v>
      </c>
      <c r="D902" s="12" t="s">
        <v>655</v>
      </c>
      <c r="E902" s="10" t="str">
        <f aca="true">IFERROR(IF(INDEX(INDIRECT("'"&amp;$AI902&amp;"'!$E$2:$E$327"),MATCH($A902,INDIRECT("'"&amp;$AI902&amp;"'!$A$2:$A$327"),0))="","",INDEX(INDIRECT("'"&amp;$AI902&amp;"'!$E$2:$E$327"),MATCH($A902,INDIRECT("'"&amp;$AI902&amp;"'!$A$2:$A$327"),0))),"")</f>
        <v/>
      </c>
      <c r="F902" s="9" t="str">
        <f aca="false">IF($E902="","",IFERROR(INDEX(担当者マスタ!$B$2:$B$101,MATCH($E902,担当者マスタ!$A$2:$A$101,0)),"※マスタ未登録"))</f>
        <v/>
      </c>
      <c r="G902" s="11" t="n">
        <v>0</v>
      </c>
      <c r="H902" s="11" t="n">
        <v>0</v>
      </c>
      <c r="I902" s="11" t="n">
        <v>0</v>
      </c>
      <c r="J902" s="11" t="n">
        <v>13.498</v>
      </c>
      <c r="K902" s="11" t="n">
        <v>0</v>
      </c>
      <c r="L902" s="11" t="n">
        <v>0</v>
      </c>
      <c r="M902" s="11" t="n">
        <f aca="false">SUM(G902:L902)</f>
        <v>13.498</v>
      </c>
      <c r="N902" s="11" t="n">
        <v>0</v>
      </c>
      <c r="O902" s="11" t="n">
        <v>0</v>
      </c>
      <c r="P902" s="11" t="n">
        <v>0</v>
      </c>
      <c r="Q902" s="11" t="n">
        <v>2.222</v>
      </c>
      <c r="R902" s="11" t="n">
        <v>0</v>
      </c>
      <c r="S902" s="11" t="n">
        <v>0</v>
      </c>
      <c r="T902" s="11" t="n">
        <f aca="false">SUM(N902:S902)</f>
        <v>2.222</v>
      </c>
      <c r="U902" s="11" t="n">
        <v>0</v>
      </c>
      <c r="V902" s="11" t="n">
        <v>0</v>
      </c>
      <c r="W902" s="11" t="n">
        <v>9.6</v>
      </c>
      <c r="X902" s="11" t="n">
        <v>0</v>
      </c>
      <c r="Y902" s="11" t="n">
        <v>0</v>
      </c>
      <c r="Z902" s="11" t="n">
        <v>0</v>
      </c>
      <c r="AA902" s="11" t="n">
        <f aca="false">SUM(U902:Z902)</f>
        <v>9.6</v>
      </c>
      <c r="AB902" s="11" t="n">
        <v>0</v>
      </c>
      <c r="AC902" s="11" t="n">
        <v>0</v>
      </c>
      <c r="AD902" s="11" t="n">
        <v>1.96</v>
      </c>
      <c r="AE902" s="11" t="n">
        <v>0</v>
      </c>
      <c r="AF902" s="11" t="n">
        <v>0</v>
      </c>
      <c r="AG902" s="11" t="n">
        <v>0</v>
      </c>
      <c r="AH902" s="11" t="n">
        <f aca="false">SUM(AB902:AG902)</f>
        <v>1.96</v>
      </c>
      <c r="AI902" s="12" t="s">
        <v>955</v>
      </c>
    </row>
    <row r="903" customFormat="false" ht="15" hidden="false" customHeight="false" outlineLevel="0" collapsed="false">
      <c r="A903" s="8" t="s">
        <v>1916</v>
      </c>
      <c r="B903" s="12" t="s">
        <v>1917</v>
      </c>
      <c r="C903" s="8" t="s">
        <v>1903</v>
      </c>
      <c r="D903" s="12" t="s">
        <v>655</v>
      </c>
      <c r="E903" s="10" t="str">
        <f aca="true">IFERROR(IF(INDEX(INDIRECT("'"&amp;$AI903&amp;"'!$E$2:$E$327"),MATCH($A903,INDIRECT("'"&amp;$AI903&amp;"'!$A$2:$A$327"),0))="","",INDEX(INDIRECT("'"&amp;$AI903&amp;"'!$E$2:$E$327"),MATCH($A903,INDIRECT("'"&amp;$AI903&amp;"'!$A$2:$A$327"),0))),"")</f>
        <v/>
      </c>
      <c r="F903" s="9" t="str">
        <f aca="false">IF($E903="","",IFERROR(INDEX(担当者マスタ!$B$2:$B$101,MATCH($E903,担当者マスタ!$A$2:$A$101,0)),"※マスタ未登録"))</f>
        <v/>
      </c>
      <c r="G903" s="11" t="n">
        <v>1.81</v>
      </c>
      <c r="H903" s="11" t="n">
        <v>8.454</v>
      </c>
      <c r="I903" s="11" t="n">
        <v>26.228</v>
      </c>
      <c r="J903" s="11" t="n">
        <v>0</v>
      </c>
      <c r="K903" s="11" t="n">
        <v>0</v>
      </c>
      <c r="L903" s="11" t="n">
        <v>26.342</v>
      </c>
      <c r="M903" s="11" t="n">
        <f aca="false">SUM(G903:L903)</f>
        <v>62.834</v>
      </c>
      <c r="N903" s="11" t="n">
        <v>0.375</v>
      </c>
      <c r="O903" s="11" t="n">
        <v>2.628</v>
      </c>
      <c r="P903" s="11" t="n">
        <v>10.957</v>
      </c>
      <c r="Q903" s="11" t="n">
        <v>0</v>
      </c>
      <c r="R903" s="11" t="n">
        <v>0</v>
      </c>
      <c r="S903" s="11" t="n">
        <v>9.163</v>
      </c>
      <c r="T903" s="11" t="n">
        <f aca="false">SUM(N903:S903)</f>
        <v>23.123</v>
      </c>
      <c r="U903" s="11" t="n">
        <v>0</v>
      </c>
      <c r="V903" s="11" t="n">
        <v>0</v>
      </c>
      <c r="W903" s="11" t="n">
        <v>25.206</v>
      </c>
      <c r="X903" s="11" t="n">
        <v>0</v>
      </c>
      <c r="Y903" s="11" t="n">
        <v>0</v>
      </c>
      <c r="Z903" s="11" t="n">
        <v>0</v>
      </c>
      <c r="AA903" s="11" t="n">
        <f aca="false">SUM(U903:Z903)</f>
        <v>25.206</v>
      </c>
      <c r="AB903" s="11" t="n">
        <v>0</v>
      </c>
      <c r="AC903" s="11" t="n">
        <v>0</v>
      </c>
      <c r="AD903" s="11" t="n">
        <v>7.065</v>
      </c>
      <c r="AE903" s="11" t="n">
        <v>0</v>
      </c>
      <c r="AF903" s="11" t="n">
        <v>0</v>
      </c>
      <c r="AG903" s="11" t="n">
        <v>0</v>
      </c>
      <c r="AH903" s="11" t="n">
        <f aca="false">SUM(AB903:AG903)</f>
        <v>7.065</v>
      </c>
      <c r="AI903" s="12" t="s">
        <v>955</v>
      </c>
    </row>
    <row r="904" customFormat="false" ht="15" hidden="false" customHeight="false" outlineLevel="0" collapsed="false">
      <c r="A904" s="8" t="s">
        <v>1918</v>
      </c>
      <c r="B904" s="12" t="s">
        <v>1919</v>
      </c>
      <c r="C904" s="8" t="s">
        <v>1903</v>
      </c>
      <c r="D904" s="12" t="s">
        <v>655</v>
      </c>
      <c r="E904" s="10" t="str">
        <f aca="true">IFERROR(IF(INDEX(INDIRECT("'"&amp;$AI904&amp;"'!$E$2:$E$327"),MATCH($A904,INDIRECT("'"&amp;$AI904&amp;"'!$A$2:$A$327"),0))="","",INDEX(INDIRECT("'"&amp;$AI904&amp;"'!$E$2:$E$327"),MATCH($A904,INDIRECT("'"&amp;$AI904&amp;"'!$A$2:$A$327"),0))),"")</f>
        <v/>
      </c>
      <c r="F904" s="9" t="str">
        <f aca="false">IF($E904="","",IFERROR(INDEX(担当者マスタ!$B$2:$B$101,MATCH($E904,担当者マスタ!$A$2:$A$101,0)),"※マスタ未登録"))</f>
        <v/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f aca="false">SUM(G904:L904)</f>
        <v>0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1" t="n">
        <f aca="false">SUM(N904:S904)</f>
        <v>0</v>
      </c>
      <c r="U904" s="11" t="n">
        <v>0</v>
      </c>
      <c r="V904" s="11" t="n">
        <v>2.25</v>
      </c>
      <c r="W904" s="11" t="n">
        <v>0</v>
      </c>
      <c r="X904" s="11" t="n">
        <v>0</v>
      </c>
      <c r="Y904" s="11" t="n">
        <v>0</v>
      </c>
      <c r="Z904" s="11" t="n">
        <v>0</v>
      </c>
      <c r="AA904" s="11" t="n">
        <f aca="false">SUM(U904:Z904)</f>
        <v>2.25</v>
      </c>
      <c r="AB904" s="11" t="n">
        <v>0</v>
      </c>
      <c r="AC904" s="11" t="n">
        <v>0.75</v>
      </c>
      <c r="AD904" s="11" t="n">
        <v>0</v>
      </c>
      <c r="AE904" s="11" t="n">
        <v>0</v>
      </c>
      <c r="AF904" s="11" t="n">
        <v>0</v>
      </c>
      <c r="AG904" s="11" t="n">
        <v>0</v>
      </c>
      <c r="AH904" s="11" t="n">
        <f aca="false">SUM(AB904:AG904)</f>
        <v>0.75</v>
      </c>
      <c r="AI904" s="12" t="s">
        <v>955</v>
      </c>
    </row>
    <row r="905" customFormat="false" ht="15" hidden="false" customHeight="false" outlineLevel="0" collapsed="false">
      <c r="A905" s="8" t="s">
        <v>1920</v>
      </c>
      <c r="B905" s="12" t="s">
        <v>1921</v>
      </c>
      <c r="C905" s="8" t="s">
        <v>1903</v>
      </c>
      <c r="D905" s="12" t="s">
        <v>655</v>
      </c>
      <c r="E905" s="10" t="str">
        <f aca="true">IFERROR(IF(INDEX(INDIRECT("'"&amp;$AI905&amp;"'!$E$2:$E$327"),MATCH($A905,INDIRECT("'"&amp;$AI905&amp;"'!$A$2:$A$327"),0))="","",INDEX(INDIRECT("'"&amp;$AI905&amp;"'!$E$2:$E$327"),MATCH($A905,INDIRECT("'"&amp;$AI905&amp;"'!$A$2:$A$327"),0))),"")</f>
        <v/>
      </c>
      <c r="F905" s="9" t="str">
        <f aca="false">IF($E905="","",IFERROR(INDEX(担当者マスタ!$B$2:$B$101,MATCH($E905,担当者マスタ!$A$2:$A$101,0)),"※マスタ未登録"))</f>
        <v/>
      </c>
      <c r="G905" s="11" t="n">
        <v>0</v>
      </c>
      <c r="H905" s="11" t="n">
        <v>0</v>
      </c>
      <c r="I905" s="11" t="n">
        <v>7</v>
      </c>
      <c r="J905" s="11" t="n">
        <v>0</v>
      </c>
      <c r="K905" s="11" t="n">
        <v>0</v>
      </c>
      <c r="L905" s="11" t="n">
        <v>0</v>
      </c>
      <c r="M905" s="11" t="n">
        <f aca="false">SUM(G905:L905)</f>
        <v>7</v>
      </c>
      <c r="N905" s="11" t="n">
        <v>0</v>
      </c>
      <c r="O905" s="11" t="n">
        <v>0</v>
      </c>
      <c r="P905" s="11" t="n">
        <v>1.57</v>
      </c>
      <c r="Q905" s="11" t="n">
        <v>0</v>
      </c>
      <c r="R905" s="11" t="n">
        <v>0</v>
      </c>
      <c r="S905" s="11" t="n">
        <v>0</v>
      </c>
      <c r="T905" s="11" t="n">
        <f aca="false">SUM(N905:S905)</f>
        <v>1.57</v>
      </c>
      <c r="U905" s="11" t="n">
        <v>0</v>
      </c>
      <c r="V905" s="11" t="n">
        <v>2.01</v>
      </c>
      <c r="W905" s="11" t="n">
        <v>0</v>
      </c>
      <c r="X905" s="11" t="n">
        <v>1.24</v>
      </c>
      <c r="Y905" s="11" t="n">
        <v>0</v>
      </c>
      <c r="Z905" s="11" t="n">
        <v>8.86</v>
      </c>
      <c r="AA905" s="11" t="n">
        <f aca="false">SUM(U905:Z905)</f>
        <v>12.11</v>
      </c>
      <c r="AB905" s="11" t="n">
        <v>0</v>
      </c>
      <c r="AC905" s="11" t="n">
        <v>0.606</v>
      </c>
      <c r="AD905" s="11" t="n">
        <v>0</v>
      </c>
      <c r="AE905" s="11" t="n">
        <v>0.25</v>
      </c>
      <c r="AF905" s="11" t="n">
        <v>0</v>
      </c>
      <c r="AG905" s="11" t="n">
        <v>2.673</v>
      </c>
      <c r="AH905" s="11" t="n">
        <f aca="false">SUM(AB905:AG905)</f>
        <v>3.529</v>
      </c>
      <c r="AI905" s="12" t="s">
        <v>955</v>
      </c>
    </row>
    <row r="906" customFormat="false" ht="15" hidden="false" customHeight="false" outlineLevel="0" collapsed="false">
      <c r="A906" s="8" t="s">
        <v>1922</v>
      </c>
      <c r="B906" s="12" t="s">
        <v>1923</v>
      </c>
      <c r="C906" s="8" t="s">
        <v>1903</v>
      </c>
      <c r="D906" s="12" t="s">
        <v>655</v>
      </c>
      <c r="E906" s="10" t="str">
        <f aca="true">IFERROR(IF(INDEX(INDIRECT("'"&amp;$AI906&amp;"'!$E$2:$E$327"),MATCH($A906,INDIRECT("'"&amp;$AI906&amp;"'!$A$2:$A$327"),0))="","",INDEX(INDIRECT("'"&amp;$AI906&amp;"'!$E$2:$E$327"),MATCH($A906,INDIRECT("'"&amp;$AI906&amp;"'!$A$2:$A$327"),0))),"")</f>
        <v/>
      </c>
      <c r="F906" s="9" t="str">
        <f aca="false">IF($E906="","",IFERROR(INDEX(担当者マスタ!$B$2:$B$101,MATCH($E906,担当者マスタ!$A$2:$A$101,0)),"※マスタ未登録"))</f>
        <v/>
      </c>
      <c r="G906" s="11" t="n">
        <v>18.36</v>
      </c>
      <c r="H906" s="11" t="n">
        <v>20.52</v>
      </c>
      <c r="I906" s="11" t="n">
        <v>12.08</v>
      </c>
      <c r="J906" s="11" t="n">
        <v>0</v>
      </c>
      <c r="K906" s="11" t="n">
        <v>18.45</v>
      </c>
      <c r="L906" s="11" t="n">
        <v>29.095</v>
      </c>
      <c r="M906" s="11" t="n">
        <f aca="false">SUM(G906:L906)</f>
        <v>98.505</v>
      </c>
      <c r="N906" s="11" t="n">
        <v>3.672</v>
      </c>
      <c r="O906" s="11" t="n">
        <v>5.595</v>
      </c>
      <c r="P906" s="11" t="n">
        <v>1.45</v>
      </c>
      <c r="Q906" s="11" t="n">
        <v>0</v>
      </c>
      <c r="R906" s="11" t="n">
        <v>3.69</v>
      </c>
      <c r="S906" s="11" t="n">
        <v>5.821</v>
      </c>
      <c r="T906" s="11" t="n">
        <f aca="false">SUM(N906:S906)</f>
        <v>20.228</v>
      </c>
      <c r="U906" s="11" t="n">
        <v>15.536</v>
      </c>
      <c r="V906" s="11" t="n">
        <v>3.2</v>
      </c>
      <c r="W906" s="11" t="n">
        <v>0</v>
      </c>
      <c r="X906" s="11" t="n">
        <v>2.05</v>
      </c>
      <c r="Y906" s="11" t="n">
        <v>0</v>
      </c>
      <c r="Z906" s="11" t="n">
        <v>2.79</v>
      </c>
      <c r="AA906" s="11" t="n">
        <f aca="false">SUM(U906:Z906)</f>
        <v>23.576</v>
      </c>
      <c r="AB906" s="11" t="n">
        <v>4.373</v>
      </c>
      <c r="AC906" s="11" t="n">
        <v>0.312</v>
      </c>
      <c r="AD906" s="11" t="n">
        <v>0</v>
      </c>
      <c r="AE906" s="11" t="n">
        <v>0.695</v>
      </c>
      <c r="AF906" s="11" t="n">
        <v>0</v>
      </c>
      <c r="AG906" s="11" t="n">
        <v>0.62</v>
      </c>
      <c r="AH906" s="11" t="n">
        <f aca="false">SUM(AB906:AG906)</f>
        <v>6</v>
      </c>
      <c r="AI906" s="12" t="s">
        <v>955</v>
      </c>
    </row>
    <row r="907" customFormat="false" ht="15" hidden="false" customHeight="false" outlineLevel="0" collapsed="false">
      <c r="A907" s="8" t="s">
        <v>1924</v>
      </c>
      <c r="B907" s="12" t="s">
        <v>1925</v>
      </c>
      <c r="C907" s="8" t="s">
        <v>1926</v>
      </c>
      <c r="D907" s="12" t="s">
        <v>701</v>
      </c>
      <c r="E907" s="10" t="str">
        <f aca="true">IFERROR(IF(INDEX(INDIRECT("'"&amp;$AI907&amp;"'!$E$2:$E$327"),MATCH($A907,INDIRECT("'"&amp;$AI907&amp;"'!$A$2:$A$327"),0))="","",INDEX(INDIRECT("'"&amp;$AI907&amp;"'!$E$2:$E$327"),MATCH($A907,INDIRECT("'"&amp;$AI907&amp;"'!$A$2:$A$327"),0))),"")</f>
        <v/>
      </c>
      <c r="F907" s="9" t="str">
        <f aca="false">IF($E907="","",IFERROR(INDEX(担当者マスタ!$B$2:$B$101,MATCH($E907,担当者マスタ!$A$2:$A$101,0)),"※マスタ未登録"))</f>
        <v/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f aca="false">SUM(G907:L907)</f>
        <v>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  <c r="T907" s="11" t="n">
        <f aca="false">SUM(N907:S907)</f>
        <v>0</v>
      </c>
      <c r="U907" s="11" t="n">
        <v>28.25</v>
      </c>
      <c r="V907" s="11" t="n">
        <v>0</v>
      </c>
      <c r="W907" s="11" t="n">
        <v>0</v>
      </c>
      <c r="X907" s="11" t="n">
        <v>1.8</v>
      </c>
      <c r="Y907" s="11" t="n">
        <v>0</v>
      </c>
      <c r="Z907" s="11" t="n">
        <v>1063.874</v>
      </c>
      <c r="AA907" s="11" t="n">
        <f aca="false">SUM(U907:Z907)</f>
        <v>1093.924</v>
      </c>
      <c r="AB907" s="11" t="n">
        <v>0.875</v>
      </c>
      <c r="AC907" s="11" t="n">
        <v>0</v>
      </c>
      <c r="AD907" s="11" t="n">
        <v>0</v>
      </c>
      <c r="AE907" s="11" t="n">
        <v>0.175</v>
      </c>
      <c r="AF907" s="11" t="n">
        <v>0</v>
      </c>
      <c r="AG907" s="11" t="n">
        <v>49.687</v>
      </c>
      <c r="AH907" s="11" t="n">
        <f aca="false">SUM(AB907:AG907)</f>
        <v>50.737</v>
      </c>
      <c r="AI907" s="12" t="s">
        <v>955</v>
      </c>
    </row>
    <row r="908" customFormat="false" ht="15" hidden="false" customHeight="false" outlineLevel="0" collapsed="false">
      <c r="A908" s="8" t="s">
        <v>1927</v>
      </c>
      <c r="B908" s="12" t="s">
        <v>1928</v>
      </c>
      <c r="C908" s="8" t="s">
        <v>1926</v>
      </c>
      <c r="D908" s="12" t="s">
        <v>701</v>
      </c>
      <c r="E908" s="10" t="str">
        <f aca="true">IFERROR(IF(INDEX(INDIRECT("'"&amp;$AI908&amp;"'!$E$2:$E$327"),MATCH($A908,INDIRECT("'"&amp;$AI908&amp;"'!$A$2:$A$327"),0))="","",INDEX(INDIRECT("'"&amp;$AI908&amp;"'!$E$2:$E$327"),MATCH($A908,INDIRECT("'"&amp;$AI908&amp;"'!$A$2:$A$327"),0))),"")</f>
        <v/>
      </c>
      <c r="F908" s="9" t="str">
        <f aca="false">IF($E908="","",IFERROR(INDEX(担当者マスタ!$B$2:$B$101,MATCH($E908,担当者マスタ!$A$2:$A$101,0)),"※マスタ未登録"))</f>
        <v/>
      </c>
      <c r="G908" s="11" t="n">
        <v>37.85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28.249</v>
      </c>
      <c r="M908" s="11" t="n">
        <f aca="false">SUM(G908:L908)</f>
        <v>66.099</v>
      </c>
      <c r="N908" s="11" t="n">
        <v>1.16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1.289</v>
      </c>
      <c r="T908" s="11" t="n">
        <f aca="false">SUM(N908:S908)</f>
        <v>2.449</v>
      </c>
      <c r="U908" s="11" t="n">
        <v>0</v>
      </c>
      <c r="V908" s="11" t="n">
        <v>0</v>
      </c>
      <c r="W908" s="11" t="n">
        <v>0</v>
      </c>
      <c r="X908" s="11" t="n">
        <v>0</v>
      </c>
      <c r="Y908" s="11" t="n">
        <v>0</v>
      </c>
      <c r="Z908" s="11" t="n">
        <v>0</v>
      </c>
      <c r="AA908" s="11" t="n">
        <f aca="false">SUM(U908:Z908)</f>
        <v>0</v>
      </c>
      <c r="AB908" s="11" t="n">
        <v>0</v>
      </c>
      <c r="AC908" s="11" t="n">
        <v>0</v>
      </c>
      <c r="AD908" s="11" t="n">
        <v>0</v>
      </c>
      <c r="AE908" s="11" t="n">
        <v>0</v>
      </c>
      <c r="AF908" s="11" t="n">
        <v>0</v>
      </c>
      <c r="AG908" s="11" t="n">
        <v>0</v>
      </c>
      <c r="AH908" s="11" t="n">
        <f aca="false">SUM(AB908:AG908)</f>
        <v>0</v>
      </c>
      <c r="AI908" s="12" t="s">
        <v>955</v>
      </c>
    </row>
    <row r="909" customFormat="false" ht="15" hidden="false" customHeight="false" outlineLevel="0" collapsed="false">
      <c r="A909" s="13"/>
      <c r="B909" s="13"/>
      <c r="C909" s="14" t="s">
        <v>1929</v>
      </c>
      <c r="D909" s="14"/>
      <c r="E909" s="14"/>
      <c r="F909" s="14"/>
      <c r="G909" s="15" t="n">
        <f aca="false">SUBTOTAL(9,G2:G908)</f>
        <v>312688.346</v>
      </c>
      <c r="H909" s="15" t="n">
        <f aca="false">SUBTOTAL(9,H2:H908)</f>
        <v>317217.975</v>
      </c>
      <c r="I909" s="15" t="n">
        <f aca="false">SUBTOTAL(9,I2:I908)</f>
        <v>332698.094</v>
      </c>
      <c r="J909" s="15" t="n">
        <f aca="false">SUBTOTAL(9,J2:J908)</f>
        <v>233881.088</v>
      </c>
      <c r="K909" s="15" t="n">
        <f aca="false">SUBTOTAL(9,K2:K908)</f>
        <v>240948.173</v>
      </c>
      <c r="L909" s="15" t="n">
        <f aca="false">SUBTOTAL(9,L2:L908)</f>
        <v>263284.081</v>
      </c>
      <c r="M909" s="15" t="n">
        <f aca="false">SUBTOTAL(9,M2:M908)</f>
        <v>1700717.757</v>
      </c>
      <c r="N909" s="15" t="n">
        <f aca="false">SUBTOTAL(9,N2:N908)</f>
        <v>71650.5943</v>
      </c>
      <c r="O909" s="15" t="n">
        <f aca="false">SUBTOTAL(9,O2:O908)</f>
        <v>73532.5992</v>
      </c>
      <c r="P909" s="15" t="n">
        <f aca="false">SUBTOTAL(9,P2:P908)</f>
        <v>76040.003</v>
      </c>
      <c r="Q909" s="15" t="n">
        <f aca="false">SUBTOTAL(9,Q2:Q908)</f>
        <v>51129.6325</v>
      </c>
      <c r="R909" s="15" t="n">
        <f aca="false">SUBTOTAL(9,R2:R908)</f>
        <v>54075.056</v>
      </c>
      <c r="S909" s="15" t="n">
        <f aca="false">SUBTOTAL(9,S2:S908)</f>
        <v>58300.1516</v>
      </c>
      <c r="T909" s="15" t="n">
        <f aca="false">SUBTOTAL(9,T2:T908)</f>
        <v>384728.0366</v>
      </c>
      <c r="U909" s="15" t="n">
        <f aca="false">SUBTOTAL(9,U2:U908)</f>
        <v>343703.369</v>
      </c>
      <c r="V909" s="15" t="n">
        <f aca="false">SUBTOTAL(9,V2:V908)</f>
        <v>338222.949</v>
      </c>
      <c r="W909" s="15" t="n">
        <f aca="false">SUBTOTAL(9,W2:W908)</f>
        <v>357597.595</v>
      </c>
      <c r="X909" s="15" t="n">
        <f aca="false">SUBTOTAL(9,X2:X908)</f>
        <v>231432.105</v>
      </c>
      <c r="Y909" s="15" t="n">
        <f aca="false">SUBTOTAL(9,Y2:Y908)</f>
        <v>233513.251</v>
      </c>
      <c r="Z909" s="15" t="n">
        <f aca="false">SUBTOTAL(9,Z2:Z908)</f>
        <v>308082.066</v>
      </c>
      <c r="AA909" s="15" t="n">
        <f aca="false">SUBTOTAL(9,AA2:AA908)</f>
        <v>1812551.335</v>
      </c>
      <c r="AB909" s="15" t="n">
        <f aca="false">SUBTOTAL(9,AB2:AB908)</f>
        <v>78208.4999</v>
      </c>
      <c r="AC909" s="15" t="n">
        <f aca="false">SUBTOTAL(9,AC2:AC908)</f>
        <v>78577.1419</v>
      </c>
      <c r="AD909" s="15" t="n">
        <f aca="false">SUBTOTAL(9,AD2:AD908)</f>
        <v>82706.921</v>
      </c>
      <c r="AE909" s="15" t="n">
        <f aca="false">SUBTOTAL(9,AE2:AE908)</f>
        <v>50280.2748</v>
      </c>
      <c r="AF909" s="15" t="n">
        <f aca="false">SUBTOTAL(9,AF2:AF908)</f>
        <v>52440.9713</v>
      </c>
      <c r="AG909" s="15" t="n">
        <f aca="false">SUBTOTAL(9,AG2:AG908)</f>
        <v>74969.9688</v>
      </c>
      <c r="AH909" s="15" t="n">
        <f aca="false">SUBTOTAL(9,AH2:AH908)</f>
        <v>417183.7777</v>
      </c>
      <c r="AI909" s="15"/>
    </row>
  </sheetData>
  <autoFilter ref="A1:AI9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15"/>
    <col collapsed="false" customWidth="true" hidden="false" outlineLevel="0" max="2" min="2" style="0" width="26.5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5"/>
    <col collapsed="false" customWidth="true" hidden="false" outlineLevel="0" max="6" min="6" style="0" width="14.75"/>
    <col collapsed="false" customWidth="true" hidden="false" outlineLevel="0" max="12" min="7" style="0" width="11"/>
    <col collapsed="false" customWidth="true" hidden="false" outlineLevel="0" max="13" min="13" style="0" width="12.5"/>
    <col collapsed="false" customWidth="true" hidden="false" outlineLevel="0" max="19" min="14" style="0" width="11"/>
    <col collapsed="false" customWidth="true" hidden="false" outlineLevel="0" max="20" min="20" style="0" width="12.5"/>
    <col collapsed="false" customWidth="true" hidden="false" outlineLevel="0" max="26" min="21" style="0" width="11"/>
    <col collapsed="false" customWidth="true" hidden="false" outlineLevel="0" max="27" min="27" style="0" width="12.5"/>
    <col collapsed="false" customWidth="true" hidden="false" outlineLevel="0" max="33" min="28" style="0" width="11"/>
    <col collapsed="false" customWidth="true" hidden="false" outlineLevel="0" max="34" min="34" style="0" width="12.5"/>
  </cols>
  <sheetData>
    <row r="1" customFormat="false" ht="37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6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6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6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6" t="s">
        <v>54</v>
      </c>
    </row>
    <row r="2" customFormat="false" ht="15" hidden="false" customHeight="false" outlineLevel="2" collapsed="false">
      <c r="A2" s="8" t="s">
        <v>56</v>
      </c>
      <c r="B2" s="9" t="s">
        <v>57</v>
      </c>
      <c r="C2" s="8" t="s">
        <v>58</v>
      </c>
      <c r="D2" s="9" t="s">
        <v>59</v>
      </c>
      <c r="E2" s="16"/>
      <c r="F2" s="9" t="str">
        <f aca="false">IF($E2="","",IFERROR(INDEX(担当者マスタ!$B$2:$B$101,MATCH($E2,担当者マスタ!$A$2:$A$101,0)),"※マスタ未登録"))</f>
        <v/>
      </c>
      <c r="G2" s="11" t="n">
        <v>1727.964</v>
      </c>
      <c r="H2" s="11" t="n">
        <v>1845.035</v>
      </c>
      <c r="I2" s="11" t="n">
        <v>1015.906</v>
      </c>
      <c r="J2" s="11" t="n">
        <v>861.896</v>
      </c>
      <c r="K2" s="11" t="n">
        <v>1167.74</v>
      </c>
      <c r="L2" s="11" t="n">
        <v>1096.898</v>
      </c>
      <c r="M2" s="11" t="n">
        <f aca="false">SUM(G2:L2)</f>
        <v>7715.439</v>
      </c>
      <c r="N2" s="11" t="n">
        <v>328.751</v>
      </c>
      <c r="O2" s="11" t="n">
        <v>408.366</v>
      </c>
      <c r="P2" s="11" t="n">
        <v>254.265</v>
      </c>
      <c r="Q2" s="11" t="n">
        <v>212.557</v>
      </c>
      <c r="R2" s="11" t="n">
        <v>257.125</v>
      </c>
      <c r="S2" s="11" t="n">
        <v>195.312</v>
      </c>
      <c r="T2" s="11" t="n">
        <f aca="false">SUM(N2:S2)</f>
        <v>1656.376</v>
      </c>
      <c r="U2" s="11" t="n">
        <v>2143.798</v>
      </c>
      <c r="V2" s="11" t="n">
        <v>2047.515</v>
      </c>
      <c r="W2" s="11" t="n">
        <v>1351.109</v>
      </c>
      <c r="X2" s="11" t="n">
        <v>572.291</v>
      </c>
      <c r="Y2" s="11" t="n">
        <v>606.598</v>
      </c>
      <c r="Z2" s="11" t="n">
        <v>1948.328</v>
      </c>
      <c r="AA2" s="11" t="n">
        <f aca="false">SUM(U2:Z2)</f>
        <v>8669.639</v>
      </c>
      <c r="AB2" s="11" t="n">
        <v>453.995</v>
      </c>
      <c r="AC2" s="11" t="n">
        <v>419.149</v>
      </c>
      <c r="AD2" s="11" t="n">
        <v>269.7</v>
      </c>
      <c r="AE2" s="11" t="n">
        <v>114.237</v>
      </c>
      <c r="AF2" s="11" t="n">
        <v>168.409</v>
      </c>
      <c r="AG2" s="11" t="n">
        <v>474.166</v>
      </c>
      <c r="AH2" s="11" t="n">
        <f aca="false">SUM(AB2:AG2)</f>
        <v>1899.656</v>
      </c>
    </row>
    <row r="3" customFormat="false" ht="15" hidden="false" customHeight="false" outlineLevel="2" collapsed="false">
      <c r="A3" s="8" t="s">
        <v>61</v>
      </c>
      <c r="B3" s="9" t="s">
        <v>62</v>
      </c>
      <c r="C3" s="8" t="s">
        <v>58</v>
      </c>
      <c r="D3" s="9" t="s">
        <v>59</v>
      </c>
      <c r="E3" s="16"/>
      <c r="F3" s="9" t="str">
        <f aca="false">IF($E3="","",IFERROR(INDEX(担当者マスタ!$B$2:$B$101,MATCH($E3,担当者マスタ!$A$2:$A$101,0)),"※マスタ未登録"))</f>
        <v/>
      </c>
      <c r="G3" s="11" t="n">
        <v>4904.582</v>
      </c>
      <c r="H3" s="11" t="n">
        <v>4227.566</v>
      </c>
      <c r="I3" s="11" t="n">
        <v>5001.807</v>
      </c>
      <c r="J3" s="11" t="n">
        <v>4524.559</v>
      </c>
      <c r="K3" s="11" t="n">
        <v>4927.58</v>
      </c>
      <c r="L3" s="11" t="n">
        <v>3992.029</v>
      </c>
      <c r="M3" s="11" t="n">
        <f aca="false">SUM(G3:L3)</f>
        <v>27578.123</v>
      </c>
      <c r="N3" s="11" t="n">
        <v>663.403</v>
      </c>
      <c r="O3" s="11" t="n">
        <v>582.982</v>
      </c>
      <c r="P3" s="11" t="n">
        <v>684.031</v>
      </c>
      <c r="Q3" s="11" t="n">
        <v>611.08</v>
      </c>
      <c r="R3" s="11" t="n">
        <v>681.929</v>
      </c>
      <c r="S3" s="11" t="n">
        <v>542.967</v>
      </c>
      <c r="T3" s="11" t="n">
        <f aca="false">SUM(N3:S3)</f>
        <v>3766.392</v>
      </c>
      <c r="U3" s="11" t="n">
        <v>4015.689</v>
      </c>
      <c r="V3" s="11" t="n">
        <v>4119.32</v>
      </c>
      <c r="W3" s="11" t="n">
        <v>3764.454</v>
      </c>
      <c r="X3" s="11" t="n">
        <v>3419.529</v>
      </c>
      <c r="Y3" s="11" t="n">
        <v>4470.593</v>
      </c>
      <c r="Z3" s="11" t="n">
        <v>4581.308</v>
      </c>
      <c r="AA3" s="11" t="n">
        <f aca="false">SUM(U3:Z3)</f>
        <v>24370.893</v>
      </c>
      <c r="AB3" s="11" t="n">
        <v>658.181</v>
      </c>
      <c r="AC3" s="11" t="n">
        <v>719.382</v>
      </c>
      <c r="AD3" s="11" t="n">
        <v>647.591</v>
      </c>
      <c r="AE3" s="11" t="n">
        <v>587.202</v>
      </c>
      <c r="AF3" s="11" t="n">
        <v>722.863</v>
      </c>
      <c r="AG3" s="11" t="n">
        <v>793.162</v>
      </c>
      <c r="AH3" s="11" t="n">
        <f aca="false">SUM(AB3:AG3)</f>
        <v>4128.381</v>
      </c>
    </row>
    <row r="4" customFormat="false" ht="15" hidden="false" customHeight="false" outlineLevel="2" collapsed="false">
      <c r="A4" s="8" t="s">
        <v>63</v>
      </c>
      <c r="B4" s="9" t="s">
        <v>64</v>
      </c>
      <c r="C4" s="8" t="s">
        <v>58</v>
      </c>
      <c r="D4" s="9" t="s">
        <v>59</v>
      </c>
      <c r="E4" s="16"/>
      <c r="F4" s="9" t="str">
        <f aca="false">IF($E4="","",IFERROR(INDEX(担当者マスタ!$B$2:$B$101,MATCH($E4,担当者マスタ!$A$2:$A$101,0)),"※マスタ未登録"))</f>
        <v/>
      </c>
      <c r="G4" s="11" t="n">
        <v>28.35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f aca="false">SUM(G4:L4)</f>
        <v>28.35</v>
      </c>
      <c r="N4" s="11" t="n">
        <v>10.95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f aca="false">SUM(N4:S4)</f>
        <v>10.95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f aca="false">SUM(U4:Z4)</f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f aca="false">SUM(AB4:AG4)</f>
        <v>0</v>
      </c>
    </row>
    <row r="5" customFormat="false" ht="15" hidden="false" customHeight="false" outlineLevel="2" collapsed="false">
      <c r="A5" s="8" t="s">
        <v>65</v>
      </c>
      <c r="B5" s="9" t="s">
        <v>66</v>
      </c>
      <c r="C5" s="8" t="s">
        <v>58</v>
      </c>
      <c r="D5" s="9" t="s">
        <v>59</v>
      </c>
      <c r="E5" s="16"/>
      <c r="F5" s="9" t="str">
        <f aca="false">IF($E5="","",IFERROR(INDEX(担当者マスタ!$B$2:$B$101,MATCH($E5,担当者マスタ!$A$2:$A$101,0)),"※マスタ未登録"))</f>
        <v/>
      </c>
      <c r="G5" s="11" t="n">
        <v>490.36</v>
      </c>
      <c r="H5" s="11" t="n">
        <v>417.535</v>
      </c>
      <c r="I5" s="11" t="n">
        <v>372.735</v>
      </c>
      <c r="J5" s="11" t="n">
        <v>367.135</v>
      </c>
      <c r="K5" s="11" t="n">
        <v>355.935</v>
      </c>
      <c r="L5" s="11" t="n">
        <v>378.334</v>
      </c>
      <c r="M5" s="11" t="n">
        <f aca="false">SUM(G5:L5)</f>
        <v>2382.034</v>
      </c>
      <c r="N5" s="11" t="n">
        <v>371.089</v>
      </c>
      <c r="O5" s="11" t="n">
        <v>295.464</v>
      </c>
      <c r="P5" s="11" t="n">
        <v>253.464</v>
      </c>
      <c r="Q5" s="11" t="n">
        <v>247.864</v>
      </c>
      <c r="R5" s="11" t="n">
        <v>236.664</v>
      </c>
      <c r="S5" s="11" t="n">
        <v>258.34</v>
      </c>
      <c r="T5" s="11" t="n">
        <f aca="false">SUM(N5:S5)</f>
        <v>1662.885</v>
      </c>
      <c r="U5" s="11" t="n">
        <v>371.533</v>
      </c>
      <c r="V5" s="11" t="n">
        <v>354.732</v>
      </c>
      <c r="W5" s="11" t="n">
        <v>168</v>
      </c>
      <c r="X5" s="11" t="n">
        <v>128.8</v>
      </c>
      <c r="Y5" s="11" t="n">
        <v>145.6</v>
      </c>
      <c r="Z5" s="11" t="n">
        <v>140</v>
      </c>
      <c r="AA5" s="11" t="n">
        <f aca="false">SUM(U5:Z5)</f>
        <v>1308.665</v>
      </c>
      <c r="AB5" s="11" t="n">
        <v>361.641</v>
      </c>
      <c r="AC5" s="11" t="n">
        <v>344.84</v>
      </c>
      <c r="AD5" s="11" t="n">
        <v>168</v>
      </c>
      <c r="AE5" s="11" t="n">
        <v>128.8</v>
      </c>
      <c r="AF5" s="11" t="n">
        <v>145.6</v>
      </c>
      <c r="AG5" s="11" t="n">
        <v>140</v>
      </c>
      <c r="AH5" s="11" t="n">
        <f aca="false">SUM(AB5:AG5)</f>
        <v>1288.881</v>
      </c>
    </row>
    <row r="6" customFormat="false" ht="15" hidden="false" customHeight="false" outlineLevel="1" collapsed="false">
      <c r="A6" s="17"/>
      <c r="B6" s="17"/>
      <c r="C6" s="17" t="s">
        <v>1930</v>
      </c>
      <c r="D6" s="17" t="s">
        <v>59</v>
      </c>
      <c r="E6" s="17"/>
      <c r="F6" s="17"/>
      <c r="G6" s="18" t="n">
        <f aca="false">SUBTOTAL(9,G2:G5)</f>
        <v>7151.256</v>
      </c>
      <c r="H6" s="18" t="n">
        <f aca="false">SUBTOTAL(9,H2:H5)</f>
        <v>6490.136</v>
      </c>
      <c r="I6" s="18" t="n">
        <f aca="false">SUBTOTAL(9,I2:I5)</f>
        <v>6390.448</v>
      </c>
      <c r="J6" s="18" t="n">
        <f aca="false">SUBTOTAL(9,J2:J5)</f>
        <v>5753.59</v>
      </c>
      <c r="K6" s="18" t="n">
        <f aca="false">SUBTOTAL(9,K2:K5)</f>
        <v>6451.255</v>
      </c>
      <c r="L6" s="18" t="n">
        <f aca="false">SUBTOTAL(9,L2:L5)</f>
        <v>5467.261</v>
      </c>
      <c r="M6" s="18" t="n">
        <f aca="false">SUBTOTAL(9,M2:M5)</f>
        <v>37703.946</v>
      </c>
      <c r="N6" s="18" t="n">
        <f aca="false">SUBTOTAL(9,N2:N5)</f>
        <v>1374.193</v>
      </c>
      <c r="O6" s="18" t="n">
        <f aca="false">SUBTOTAL(9,O2:O5)</f>
        <v>1286.812</v>
      </c>
      <c r="P6" s="18" t="n">
        <f aca="false">SUBTOTAL(9,P2:P5)</f>
        <v>1191.76</v>
      </c>
      <c r="Q6" s="18" t="n">
        <f aca="false">SUBTOTAL(9,Q2:Q5)</f>
        <v>1071.501</v>
      </c>
      <c r="R6" s="18" t="n">
        <f aca="false">SUBTOTAL(9,R2:R5)</f>
        <v>1175.718</v>
      </c>
      <c r="S6" s="18" t="n">
        <f aca="false">SUBTOTAL(9,S2:S5)</f>
        <v>996.619</v>
      </c>
      <c r="T6" s="18" t="n">
        <f aca="false">SUBTOTAL(9,T2:T5)</f>
        <v>7096.603</v>
      </c>
      <c r="U6" s="18" t="n">
        <f aca="false">SUBTOTAL(9,U2:U5)</f>
        <v>6531.02</v>
      </c>
      <c r="V6" s="18" t="n">
        <f aca="false">SUBTOTAL(9,V2:V5)</f>
        <v>6521.567</v>
      </c>
      <c r="W6" s="18" t="n">
        <f aca="false">SUBTOTAL(9,W2:W5)</f>
        <v>5283.563</v>
      </c>
      <c r="X6" s="18" t="n">
        <f aca="false">SUBTOTAL(9,X2:X5)</f>
        <v>4120.62</v>
      </c>
      <c r="Y6" s="18" t="n">
        <f aca="false">SUBTOTAL(9,Y2:Y5)</f>
        <v>5222.791</v>
      </c>
      <c r="Z6" s="18" t="n">
        <f aca="false">SUBTOTAL(9,Z2:Z5)</f>
        <v>6669.636</v>
      </c>
      <c r="AA6" s="18" t="n">
        <f aca="false">SUBTOTAL(9,AA2:AA5)</f>
        <v>34349.197</v>
      </c>
      <c r="AB6" s="18" t="n">
        <f aca="false">SUBTOTAL(9,AB2:AB5)</f>
        <v>1473.817</v>
      </c>
      <c r="AC6" s="18" t="n">
        <f aca="false">SUBTOTAL(9,AC2:AC5)</f>
        <v>1483.371</v>
      </c>
      <c r="AD6" s="18" t="n">
        <f aca="false">SUBTOTAL(9,AD2:AD5)</f>
        <v>1085.291</v>
      </c>
      <c r="AE6" s="18" t="n">
        <f aca="false">SUBTOTAL(9,AE2:AE5)</f>
        <v>830.239</v>
      </c>
      <c r="AF6" s="18" t="n">
        <f aca="false">SUBTOTAL(9,AF2:AF5)</f>
        <v>1036.872</v>
      </c>
      <c r="AG6" s="18" t="n">
        <f aca="false">SUBTOTAL(9,AG2:AG5)</f>
        <v>1407.328</v>
      </c>
      <c r="AH6" s="18" t="n">
        <f aca="false">SUBTOTAL(9,AH2:AH5)</f>
        <v>7316.918</v>
      </c>
    </row>
    <row r="7" customFormat="false" ht="15" hidden="false" customHeight="false" outlineLevel="2" collapsed="false">
      <c r="A7" s="8" t="s">
        <v>634</v>
      </c>
      <c r="B7" s="9" t="s">
        <v>635</v>
      </c>
      <c r="C7" s="8" t="s">
        <v>636</v>
      </c>
      <c r="D7" s="12" t="s">
        <v>637</v>
      </c>
      <c r="E7" s="16"/>
      <c r="F7" s="9" t="str">
        <f aca="false">IF($E7="","",IFERROR(INDEX(担当者マスタ!$B$2:$B$101,MATCH($E7,担当者マスタ!$A$2:$A$101,0)),"※マスタ未登録"))</f>
        <v/>
      </c>
      <c r="G7" s="11" t="n">
        <v>39.1</v>
      </c>
      <c r="H7" s="11" t="n">
        <v>14.423</v>
      </c>
      <c r="I7" s="11" t="n">
        <v>11.76</v>
      </c>
      <c r="J7" s="11" t="n">
        <v>17.036</v>
      </c>
      <c r="K7" s="11" t="n">
        <v>11.688</v>
      </c>
      <c r="L7" s="11" t="n">
        <v>8.097</v>
      </c>
      <c r="M7" s="11" t="n">
        <f aca="false">SUM(G7:L7)</f>
        <v>102.104</v>
      </c>
      <c r="N7" s="11" t="n">
        <v>20.201</v>
      </c>
      <c r="O7" s="11" t="n">
        <v>6.885</v>
      </c>
      <c r="P7" s="11" t="n">
        <v>5.061</v>
      </c>
      <c r="Q7" s="11" t="n">
        <v>7.85</v>
      </c>
      <c r="R7" s="11" t="n">
        <v>5.304</v>
      </c>
      <c r="S7" s="11" t="n">
        <v>3.461</v>
      </c>
      <c r="T7" s="11" t="n">
        <f aca="false">SUM(N7:S7)</f>
        <v>48.762</v>
      </c>
      <c r="U7" s="11" t="n">
        <v>26.513</v>
      </c>
      <c r="V7" s="11" t="n">
        <v>14.266</v>
      </c>
      <c r="W7" s="11" t="n">
        <v>18.887</v>
      </c>
      <c r="X7" s="11" t="n">
        <v>5.19</v>
      </c>
      <c r="Y7" s="11" t="n">
        <v>19.191</v>
      </c>
      <c r="Z7" s="11" t="n">
        <v>11.024</v>
      </c>
      <c r="AA7" s="11" t="n">
        <f aca="false">SUM(U7:Z7)</f>
        <v>95.071</v>
      </c>
      <c r="AB7" s="11" t="n">
        <v>12.505</v>
      </c>
      <c r="AC7" s="11" t="n">
        <v>5.797</v>
      </c>
      <c r="AD7" s="11" t="n">
        <v>8.625</v>
      </c>
      <c r="AE7" s="11" t="n">
        <v>2.248</v>
      </c>
      <c r="AF7" s="11" t="n">
        <v>9.099</v>
      </c>
      <c r="AG7" s="11" t="n">
        <v>4.024</v>
      </c>
      <c r="AH7" s="11" t="n">
        <f aca="false">SUM(AB7:AG7)</f>
        <v>42.298</v>
      </c>
    </row>
    <row r="8" customFormat="false" ht="15" hidden="false" customHeight="false" outlineLevel="2" collapsed="false">
      <c r="A8" s="8" t="s">
        <v>638</v>
      </c>
      <c r="B8" s="12" t="s">
        <v>639</v>
      </c>
      <c r="C8" s="8" t="s">
        <v>636</v>
      </c>
      <c r="D8" s="12" t="s">
        <v>637</v>
      </c>
      <c r="E8" s="16"/>
      <c r="F8" s="9" t="str">
        <f aca="false">IF($E8="","",IFERROR(INDEX(担当者マスタ!$B$2:$B$101,MATCH($E8,担当者マスタ!$A$2:$A$101,0)),"※マスタ未登録"))</f>
        <v/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f aca="false">SUM(G8:L8)</f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f aca="false">SUM(N8:S8)</f>
        <v>0</v>
      </c>
      <c r="U8" s="11" t="n">
        <v>7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f aca="false">SUM(U8:Z8)</f>
        <v>7</v>
      </c>
      <c r="AB8" s="11" t="n">
        <v>1.72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f aca="false">SUM(AB8:AG8)</f>
        <v>1.72</v>
      </c>
    </row>
    <row r="9" customFormat="false" ht="15" hidden="false" customHeight="false" outlineLevel="2" collapsed="false">
      <c r="A9" s="8" t="s">
        <v>640</v>
      </c>
      <c r="B9" s="9" t="s">
        <v>641</v>
      </c>
      <c r="C9" s="8" t="s">
        <v>636</v>
      </c>
      <c r="D9" s="12" t="s">
        <v>637</v>
      </c>
      <c r="E9" s="16"/>
      <c r="F9" s="9" t="str">
        <f aca="false">IF($E9="","",IFERROR(INDEX(担当者マスタ!$B$2:$B$101,MATCH($E9,担当者マスタ!$A$2:$A$101,0)),"※マスタ未登録"))</f>
        <v/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f aca="false">SUM(G9:L9)</f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f aca="false">SUM(N9:S9)</f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1.164</v>
      </c>
      <c r="AA9" s="11" t="n">
        <f aca="false">SUM(U9:Z9)</f>
        <v>1.164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0.495</v>
      </c>
      <c r="AH9" s="11" t="n">
        <f aca="false">SUM(AB9:AG9)</f>
        <v>0.495</v>
      </c>
    </row>
    <row r="10" customFormat="false" ht="15" hidden="false" customHeight="false" outlineLevel="2" collapsed="false">
      <c r="A10" s="8" t="s">
        <v>642</v>
      </c>
      <c r="B10" s="9" t="s">
        <v>643</v>
      </c>
      <c r="C10" s="8" t="s">
        <v>636</v>
      </c>
      <c r="D10" s="12" t="s">
        <v>637</v>
      </c>
      <c r="E10" s="16"/>
      <c r="F10" s="9" t="str">
        <f aca="false">IF($E10="","",IFERROR(INDEX(担当者マスタ!$B$2:$B$101,MATCH($E10,担当者マスタ!$A$2:$A$101,0)),"※マスタ未登録"))</f>
        <v/>
      </c>
      <c r="G10" s="11" t="n">
        <v>69.5</v>
      </c>
      <c r="H10" s="11" t="n">
        <v>80.845</v>
      </c>
      <c r="I10" s="11" t="n">
        <v>29.36</v>
      </c>
      <c r="J10" s="11" t="n">
        <v>20.562</v>
      </c>
      <c r="K10" s="11" t="n">
        <v>114.97</v>
      </c>
      <c r="L10" s="11" t="n">
        <v>71.34</v>
      </c>
      <c r="M10" s="11" t="n">
        <f aca="false">SUM(G10:L10)</f>
        <v>386.577</v>
      </c>
      <c r="N10" s="11" t="n">
        <v>68.25</v>
      </c>
      <c r="O10" s="11" t="n">
        <v>64.478</v>
      </c>
      <c r="P10" s="11" t="n">
        <v>16.16</v>
      </c>
      <c r="Q10" s="11" t="n">
        <v>20.03</v>
      </c>
      <c r="R10" s="11" t="n">
        <v>114.97</v>
      </c>
      <c r="S10" s="11" t="n">
        <v>71.34</v>
      </c>
      <c r="T10" s="11" t="n">
        <f aca="false">SUM(N10:S10)</f>
        <v>355.228</v>
      </c>
      <c r="U10" s="11" t="n">
        <v>44</v>
      </c>
      <c r="V10" s="11" t="n">
        <v>142.4</v>
      </c>
      <c r="W10" s="11" t="n">
        <v>62.66</v>
      </c>
      <c r="X10" s="11" t="n">
        <v>20</v>
      </c>
      <c r="Y10" s="11" t="n">
        <v>10.6</v>
      </c>
      <c r="Z10" s="11" t="n">
        <v>3</v>
      </c>
      <c r="AA10" s="11" t="n">
        <f aca="false">SUM(U10:Z10)</f>
        <v>282.66</v>
      </c>
      <c r="AB10" s="11" t="n">
        <v>44</v>
      </c>
      <c r="AC10" s="11" t="n">
        <v>141.15</v>
      </c>
      <c r="AD10" s="11" t="n">
        <v>62.243</v>
      </c>
      <c r="AE10" s="11" t="n">
        <v>20</v>
      </c>
      <c r="AF10" s="11" t="n">
        <v>10.6</v>
      </c>
      <c r="AG10" s="11" t="n">
        <v>3</v>
      </c>
      <c r="AH10" s="11" t="n">
        <f aca="false">SUM(AB10:AG10)</f>
        <v>280.993</v>
      </c>
    </row>
    <row r="11" customFormat="false" ht="15" hidden="false" customHeight="false" outlineLevel="2" collapsed="false">
      <c r="A11" s="8" t="s">
        <v>644</v>
      </c>
      <c r="B11" s="12" t="s">
        <v>645</v>
      </c>
      <c r="C11" s="8" t="s">
        <v>636</v>
      </c>
      <c r="D11" s="12" t="s">
        <v>637</v>
      </c>
      <c r="E11" s="16"/>
      <c r="F11" s="9" t="str">
        <f aca="false">IF($E11="","",IFERROR(INDEX(担当者マスタ!$B$2:$B$101,MATCH($E11,担当者マスタ!$A$2:$A$101,0)),"※マスタ未登録"))</f>
        <v/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f aca="false">SUM(G11:L11)</f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f aca="false">SUM(N11:S11)</f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473.2</v>
      </c>
      <c r="Z11" s="11" t="n">
        <v>0</v>
      </c>
      <c r="AA11" s="11" t="n">
        <f aca="false">SUM(U11:Z11)</f>
        <v>473.2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92.4</v>
      </c>
      <c r="AG11" s="11" t="n">
        <v>0</v>
      </c>
      <c r="AH11" s="11" t="n">
        <f aca="false">SUM(AB11:AG11)</f>
        <v>92.4</v>
      </c>
    </row>
    <row r="12" customFormat="false" ht="15" hidden="false" customHeight="false" outlineLevel="2" collapsed="false">
      <c r="A12" s="8" t="s">
        <v>646</v>
      </c>
      <c r="B12" s="9" t="s">
        <v>647</v>
      </c>
      <c r="C12" s="8" t="s">
        <v>636</v>
      </c>
      <c r="D12" s="12" t="s">
        <v>637</v>
      </c>
      <c r="E12" s="16"/>
      <c r="F12" s="9" t="str">
        <f aca="false">IF($E12="","",IFERROR(INDEX(担当者マスタ!$B$2:$B$101,MATCH($E12,担当者マスタ!$A$2:$A$101,0)),"※マスタ未登録"))</f>
        <v/>
      </c>
      <c r="G12" s="11" t="n">
        <v>496.65</v>
      </c>
      <c r="H12" s="11" t="n">
        <v>231.55</v>
      </c>
      <c r="I12" s="11" t="n">
        <v>55.45</v>
      </c>
      <c r="J12" s="11" t="n">
        <v>66.2</v>
      </c>
      <c r="K12" s="11" t="n">
        <v>34.25</v>
      </c>
      <c r="L12" s="11" t="n">
        <v>41.25</v>
      </c>
      <c r="M12" s="11" t="n">
        <f aca="false">SUM(G12:L12)</f>
        <v>925.35</v>
      </c>
      <c r="N12" s="11" t="n">
        <v>449.596</v>
      </c>
      <c r="O12" s="11" t="n">
        <v>213.992</v>
      </c>
      <c r="P12" s="11" t="n">
        <v>55.45</v>
      </c>
      <c r="Q12" s="11" t="n">
        <v>59.177</v>
      </c>
      <c r="R12" s="11" t="n">
        <v>34.25</v>
      </c>
      <c r="S12" s="11" t="n">
        <v>41.25</v>
      </c>
      <c r="T12" s="11" t="n">
        <f aca="false">SUM(N12:S12)</f>
        <v>853.715</v>
      </c>
      <c r="U12" s="11" t="n">
        <v>27.9</v>
      </c>
      <c r="V12" s="11" t="n">
        <v>84.5</v>
      </c>
      <c r="W12" s="11" t="n">
        <v>561.75</v>
      </c>
      <c r="X12" s="11" t="n">
        <v>412.4</v>
      </c>
      <c r="Y12" s="11" t="n">
        <v>546.4</v>
      </c>
      <c r="Z12" s="11" t="n">
        <v>51.7</v>
      </c>
      <c r="AA12" s="11" t="n">
        <f aca="false">SUM(U12:Z12)</f>
        <v>1684.65</v>
      </c>
      <c r="AB12" s="11" t="n">
        <v>27.9</v>
      </c>
      <c r="AC12" s="11" t="n">
        <v>84.5</v>
      </c>
      <c r="AD12" s="11" t="n">
        <v>326.811</v>
      </c>
      <c r="AE12" s="11" t="n">
        <v>365.409</v>
      </c>
      <c r="AF12" s="11" t="n">
        <v>405.898</v>
      </c>
      <c r="AG12" s="11" t="n">
        <v>46.894</v>
      </c>
      <c r="AH12" s="11" t="n">
        <f aca="false">SUM(AB12:AG12)</f>
        <v>1257.412</v>
      </c>
    </row>
    <row r="13" customFormat="false" ht="15" hidden="false" customHeight="false" outlineLevel="2" collapsed="false">
      <c r="A13" s="8" t="s">
        <v>648</v>
      </c>
      <c r="B13" s="12" t="s">
        <v>649</v>
      </c>
      <c r="C13" s="8" t="s">
        <v>636</v>
      </c>
      <c r="D13" s="12" t="s">
        <v>637</v>
      </c>
      <c r="E13" s="16"/>
      <c r="F13" s="9" t="str">
        <f aca="false">IF($E13="","",IFERROR(INDEX(担当者マスタ!$B$2:$B$101,MATCH($E13,担当者マスタ!$A$2:$A$101,0)),"※マスタ未登録"))</f>
        <v/>
      </c>
      <c r="G13" s="11" t="n">
        <v>1927.301</v>
      </c>
      <c r="H13" s="11" t="n">
        <v>896.31</v>
      </c>
      <c r="I13" s="11" t="n">
        <v>384.75</v>
      </c>
      <c r="J13" s="11" t="n">
        <v>232.53</v>
      </c>
      <c r="K13" s="11" t="n">
        <v>131.08</v>
      </c>
      <c r="L13" s="11" t="n">
        <v>304.45</v>
      </c>
      <c r="M13" s="11" t="n">
        <f aca="false">SUM(G13:L13)</f>
        <v>3876.421</v>
      </c>
      <c r="N13" s="11" t="n">
        <v>432.615</v>
      </c>
      <c r="O13" s="11" t="n">
        <v>199.95</v>
      </c>
      <c r="P13" s="11" t="n">
        <v>87.61</v>
      </c>
      <c r="Q13" s="11" t="n">
        <v>53.55</v>
      </c>
      <c r="R13" s="11" t="n">
        <v>30.92</v>
      </c>
      <c r="S13" s="11" t="n">
        <v>71.28</v>
      </c>
      <c r="T13" s="11" t="n">
        <f aca="false">SUM(N13:S13)</f>
        <v>875.925</v>
      </c>
      <c r="U13" s="11" t="n">
        <v>1160.935</v>
      </c>
      <c r="V13" s="11" t="n">
        <v>696.99</v>
      </c>
      <c r="W13" s="11" t="n">
        <v>540.014</v>
      </c>
      <c r="X13" s="11" t="n">
        <v>434.97</v>
      </c>
      <c r="Y13" s="11" t="n">
        <v>266.45</v>
      </c>
      <c r="Z13" s="11" t="n">
        <v>417.96</v>
      </c>
      <c r="AA13" s="11" t="n">
        <f aca="false">SUM(U13:Z13)</f>
        <v>3517.319</v>
      </c>
      <c r="AB13" s="11" t="n">
        <v>252.081</v>
      </c>
      <c r="AC13" s="11" t="n">
        <v>151.96</v>
      </c>
      <c r="AD13" s="11" t="n">
        <v>117.586</v>
      </c>
      <c r="AE13" s="11" t="n">
        <v>99.88</v>
      </c>
      <c r="AF13" s="11" t="n">
        <v>60.93</v>
      </c>
      <c r="AG13" s="11" t="n">
        <v>93.45</v>
      </c>
      <c r="AH13" s="11" t="n">
        <f aca="false">SUM(AB13:AG13)</f>
        <v>775.887</v>
      </c>
    </row>
    <row r="14" customFormat="false" ht="15" hidden="false" customHeight="false" outlineLevel="2" collapsed="false">
      <c r="A14" s="8" t="s">
        <v>650</v>
      </c>
      <c r="B14" s="9" t="s">
        <v>651</v>
      </c>
      <c r="C14" s="8" t="s">
        <v>636</v>
      </c>
      <c r="D14" s="12" t="s">
        <v>637</v>
      </c>
      <c r="E14" s="16"/>
      <c r="F14" s="9" t="str">
        <f aca="false">IF($E14="","",IFERROR(INDEX(担当者マスタ!$B$2:$B$101,MATCH($E14,担当者マスタ!$A$2:$A$101,0)),"※マスタ未登録"))</f>
        <v/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f aca="false">SUM(G14:L14)</f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f aca="false">SUM(N14:S14)</f>
        <v>0</v>
      </c>
      <c r="U14" s="11" t="n">
        <v>5041.8</v>
      </c>
      <c r="V14" s="11" t="n">
        <v>6213.805</v>
      </c>
      <c r="W14" s="11" t="n">
        <v>4525.811</v>
      </c>
      <c r="X14" s="11" t="n">
        <v>4430.911</v>
      </c>
      <c r="Y14" s="11" t="n">
        <v>3797.025</v>
      </c>
      <c r="Z14" s="11" t="n">
        <v>4362.168</v>
      </c>
      <c r="AA14" s="11" t="n">
        <f aca="false">SUM(U14:Z14)</f>
        <v>28371.52</v>
      </c>
      <c r="AB14" s="11" t="n">
        <v>1982.663</v>
      </c>
      <c r="AC14" s="11" t="n">
        <v>2331.152</v>
      </c>
      <c r="AD14" s="11" t="n">
        <v>1754.948</v>
      </c>
      <c r="AE14" s="11" t="n">
        <v>1655.38</v>
      </c>
      <c r="AF14" s="11" t="n">
        <v>1390.295</v>
      </c>
      <c r="AG14" s="11" t="n">
        <v>1680.919</v>
      </c>
      <c r="AH14" s="11" t="n">
        <f aca="false">SUM(AB14:AG14)</f>
        <v>10795.357</v>
      </c>
    </row>
    <row r="15" customFormat="false" ht="15" hidden="false" customHeight="false" outlineLevel="1" collapsed="false">
      <c r="A15" s="17"/>
      <c r="B15" s="17"/>
      <c r="C15" s="17" t="s">
        <v>1931</v>
      </c>
      <c r="D15" s="19" t="s">
        <v>637</v>
      </c>
      <c r="E15" s="19"/>
      <c r="F15" s="19"/>
      <c r="G15" s="18" t="n">
        <f aca="false">SUBTOTAL(9,G7:G14)</f>
        <v>2532.551</v>
      </c>
      <c r="H15" s="18" t="n">
        <f aca="false">SUBTOTAL(9,H7:H14)</f>
        <v>1223.128</v>
      </c>
      <c r="I15" s="18" t="n">
        <f aca="false">SUBTOTAL(9,I7:I14)</f>
        <v>481.32</v>
      </c>
      <c r="J15" s="18" t="n">
        <f aca="false">SUBTOTAL(9,J7:J14)</f>
        <v>336.328</v>
      </c>
      <c r="K15" s="18" t="n">
        <f aca="false">SUBTOTAL(9,K7:K14)</f>
        <v>291.988</v>
      </c>
      <c r="L15" s="18" t="n">
        <f aca="false">SUBTOTAL(9,L7:L14)</f>
        <v>425.137</v>
      </c>
      <c r="M15" s="18" t="n">
        <f aca="false">SUBTOTAL(9,M7:M14)</f>
        <v>5290.452</v>
      </c>
      <c r="N15" s="18" t="n">
        <f aca="false">SUBTOTAL(9,N7:N14)</f>
        <v>970.662</v>
      </c>
      <c r="O15" s="18" t="n">
        <f aca="false">SUBTOTAL(9,O7:O14)</f>
        <v>485.305</v>
      </c>
      <c r="P15" s="18" t="n">
        <f aca="false">SUBTOTAL(9,P7:P14)</f>
        <v>164.281</v>
      </c>
      <c r="Q15" s="18" t="n">
        <f aca="false">SUBTOTAL(9,Q7:Q14)</f>
        <v>140.607</v>
      </c>
      <c r="R15" s="18" t="n">
        <f aca="false">SUBTOTAL(9,R7:R14)</f>
        <v>185.444</v>
      </c>
      <c r="S15" s="18" t="n">
        <f aca="false">SUBTOTAL(9,S7:S14)</f>
        <v>187.331</v>
      </c>
      <c r="T15" s="18" t="n">
        <f aca="false">SUBTOTAL(9,T7:T14)</f>
        <v>2133.63</v>
      </c>
      <c r="U15" s="18" t="n">
        <f aca="false">SUBTOTAL(9,U7:U14)</f>
        <v>6308.148</v>
      </c>
      <c r="V15" s="18" t="n">
        <f aca="false">SUBTOTAL(9,V7:V14)</f>
        <v>7151.961</v>
      </c>
      <c r="W15" s="18" t="n">
        <f aca="false">SUBTOTAL(9,W7:W14)</f>
        <v>5709.122</v>
      </c>
      <c r="X15" s="18" t="n">
        <f aca="false">SUBTOTAL(9,X7:X14)</f>
        <v>5303.471</v>
      </c>
      <c r="Y15" s="18" t="n">
        <f aca="false">SUBTOTAL(9,Y7:Y14)</f>
        <v>5112.866</v>
      </c>
      <c r="Z15" s="18" t="n">
        <f aca="false">SUBTOTAL(9,Z7:Z14)</f>
        <v>4847.016</v>
      </c>
      <c r="AA15" s="18" t="n">
        <f aca="false">SUBTOTAL(9,AA7:AA14)</f>
        <v>34432.584</v>
      </c>
      <c r="AB15" s="18" t="n">
        <f aca="false">SUBTOTAL(9,AB7:AB14)</f>
        <v>2320.869</v>
      </c>
      <c r="AC15" s="18" t="n">
        <f aca="false">SUBTOTAL(9,AC7:AC14)</f>
        <v>2714.559</v>
      </c>
      <c r="AD15" s="18" t="n">
        <f aca="false">SUBTOTAL(9,AD7:AD14)</f>
        <v>2270.213</v>
      </c>
      <c r="AE15" s="18" t="n">
        <f aca="false">SUBTOTAL(9,AE7:AE14)</f>
        <v>2142.917</v>
      </c>
      <c r="AF15" s="18" t="n">
        <f aca="false">SUBTOTAL(9,AF7:AF14)</f>
        <v>1969.222</v>
      </c>
      <c r="AG15" s="18" t="n">
        <f aca="false">SUBTOTAL(9,AG7:AG14)</f>
        <v>1828.782</v>
      </c>
      <c r="AH15" s="18" t="n">
        <f aca="false">SUBTOTAL(9,AH7:AH14)</f>
        <v>13246.562</v>
      </c>
    </row>
    <row r="16" customFormat="false" ht="15" hidden="false" customHeight="false" outlineLevel="2" collapsed="false">
      <c r="A16" s="8" t="s">
        <v>945</v>
      </c>
      <c r="B16" s="9" t="s">
        <v>946</v>
      </c>
      <c r="C16" s="8" t="s">
        <v>947</v>
      </c>
      <c r="D16" s="9" t="s">
        <v>948</v>
      </c>
      <c r="E16" s="16"/>
      <c r="F16" s="9" t="str">
        <f aca="false">IF($E16="","",IFERROR(INDEX(担当者マスタ!$B$2:$B$101,MATCH($E16,担当者マスタ!$A$2:$A$101,0)),"※マスタ未登録"))</f>
        <v/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f aca="false">SUM(G16:L16)</f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f aca="false">SUM(N16:S16)</f>
        <v>0</v>
      </c>
      <c r="U16" s="11" t="n">
        <v>86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f aca="false">SUM(U16:Z16)</f>
        <v>86</v>
      </c>
      <c r="AB16" s="11" t="n">
        <v>18.8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f aca="false">SUM(AB16:AG16)</f>
        <v>18.8</v>
      </c>
    </row>
    <row r="17" customFormat="false" ht="15" hidden="false" customHeight="false" outlineLevel="2" collapsed="false">
      <c r="A17" s="8" t="s">
        <v>949</v>
      </c>
      <c r="B17" s="9" t="s">
        <v>950</v>
      </c>
      <c r="C17" s="8" t="s">
        <v>947</v>
      </c>
      <c r="D17" s="9" t="s">
        <v>948</v>
      </c>
      <c r="E17" s="16"/>
      <c r="F17" s="9" t="str">
        <f aca="false">IF($E17="","",IFERROR(INDEX(担当者マスタ!$B$2:$B$101,MATCH($E17,担当者マスタ!$A$2:$A$101,0)),"※マスタ未登録"))</f>
        <v/>
      </c>
      <c r="G17" s="11" t="n">
        <v>14712.216</v>
      </c>
      <c r="H17" s="11" t="n">
        <v>11725.807</v>
      </c>
      <c r="I17" s="11" t="n">
        <v>7290.434</v>
      </c>
      <c r="J17" s="11" t="n">
        <v>10119.517</v>
      </c>
      <c r="K17" s="11" t="n">
        <v>7444.632</v>
      </c>
      <c r="L17" s="11" t="n">
        <v>13124.855</v>
      </c>
      <c r="M17" s="11" t="n">
        <f aca="false">SUM(G17:L17)</f>
        <v>64417.461</v>
      </c>
      <c r="N17" s="11" t="n">
        <v>2351.322</v>
      </c>
      <c r="O17" s="11" t="n">
        <v>2302.986</v>
      </c>
      <c r="P17" s="11" t="n">
        <v>1294.6</v>
      </c>
      <c r="Q17" s="11" t="n">
        <v>1794.514</v>
      </c>
      <c r="R17" s="11" t="n">
        <v>1168.471</v>
      </c>
      <c r="S17" s="11" t="n">
        <v>1962.078</v>
      </c>
      <c r="T17" s="11" t="n">
        <f aca="false">SUM(N17:S17)</f>
        <v>10873.971</v>
      </c>
      <c r="U17" s="11" t="n">
        <v>19329.169</v>
      </c>
      <c r="V17" s="11" t="n">
        <v>14724.818</v>
      </c>
      <c r="W17" s="11" t="n">
        <v>11926.7</v>
      </c>
      <c r="X17" s="11" t="n">
        <v>3662.924</v>
      </c>
      <c r="Y17" s="11" t="n">
        <v>8960.96</v>
      </c>
      <c r="Z17" s="11" t="n">
        <v>18624.798</v>
      </c>
      <c r="AA17" s="11" t="n">
        <f aca="false">SUM(U17:Z17)</f>
        <v>77229.369</v>
      </c>
      <c r="AB17" s="11" t="n">
        <v>4171.382</v>
      </c>
      <c r="AC17" s="11" t="n">
        <v>3372.675</v>
      </c>
      <c r="AD17" s="11" t="n">
        <v>2702.494</v>
      </c>
      <c r="AE17" s="11" t="n">
        <v>789.899</v>
      </c>
      <c r="AF17" s="11" t="n">
        <v>1917.207</v>
      </c>
      <c r="AG17" s="11" t="n">
        <v>3597.906</v>
      </c>
      <c r="AH17" s="11" t="n">
        <f aca="false">SUM(AB17:AG17)</f>
        <v>16551.563</v>
      </c>
    </row>
    <row r="18" customFormat="false" ht="15" hidden="false" customHeight="false" outlineLevel="1" collapsed="false">
      <c r="A18" s="19"/>
      <c r="B18" s="19"/>
      <c r="C18" s="17" t="s">
        <v>1932</v>
      </c>
      <c r="D18" s="17" t="s">
        <v>1933</v>
      </c>
      <c r="E18" s="19"/>
      <c r="F18" s="19"/>
      <c r="G18" s="18" t="n">
        <f aca="false">SUBTOTAL(9,G16:G17)</f>
        <v>14712.216</v>
      </c>
      <c r="H18" s="18" t="n">
        <f aca="false">SUBTOTAL(9,H16:H17)</f>
        <v>11725.807</v>
      </c>
      <c r="I18" s="18" t="n">
        <f aca="false">SUBTOTAL(9,I16:I17)</f>
        <v>7290.434</v>
      </c>
      <c r="J18" s="18" t="n">
        <f aca="false">SUBTOTAL(9,J16:J17)</f>
        <v>10119.517</v>
      </c>
      <c r="K18" s="18" t="n">
        <f aca="false">SUBTOTAL(9,K16:K17)</f>
        <v>7444.632</v>
      </c>
      <c r="L18" s="18" t="n">
        <f aca="false">SUBTOTAL(9,L16:L17)</f>
        <v>13124.855</v>
      </c>
      <c r="M18" s="18" t="n">
        <f aca="false">SUBTOTAL(9,M16:M17)</f>
        <v>64417.461</v>
      </c>
      <c r="N18" s="18" t="n">
        <f aca="false">SUBTOTAL(9,N16:N17)</f>
        <v>2351.322</v>
      </c>
      <c r="O18" s="18" t="n">
        <f aca="false">SUBTOTAL(9,O16:O17)</f>
        <v>2302.986</v>
      </c>
      <c r="P18" s="18" t="n">
        <f aca="false">SUBTOTAL(9,P16:P17)</f>
        <v>1294.6</v>
      </c>
      <c r="Q18" s="18" t="n">
        <f aca="false">SUBTOTAL(9,Q16:Q17)</f>
        <v>1794.514</v>
      </c>
      <c r="R18" s="18" t="n">
        <f aca="false">SUBTOTAL(9,R16:R17)</f>
        <v>1168.471</v>
      </c>
      <c r="S18" s="18" t="n">
        <f aca="false">SUBTOTAL(9,S16:S17)</f>
        <v>1962.078</v>
      </c>
      <c r="T18" s="18" t="n">
        <f aca="false">SUBTOTAL(9,T16:T17)</f>
        <v>10873.971</v>
      </c>
      <c r="U18" s="18" t="n">
        <f aca="false">SUBTOTAL(9,U16:U17)</f>
        <v>19415.169</v>
      </c>
      <c r="V18" s="18" t="n">
        <f aca="false">SUBTOTAL(9,V16:V17)</f>
        <v>14724.818</v>
      </c>
      <c r="W18" s="18" t="n">
        <f aca="false">SUBTOTAL(9,W16:W17)</f>
        <v>11926.7</v>
      </c>
      <c r="X18" s="18" t="n">
        <f aca="false">SUBTOTAL(9,X16:X17)</f>
        <v>3662.924</v>
      </c>
      <c r="Y18" s="18" t="n">
        <f aca="false">SUBTOTAL(9,Y16:Y17)</f>
        <v>8960.96</v>
      </c>
      <c r="Z18" s="18" t="n">
        <f aca="false">SUBTOTAL(9,Z16:Z17)</f>
        <v>18624.798</v>
      </c>
      <c r="AA18" s="18" t="n">
        <f aca="false">SUBTOTAL(9,AA16:AA17)</f>
        <v>77315.369</v>
      </c>
      <c r="AB18" s="18" t="n">
        <f aca="false">SUBTOTAL(9,AB16:AB17)</f>
        <v>4190.182</v>
      </c>
      <c r="AC18" s="18" t="n">
        <f aca="false">SUBTOTAL(9,AC16:AC17)</f>
        <v>3372.675</v>
      </c>
      <c r="AD18" s="18" t="n">
        <f aca="false">SUBTOTAL(9,AD16:AD17)</f>
        <v>2702.494</v>
      </c>
      <c r="AE18" s="18" t="n">
        <f aca="false">SUBTOTAL(9,AE16:AE17)</f>
        <v>789.899</v>
      </c>
      <c r="AF18" s="18" t="n">
        <f aca="false">SUBTOTAL(9,AF16:AF17)</f>
        <v>1917.207</v>
      </c>
      <c r="AG18" s="18" t="n">
        <f aca="false">SUBTOTAL(9,AG16:AG17)</f>
        <v>3597.906</v>
      </c>
      <c r="AH18" s="18" t="n">
        <f aca="false">SUBTOTAL(9,AH16:AH17)</f>
        <v>16570.363</v>
      </c>
    </row>
    <row r="19" customFormat="false" ht="15" hidden="false" customHeight="false" outlineLevel="2" collapsed="false">
      <c r="A19" s="8" t="s">
        <v>1269</v>
      </c>
      <c r="B19" s="12" t="s">
        <v>1270</v>
      </c>
      <c r="C19" s="8" t="s">
        <v>1271</v>
      </c>
      <c r="D19" s="12" t="s">
        <v>1272</v>
      </c>
      <c r="E19" s="16"/>
      <c r="F19" s="9" t="str">
        <f aca="false">IF($E19="","",IFERROR(INDEX(担当者マスタ!$B$2:$B$101,MATCH($E19,担当者マスタ!$A$2:$A$101,0)),"※マスタ未登録"))</f>
        <v/>
      </c>
      <c r="G19" s="11" t="n">
        <v>525.78</v>
      </c>
      <c r="H19" s="11" t="n">
        <v>628.263</v>
      </c>
      <c r="I19" s="11" t="n">
        <v>707.48</v>
      </c>
      <c r="J19" s="11" t="n">
        <v>687.09</v>
      </c>
      <c r="K19" s="11" t="n">
        <v>948.98</v>
      </c>
      <c r="L19" s="11" t="n">
        <v>834.972</v>
      </c>
      <c r="M19" s="11" t="n">
        <f aca="false">SUM(G19:L19)</f>
        <v>4332.565</v>
      </c>
      <c r="N19" s="11" t="n">
        <v>284.751</v>
      </c>
      <c r="O19" s="11" t="n">
        <v>412.73</v>
      </c>
      <c r="P19" s="11" t="n">
        <v>399.469</v>
      </c>
      <c r="Q19" s="11" t="n">
        <v>390.432</v>
      </c>
      <c r="R19" s="11" t="n">
        <v>734.144</v>
      </c>
      <c r="S19" s="11" t="n">
        <v>536.921</v>
      </c>
      <c r="T19" s="11" t="n">
        <f aca="false">SUM(N19:S19)</f>
        <v>2758.447</v>
      </c>
      <c r="U19" s="11" t="n">
        <v>529.547</v>
      </c>
      <c r="V19" s="11" t="n">
        <v>834.739</v>
      </c>
      <c r="W19" s="11" t="n">
        <v>929.941</v>
      </c>
      <c r="X19" s="11" t="n">
        <v>654.036</v>
      </c>
      <c r="Y19" s="11" t="n">
        <v>817.589</v>
      </c>
      <c r="Z19" s="11" t="n">
        <v>607.232</v>
      </c>
      <c r="AA19" s="11" t="n">
        <f aca="false">SUM(U19:Z19)</f>
        <v>4373.084</v>
      </c>
      <c r="AB19" s="11" t="n">
        <v>430.158</v>
      </c>
      <c r="AC19" s="11" t="n">
        <v>660.75</v>
      </c>
      <c r="AD19" s="11" t="n">
        <v>647.324</v>
      </c>
      <c r="AE19" s="11" t="n">
        <v>465.198</v>
      </c>
      <c r="AF19" s="11" t="n">
        <v>580.017</v>
      </c>
      <c r="AG19" s="11" t="n">
        <v>348.719</v>
      </c>
      <c r="AH19" s="11" t="n">
        <f aca="false">SUM(AB19:AG19)</f>
        <v>3132.166</v>
      </c>
    </row>
    <row r="20" customFormat="false" ht="15" hidden="false" customHeight="false" outlineLevel="1" collapsed="false">
      <c r="A20" s="19"/>
      <c r="B20" s="19"/>
      <c r="C20" s="17" t="s">
        <v>1934</v>
      </c>
      <c r="D20" s="19" t="s">
        <v>1272</v>
      </c>
      <c r="E20" s="19"/>
      <c r="F20" s="19"/>
      <c r="G20" s="18" t="n">
        <f aca="false">SUBTOTAL(9,G19:G19)</f>
        <v>525.78</v>
      </c>
      <c r="H20" s="18" t="n">
        <f aca="false">SUBTOTAL(9,H19:H19)</f>
        <v>628.263</v>
      </c>
      <c r="I20" s="18" t="n">
        <f aca="false">SUBTOTAL(9,I19:I19)</f>
        <v>707.48</v>
      </c>
      <c r="J20" s="18" t="n">
        <f aca="false">SUBTOTAL(9,J19:J19)</f>
        <v>687.09</v>
      </c>
      <c r="K20" s="18" t="n">
        <f aca="false">SUBTOTAL(9,K19:K19)</f>
        <v>948.98</v>
      </c>
      <c r="L20" s="18" t="n">
        <f aca="false">SUBTOTAL(9,L19:L19)</f>
        <v>834.972</v>
      </c>
      <c r="M20" s="18" t="n">
        <f aca="false">SUBTOTAL(9,M19:M19)</f>
        <v>4332.565</v>
      </c>
      <c r="N20" s="18" t="n">
        <f aca="false">SUBTOTAL(9,N19:N19)</f>
        <v>284.751</v>
      </c>
      <c r="O20" s="18" t="n">
        <f aca="false">SUBTOTAL(9,O19:O19)</f>
        <v>412.73</v>
      </c>
      <c r="P20" s="18" t="n">
        <f aca="false">SUBTOTAL(9,P19:P19)</f>
        <v>399.469</v>
      </c>
      <c r="Q20" s="18" t="n">
        <f aca="false">SUBTOTAL(9,Q19:Q19)</f>
        <v>390.432</v>
      </c>
      <c r="R20" s="18" t="n">
        <f aca="false">SUBTOTAL(9,R19:R19)</f>
        <v>734.144</v>
      </c>
      <c r="S20" s="18" t="n">
        <f aca="false">SUBTOTAL(9,S19:S19)</f>
        <v>536.921</v>
      </c>
      <c r="T20" s="18" t="n">
        <f aca="false">SUBTOTAL(9,T19:T19)</f>
        <v>2758.447</v>
      </c>
      <c r="U20" s="18" t="n">
        <f aca="false">SUBTOTAL(9,U19:U19)</f>
        <v>529.547</v>
      </c>
      <c r="V20" s="18" t="n">
        <f aca="false">SUBTOTAL(9,V19:V19)</f>
        <v>834.739</v>
      </c>
      <c r="W20" s="18" t="n">
        <f aca="false">SUBTOTAL(9,W19:W19)</f>
        <v>929.941</v>
      </c>
      <c r="X20" s="18" t="n">
        <f aca="false">SUBTOTAL(9,X19:X19)</f>
        <v>654.036</v>
      </c>
      <c r="Y20" s="18" t="n">
        <f aca="false">SUBTOTAL(9,Y19:Y19)</f>
        <v>817.589</v>
      </c>
      <c r="Z20" s="18" t="n">
        <f aca="false">SUBTOTAL(9,Z19:Z19)</f>
        <v>607.232</v>
      </c>
      <c r="AA20" s="18" t="n">
        <f aca="false">SUBTOTAL(9,AA19:AA19)</f>
        <v>4373.084</v>
      </c>
      <c r="AB20" s="18" t="n">
        <f aca="false">SUBTOTAL(9,AB19:AB19)</f>
        <v>430.158</v>
      </c>
      <c r="AC20" s="18" t="n">
        <f aca="false">SUBTOTAL(9,AC19:AC19)</f>
        <v>660.75</v>
      </c>
      <c r="AD20" s="18" t="n">
        <f aca="false">SUBTOTAL(9,AD19:AD19)</f>
        <v>647.324</v>
      </c>
      <c r="AE20" s="18" t="n">
        <f aca="false">SUBTOTAL(9,AE19:AE19)</f>
        <v>465.198</v>
      </c>
      <c r="AF20" s="18" t="n">
        <f aca="false">SUBTOTAL(9,AF19:AF19)</f>
        <v>580.017</v>
      </c>
      <c r="AG20" s="18" t="n">
        <f aca="false">SUBTOTAL(9,AG19:AG19)</f>
        <v>348.719</v>
      </c>
      <c r="AH20" s="18" t="n">
        <f aca="false">SUBTOTAL(9,AH19:AH19)</f>
        <v>3132.166</v>
      </c>
    </row>
    <row r="21" customFormat="false" ht="15" hidden="false" customHeight="false" outlineLevel="2" collapsed="false">
      <c r="A21" s="8" t="s">
        <v>1273</v>
      </c>
      <c r="B21" s="9" t="s">
        <v>1274</v>
      </c>
      <c r="C21" s="8" t="s">
        <v>1275</v>
      </c>
      <c r="D21" s="9" t="s">
        <v>1276</v>
      </c>
      <c r="E21" s="16"/>
      <c r="F21" s="9" t="str">
        <f aca="false">IF($E21="","",IFERROR(INDEX(担当者マスタ!$B$2:$B$101,MATCH($E21,担当者マスタ!$A$2:$A$101,0)),"※マスタ未登録"))</f>
        <v/>
      </c>
      <c r="G21" s="11" t="n">
        <v>0</v>
      </c>
      <c r="H21" s="11" t="n">
        <v>201.8</v>
      </c>
      <c r="I21" s="11" t="n">
        <v>150</v>
      </c>
      <c r="J21" s="11" t="n">
        <v>0</v>
      </c>
      <c r="K21" s="11" t="n">
        <v>165</v>
      </c>
      <c r="L21" s="11" t="n">
        <v>0</v>
      </c>
      <c r="M21" s="11" t="n">
        <f aca="false">SUM(G21:L21)</f>
        <v>516.8</v>
      </c>
      <c r="N21" s="11" t="n">
        <v>0</v>
      </c>
      <c r="O21" s="11" t="n">
        <v>40.52</v>
      </c>
      <c r="P21" s="11" t="n">
        <v>150</v>
      </c>
      <c r="Q21" s="11" t="n">
        <v>0</v>
      </c>
      <c r="R21" s="11" t="n">
        <v>30</v>
      </c>
      <c r="S21" s="11" t="n">
        <v>0</v>
      </c>
      <c r="T21" s="11" t="n">
        <f aca="false">SUM(N21:S21)</f>
        <v>220.52</v>
      </c>
      <c r="U21" s="11" t="n">
        <v>165</v>
      </c>
      <c r="V21" s="11" t="n">
        <v>0</v>
      </c>
      <c r="W21" s="11" t="n">
        <v>0</v>
      </c>
      <c r="X21" s="11" t="n">
        <v>0</v>
      </c>
      <c r="Y21" s="11" t="n">
        <v>6.5</v>
      </c>
      <c r="Z21" s="11" t="n">
        <v>0</v>
      </c>
      <c r="AA21" s="11" t="n">
        <f aca="false">SUM(U21:Z21)</f>
        <v>171.5</v>
      </c>
      <c r="AB21" s="11" t="n">
        <v>30</v>
      </c>
      <c r="AC21" s="11" t="n">
        <v>0</v>
      </c>
      <c r="AD21" s="11" t="n">
        <v>0</v>
      </c>
      <c r="AE21" s="11" t="n">
        <v>0</v>
      </c>
      <c r="AF21" s="11" t="n">
        <v>6.5</v>
      </c>
      <c r="AG21" s="11" t="n">
        <v>0</v>
      </c>
      <c r="AH21" s="11" t="n">
        <f aca="false">SUM(AB21:AG21)</f>
        <v>36.5</v>
      </c>
    </row>
    <row r="22" customFormat="false" ht="15" hidden="false" customHeight="false" outlineLevel="2" collapsed="false">
      <c r="A22" s="8" t="s">
        <v>1277</v>
      </c>
      <c r="B22" s="9" t="s">
        <v>1278</v>
      </c>
      <c r="C22" s="8" t="s">
        <v>1275</v>
      </c>
      <c r="D22" s="9" t="s">
        <v>1276</v>
      </c>
      <c r="E22" s="16"/>
      <c r="F22" s="9" t="str">
        <f aca="false">IF($E22="","",IFERROR(INDEX(担当者マスタ!$B$2:$B$101,MATCH($E22,担当者マスタ!$A$2:$A$101,0)),"※マスタ未登録"))</f>
        <v/>
      </c>
      <c r="G22" s="11" t="n">
        <v>11181.448</v>
      </c>
      <c r="H22" s="11" t="n">
        <v>9787.562</v>
      </c>
      <c r="I22" s="11" t="n">
        <v>3937.089</v>
      </c>
      <c r="J22" s="11" t="n">
        <v>4402.895</v>
      </c>
      <c r="K22" s="11" t="n">
        <v>5739.73</v>
      </c>
      <c r="L22" s="11" t="n">
        <v>6618.195</v>
      </c>
      <c r="M22" s="11" t="n">
        <f aca="false">SUM(G22:L22)</f>
        <v>41666.919</v>
      </c>
      <c r="N22" s="11" t="n">
        <v>2192.469</v>
      </c>
      <c r="O22" s="11" t="n">
        <v>2024.613</v>
      </c>
      <c r="P22" s="11" t="n">
        <v>799.796</v>
      </c>
      <c r="Q22" s="11" t="n">
        <v>930.288</v>
      </c>
      <c r="R22" s="11" t="n">
        <v>1182.906</v>
      </c>
      <c r="S22" s="11" t="n">
        <v>1412.294</v>
      </c>
      <c r="T22" s="11" t="n">
        <f aca="false">SUM(N22:S22)</f>
        <v>8542.366</v>
      </c>
      <c r="U22" s="11" t="n">
        <v>11002.024</v>
      </c>
      <c r="V22" s="11" t="n">
        <v>12709.28</v>
      </c>
      <c r="W22" s="11" t="n">
        <v>7292.45</v>
      </c>
      <c r="X22" s="11" t="n">
        <v>4099.222</v>
      </c>
      <c r="Y22" s="11" t="n">
        <v>5195.947</v>
      </c>
      <c r="Z22" s="11" t="n">
        <v>10845.253</v>
      </c>
      <c r="AA22" s="11" t="n">
        <f aca="false">SUM(U22:Z22)</f>
        <v>51144.176</v>
      </c>
      <c r="AB22" s="11" t="n">
        <v>2495.362</v>
      </c>
      <c r="AC22" s="11" t="n">
        <v>2948.673</v>
      </c>
      <c r="AD22" s="11" t="n">
        <v>1710.851</v>
      </c>
      <c r="AE22" s="11" t="n">
        <v>945.286</v>
      </c>
      <c r="AF22" s="11" t="n">
        <v>1266.53</v>
      </c>
      <c r="AG22" s="11" t="n">
        <v>2687.809</v>
      </c>
      <c r="AH22" s="11" t="n">
        <f aca="false">SUM(AB22:AG22)</f>
        <v>12054.511</v>
      </c>
    </row>
    <row r="23" customFormat="false" ht="15" hidden="false" customHeight="false" outlineLevel="1" collapsed="false">
      <c r="A23" s="19"/>
      <c r="B23" s="19"/>
      <c r="C23" s="17" t="s">
        <v>1935</v>
      </c>
      <c r="D23" s="17" t="s">
        <v>1936</v>
      </c>
      <c r="E23" s="19"/>
      <c r="F23" s="19"/>
      <c r="G23" s="18" t="n">
        <f aca="false">SUBTOTAL(9,G21:G22)</f>
        <v>11181.448</v>
      </c>
      <c r="H23" s="18" t="n">
        <f aca="false">SUBTOTAL(9,H21:H22)</f>
        <v>9989.362</v>
      </c>
      <c r="I23" s="18" t="n">
        <f aca="false">SUBTOTAL(9,I21:I22)</f>
        <v>4087.089</v>
      </c>
      <c r="J23" s="18" t="n">
        <f aca="false">SUBTOTAL(9,J21:J22)</f>
        <v>4402.895</v>
      </c>
      <c r="K23" s="18" t="n">
        <f aca="false">SUBTOTAL(9,K21:K22)</f>
        <v>5904.73</v>
      </c>
      <c r="L23" s="18" t="n">
        <f aca="false">SUBTOTAL(9,L21:L22)</f>
        <v>6618.195</v>
      </c>
      <c r="M23" s="18" t="n">
        <f aca="false">SUBTOTAL(9,M21:M22)</f>
        <v>42183.719</v>
      </c>
      <c r="N23" s="18" t="n">
        <f aca="false">SUBTOTAL(9,N21:N22)</f>
        <v>2192.469</v>
      </c>
      <c r="O23" s="18" t="n">
        <f aca="false">SUBTOTAL(9,O21:O22)</f>
        <v>2065.133</v>
      </c>
      <c r="P23" s="18" t="n">
        <f aca="false">SUBTOTAL(9,P21:P22)</f>
        <v>949.796</v>
      </c>
      <c r="Q23" s="18" t="n">
        <f aca="false">SUBTOTAL(9,Q21:Q22)</f>
        <v>930.288</v>
      </c>
      <c r="R23" s="18" t="n">
        <f aca="false">SUBTOTAL(9,R21:R22)</f>
        <v>1212.906</v>
      </c>
      <c r="S23" s="18" t="n">
        <f aca="false">SUBTOTAL(9,S21:S22)</f>
        <v>1412.294</v>
      </c>
      <c r="T23" s="18" t="n">
        <f aca="false">SUBTOTAL(9,T21:T22)</f>
        <v>8762.886</v>
      </c>
      <c r="U23" s="18" t="n">
        <f aca="false">SUBTOTAL(9,U21:U22)</f>
        <v>11167.024</v>
      </c>
      <c r="V23" s="18" t="n">
        <f aca="false">SUBTOTAL(9,V21:V22)</f>
        <v>12709.28</v>
      </c>
      <c r="W23" s="18" t="n">
        <f aca="false">SUBTOTAL(9,W21:W22)</f>
        <v>7292.45</v>
      </c>
      <c r="X23" s="18" t="n">
        <f aca="false">SUBTOTAL(9,X21:X22)</f>
        <v>4099.222</v>
      </c>
      <c r="Y23" s="18" t="n">
        <f aca="false">SUBTOTAL(9,Y21:Y22)</f>
        <v>5202.447</v>
      </c>
      <c r="Z23" s="18" t="n">
        <f aca="false">SUBTOTAL(9,Z21:Z22)</f>
        <v>10845.253</v>
      </c>
      <c r="AA23" s="18" t="n">
        <f aca="false">SUBTOTAL(9,AA21:AA22)</f>
        <v>51315.676</v>
      </c>
      <c r="AB23" s="18" t="n">
        <f aca="false">SUBTOTAL(9,AB21:AB22)</f>
        <v>2525.362</v>
      </c>
      <c r="AC23" s="18" t="n">
        <f aca="false">SUBTOTAL(9,AC21:AC22)</f>
        <v>2948.673</v>
      </c>
      <c r="AD23" s="18" t="n">
        <f aca="false">SUBTOTAL(9,AD21:AD22)</f>
        <v>1710.851</v>
      </c>
      <c r="AE23" s="18" t="n">
        <f aca="false">SUBTOTAL(9,AE21:AE22)</f>
        <v>945.286</v>
      </c>
      <c r="AF23" s="18" t="n">
        <f aca="false">SUBTOTAL(9,AF21:AF22)</f>
        <v>1273.03</v>
      </c>
      <c r="AG23" s="18" t="n">
        <f aca="false">SUBTOTAL(9,AG21:AG22)</f>
        <v>2687.809</v>
      </c>
      <c r="AH23" s="18" t="n">
        <f aca="false">SUBTOTAL(9,AH21:AH22)</f>
        <v>12091.011</v>
      </c>
    </row>
    <row r="24" customFormat="false" ht="15" hidden="false" customHeight="false" outlineLevel="2" collapsed="false">
      <c r="A24" s="8" t="s">
        <v>1279</v>
      </c>
      <c r="B24" s="9" t="s">
        <v>1280</v>
      </c>
      <c r="C24" s="8" t="s">
        <v>1281</v>
      </c>
      <c r="D24" s="12" t="s">
        <v>1282</v>
      </c>
      <c r="E24" s="16"/>
      <c r="F24" s="9" t="str">
        <f aca="false">IF($E24="","",IFERROR(INDEX(担当者マスタ!$B$2:$B$101,MATCH($E24,担当者マスタ!$A$2:$A$101,0)),"※マスタ未登録"))</f>
        <v/>
      </c>
      <c r="G24" s="11" t="n">
        <v>959.76</v>
      </c>
      <c r="H24" s="11" t="n">
        <v>1128.58</v>
      </c>
      <c r="I24" s="11" t="n">
        <v>497.66</v>
      </c>
      <c r="J24" s="11" t="n">
        <v>489.04</v>
      </c>
      <c r="K24" s="11" t="n">
        <v>599.84</v>
      </c>
      <c r="L24" s="11" t="n">
        <v>781.28</v>
      </c>
      <c r="M24" s="11" t="n">
        <f aca="false">SUM(G24:L24)</f>
        <v>4456.16</v>
      </c>
      <c r="N24" s="11" t="n">
        <v>361.574</v>
      </c>
      <c r="O24" s="11" t="n">
        <v>577.482</v>
      </c>
      <c r="P24" s="11" t="n">
        <v>200.481</v>
      </c>
      <c r="Q24" s="11" t="n">
        <v>146.504</v>
      </c>
      <c r="R24" s="11" t="n">
        <v>247.664</v>
      </c>
      <c r="S24" s="11" t="n">
        <v>328.86</v>
      </c>
      <c r="T24" s="11" t="n">
        <f aca="false">SUM(N24:S24)</f>
        <v>1862.565</v>
      </c>
      <c r="U24" s="11" t="n">
        <v>972.52</v>
      </c>
      <c r="V24" s="11" t="n">
        <v>1096.88</v>
      </c>
      <c r="W24" s="11" t="n">
        <v>671.92</v>
      </c>
      <c r="X24" s="11" t="n">
        <v>298.6</v>
      </c>
      <c r="Y24" s="11" t="n">
        <v>542.18</v>
      </c>
      <c r="Z24" s="11" t="n">
        <v>1110.38</v>
      </c>
      <c r="AA24" s="11" t="n">
        <f aca="false">SUM(U24:Z24)</f>
        <v>4692.48</v>
      </c>
      <c r="AB24" s="11" t="n">
        <v>413.851</v>
      </c>
      <c r="AC24" s="11" t="n">
        <v>471.414</v>
      </c>
      <c r="AD24" s="11" t="n">
        <v>265.663</v>
      </c>
      <c r="AE24" s="11" t="n">
        <v>61.76</v>
      </c>
      <c r="AF24" s="11" t="n">
        <v>183.971</v>
      </c>
      <c r="AG24" s="11" t="n">
        <v>453.31</v>
      </c>
      <c r="AH24" s="11" t="n">
        <f aca="false">SUM(AB24:AG24)</f>
        <v>1849.969</v>
      </c>
    </row>
    <row r="25" customFormat="false" ht="15" hidden="false" customHeight="false" outlineLevel="2" collapsed="false">
      <c r="A25" s="8" t="s">
        <v>1283</v>
      </c>
      <c r="B25" s="9" t="s">
        <v>1284</v>
      </c>
      <c r="C25" s="8" t="s">
        <v>1281</v>
      </c>
      <c r="D25" s="12" t="s">
        <v>1282</v>
      </c>
      <c r="E25" s="16"/>
      <c r="F25" s="9" t="str">
        <f aca="false">IF($E25="","",IFERROR(INDEX(担当者マスタ!$B$2:$B$101,MATCH($E25,担当者マスタ!$A$2:$A$101,0)),"※マスタ未登録"))</f>
        <v/>
      </c>
      <c r="G25" s="11" t="n">
        <v>533.52</v>
      </c>
      <c r="H25" s="11" t="n">
        <v>470.34</v>
      </c>
      <c r="I25" s="11" t="n">
        <v>184.86</v>
      </c>
      <c r="J25" s="11" t="n">
        <v>222.3</v>
      </c>
      <c r="K25" s="11" t="n">
        <v>175.5</v>
      </c>
      <c r="L25" s="11" t="n">
        <v>250.2</v>
      </c>
      <c r="M25" s="11" t="n">
        <f aca="false">SUM(G25:L25)</f>
        <v>1836.72</v>
      </c>
      <c r="N25" s="11" t="n">
        <v>533.52</v>
      </c>
      <c r="O25" s="11" t="n">
        <v>470.34</v>
      </c>
      <c r="P25" s="11" t="n">
        <v>184.86</v>
      </c>
      <c r="Q25" s="11" t="n">
        <v>222.3</v>
      </c>
      <c r="R25" s="11" t="n">
        <v>175.5</v>
      </c>
      <c r="S25" s="11" t="n">
        <v>250.2</v>
      </c>
      <c r="T25" s="11" t="n">
        <f aca="false">SUM(N25:S25)</f>
        <v>1836.72</v>
      </c>
      <c r="U25" s="11" t="n">
        <v>487.5</v>
      </c>
      <c r="V25" s="11" t="n">
        <v>474.96</v>
      </c>
      <c r="W25" s="11" t="n">
        <v>253.2</v>
      </c>
      <c r="X25" s="11" t="n">
        <v>154.44</v>
      </c>
      <c r="Y25" s="11" t="n">
        <v>184.86</v>
      </c>
      <c r="Z25" s="11" t="n">
        <v>382.02</v>
      </c>
      <c r="AA25" s="11" t="n">
        <f aca="false">SUM(U25:Z25)</f>
        <v>1936.98</v>
      </c>
      <c r="AB25" s="11" t="n">
        <v>487.5</v>
      </c>
      <c r="AC25" s="11" t="n">
        <v>474.96</v>
      </c>
      <c r="AD25" s="11" t="n">
        <v>253.2</v>
      </c>
      <c r="AE25" s="11" t="n">
        <v>154.44</v>
      </c>
      <c r="AF25" s="11" t="n">
        <v>184.86</v>
      </c>
      <c r="AG25" s="11" t="n">
        <v>382.02</v>
      </c>
      <c r="AH25" s="11" t="n">
        <f aca="false">SUM(AB25:AG25)</f>
        <v>1936.98</v>
      </c>
    </row>
    <row r="26" customFormat="false" ht="15" hidden="false" customHeight="false" outlineLevel="2" collapsed="false">
      <c r="A26" s="8" t="s">
        <v>1285</v>
      </c>
      <c r="B26" s="9" t="s">
        <v>1286</v>
      </c>
      <c r="C26" s="8" t="s">
        <v>1281</v>
      </c>
      <c r="D26" s="12" t="s">
        <v>1282</v>
      </c>
      <c r="E26" s="16"/>
      <c r="F26" s="9" t="str">
        <f aca="false">IF($E26="","",IFERROR(INDEX(担当者マスタ!$B$2:$B$101,MATCH($E26,担当者マスタ!$A$2:$A$101,0)),"※マスタ未登録"))</f>
        <v/>
      </c>
      <c r="G26" s="11" t="n">
        <v>15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f aca="false">SUM(G26:L26)</f>
        <v>15</v>
      </c>
      <c r="N26" s="11" t="n">
        <v>15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f aca="false">SUM(N26:S26)</f>
        <v>15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7.5</v>
      </c>
      <c r="AA26" s="11" t="n">
        <f aca="false">SUM(U26:Z26)</f>
        <v>7.5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7.5</v>
      </c>
      <c r="AH26" s="11" t="n">
        <f aca="false">SUM(AB26:AG26)</f>
        <v>7.5</v>
      </c>
    </row>
    <row r="27" customFormat="false" ht="15" hidden="false" customHeight="false" outlineLevel="2" collapsed="false">
      <c r="A27" s="8" t="s">
        <v>1287</v>
      </c>
      <c r="B27" s="9" t="s">
        <v>1288</v>
      </c>
      <c r="C27" s="8" t="s">
        <v>1281</v>
      </c>
      <c r="D27" s="12" t="s">
        <v>1282</v>
      </c>
      <c r="E27" s="16"/>
      <c r="F27" s="9" t="str">
        <f aca="false">IF($E27="","",IFERROR(INDEX(担当者マスタ!$B$2:$B$101,MATCH($E27,担当者マスタ!$A$2:$A$101,0)),"※マスタ未登録"))</f>
        <v/>
      </c>
      <c r="G27" s="11" t="n">
        <v>18</v>
      </c>
      <c r="H27" s="11" t="n">
        <v>12</v>
      </c>
      <c r="I27" s="11" t="n">
        <v>0</v>
      </c>
      <c r="J27" s="11" t="n">
        <v>4</v>
      </c>
      <c r="K27" s="11" t="n">
        <v>4</v>
      </c>
      <c r="L27" s="11" t="n">
        <v>6</v>
      </c>
      <c r="M27" s="11" t="n">
        <f aca="false">SUM(G27:L27)</f>
        <v>44</v>
      </c>
      <c r="N27" s="11" t="n">
        <v>18</v>
      </c>
      <c r="O27" s="11" t="n">
        <v>12</v>
      </c>
      <c r="P27" s="11" t="n">
        <v>0</v>
      </c>
      <c r="Q27" s="11" t="n">
        <v>4</v>
      </c>
      <c r="R27" s="11" t="n">
        <v>4</v>
      </c>
      <c r="S27" s="11" t="n">
        <v>6</v>
      </c>
      <c r="T27" s="11" t="n">
        <f aca="false">SUM(N27:S27)</f>
        <v>44</v>
      </c>
      <c r="U27" s="11" t="n">
        <v>16</v>
      </c>
      <c r="V27" s="11" t="n">
        <v>20</v>
      </c>
      <c r="W27" s="11" t="n">
        <v>14</v>
      </c>
      <c r="X27" s="11" t="n">
        <v>4</v>
      </c>
      <c r="Y27" s="11" t="n">
        <v>6</v>
      </c>
      <c r="Z27" s="11" t="n">
        <v>10</v>
      </c>
      <c r="AA27" s="11" t="n">
        <f aca="false">SUM(U27:Z27)</f>
        <v>70</v>
      </c>
      <c r="AB27" s="11" t="n">
        <v>16</v>
      </c>
      <c r="AC27" s="11" t="n">
        <v>20</v>
      </c>
      <c r="AD27" s="11" t="n">
        <v>14</v>
      </c>
      <c r="AE27" s="11" t="n">
        <v>4</v>
      </c>
      <c r="AF27" s="11" t="n">
        <v>6</v>
      </c>
      <c r="AG27" s="11" t="n">
        <v>10</v>
      </c>
      <c r="AH27" s="11" t="n">
        <f aca="false">SUM(AB27:AG27)</f>
        <v>70</v>
      </c>
    </row>
    <row r="28" customFormat="false" ht="15" hidden="false" customHeight="false" outlineLevel="2" collapsed="false">
      <c r="A28" s="8" t="s">
        <v>1289</v>
      </c>
      <c r="B28" s="9" t="s">
        <v>1290</v>
      </c>
      <c r="C28" s="8" t="s">
        <v>1281</v>
      </c>
      <c r="D28" s="12" t="s">
        <v>1282</v>
      </c>
      <c r="E28" s="16"/>
      <c r="F28" s="9" t="str">
        <f aca="false">IF($E28="","",IFERROR(INDEX(担当者マスタ!$B$2:$B$101,MATCH($E28,担当者マスタ!$A$2:$A$101,0)),"※マスタ未登録"))</f>
        <v/>
      </c>
      <c r="G28" s="11" t="n">
        <v>1654.8</v>
      </c>
      <c r="H28" s="11" t="n">
        <v>1977.93</v>
      </c>
      <c r="I28" s="11" t="n">
        <v>798.6</v>
      </c>
      <c r="J28" s="11" t="n">
        <v>829.805</v>
      </c>
      <c r="K28" s="11" t="n">
        <v>987.265</v>
      </c>
      <c r="L28" s="11" t="n">
        <v>1251.6</v>
      </c>
      <c r="M28" s="11" t="n">
        <f aca="false">SUM(G28:L28)</f>
        <v>7500</v>
      </c>
      <c r="N28" s="11" t="n">
        <v>623.422</v>
      </c>
      <c r="O28" s="11" t="n">
        <v>1012.088</v>
      </c>
      <c r="P28" s="11" t="n">
        <v>321.716</v>
      </c>
      <c r="Q28" s="11" t="n">
        <v>248.59</v>
      </c>
      <c r="R28" s="11" t="n">
        <v>407.628</v>
      </c>
      <c r="S28" s="11" t="n">
        <v>526.832</v>
      </c>
      <c r="T28" s="11" t="n">
        <f aca="false">SUM(N28:S28)</f>
        <v>3140.276</v>
      </c>
      <c r="U28" s="11" t="n">
        <v>1741.14</v>
      </c>
      <c r="V28" s="11" t="n">
        <v>1939.56</v>
      </c>
      <c r="W28" s="11" t="n">
        <v>1147.86</v>
      </c>
      <c r="X28" s="11" t="n">
        <v>539.79</v>
      </c>
      <c r="Y28" s="11" t="n">
        <v>906.63</v>
      </c>
      <c r="Z28" s="11" t="n">
        <v>1817.76</v>
      </c>
      <c r="AA28" s="11" t="n">
        <f aca="false">SUM(U28:Z28)</f>
        <v>8092.74</v>
      </c>
      <c r="AB28" s="11" t="n">
        <v>740.934</v>
      </c>
      <c r="AC28" s="11" t="n">
        <v>833.579</v>
      </c>
      <c r="AD28" s="11" t="n">
        <v>453.841</v>
      </c>
      <c r="AE28" s="11" t="n">
        <v>111.646</v>
      </c>
      <c r="AF28" s="11" t="n">
        <v>307.637</v>
      </c>
      <c r="AG28" s="11" t="n">
        <v>742.098</v>
      </c>
      <c r="AH28" s="11" t="n">
        <f aca="false">SUM(AB28:AG28)</f>
        <v>3189.735</v>
      </c>
    </row>
    <row r="29" customFormat="false" ht="15" hidden="false" customHeight="false" outlineLevel="2" collapsed="false">
      <c r="A29" s="8" t="s">
        <v>1291</v>
      </c>
      <c r="B29" s="9" t="s">
        <v>1292</v>
      </c>
      <c r="C29" s="8" t="s">
        <v>1281</v>
      </c>
      <c r="D29" s="12" t="s">
        <v>1282</v>
      </c>
      <c r="E29" s="16"/>
      <c r="F29" s="9" t="str">
        <f aca="false">IF($E29="","",IFERROR(INDEX(担当者マスタ!$B$2:$B$101,MATCH($E29,担当者マスタ!$A$2:$A$101,0)),"※マスタ未登録"))</f>
        <v/>
      </c>
      <c r="G29" s="11" t="n">
        <v>324.02</v>
      </c>
      <c r="H29" s="11" t="n">
        <v>342.285</v>
      </c>
      <c r="I29" s="11" t="n">
        <v>126.905</v>
      </c>
      <c r="J29" s="11" t="n">
        <v>169.83</v>
      </c>
      <c r="K29" s="11" t="n">
        <v>194.395</v>
      </c>
      <c r="L29" s="11" t="n">
        <v>235.235</v>
      </c>
      <c r="M29" s="11" t="n">
        <f aca="false">SUM(G29:L29)</f>
        <v>1392.67</v>
      </c>
      <c r="N29" s="11" t="n">
        <v>324.02</v>
      </c>
      <c r="O29" s="11" t="n">
        <v>342.285</v>
      </c>
      <c r="P29" s="11" t="n">
        <v>126.905</v>
      </c>
      <c r="Q29" s="11" t="n">
        <v>169.83</v>
      </c>
      <c r="R29" s="11" t="n">
        <v>194.395</v>
      </c>
      <c r="S29" s="11" t="n">
        <v>235.235</v>
      </c>
      <c r="T29" s="11" t="n">
        <f aca="false">SUM(N29:S29)</f>
        <v>1392.67</v>
      </c>
      <c r="U29" s="11" t="n">
        <v>404.685</v>
      </c>
      <c r="V29" s="11" t="n">
        <v>382.16</v>
      </c>
      <c r="W29" s="11" t="n">
        <v>183.675</v>
      </c>
      <c r="X29" s="11" t="n">
        <v>98.515</v>
      </c>
      <c r="Y29" s="11" t="n">
        <v>161.67</v>
      </c>
      <c r="Z29" s="11" t="n">
        <v>260.95</v>
      </c>
      <c r="AA29" s="11" t="n">
        <f aca="false">SUM(U29:Z29)</f>
        <v>1491.655</v>
      </c>
      <c r="AB29" s="11" t="n">
        <v>404.685</v>
      </c>
      <c r="AC29" s="11" t="n">
        <v>382.16</v>
      </c>
      <c r="AD29" s="11" t="n">
        <v>183.675</v>
      </c>
      <c r="AE29" s="11" t="n">
        <v>98.515</v>
      </c>
      <c r="AF29" s="11" t="n">
        <v>161.67</v>
      </c>
      <c r="AG29" s="11" t="n">
        <v>260.95</v>
      </c>
      <c r="AH29" s="11" t="n">
        <f aca="false">SUM(AB29:AG29)</f>
        <v>1491.655</v>
      </c>
    </row>
    <row r="30" customFormat="false" ht="15" hidden="false" customHeight="false" outlineLevel="2" collapsed="false">
      <c r="A30" s="8" t="s">
        <v>1293</v>
      </c>
      <c r="B30" s="9" t="s">
        <v>1294</v>
      </c>
      <c r="C30" s="8" t="s">
        <v>1281</v>
      </c>
      <c r="D30" s="12" t="s">
        <v>1282</v>
      </c>
      <c r="E30" s="16"/>
      <c r="F30" s="9" t="str">
        <f aca="false">IF($E30="","",IFERROR(INDEX(担当者マスタ!$B$2:$B$101,MATCH($E30,担当者マスタ!$A$2:$A$101,0)),"※マスタ未登録"))</f>
        <v/>
      </c>
      <c r="G30" s="11" t="n">
        <v>208</v>
      </c>
      <c r="H30" s="11" t="n">
        <v>104</v>
      </c>
      <c r="I30" s="11" t="n">
        <v>96</v>
      </c>
      <c r="J30" s="11" t="n">
        <v>86</v>
      </c>
      <c r="K30" s="11" t="n">
        <v>72</v>
      </c>
      <c r="L30" s="11" t="n">
        <v>94</v>
      </c>
      <c r="M30" s="11" t="n">
        <f aca="false">SUM(G30:L30)</f>
        <v>660</v>
      </c>
      <c r="N30" s="11" t="n">
        <v>208</v>
      </c>
      <c r="O30" s="11" t="n">
        <v>104</v>
      </c>
      <c r="P30" s="11" t="n">
        <v>96</v>
      </c>
      <c r="Q30" s="11" t="n">
        <v>86</v>
      </c>
      <c r="R30" s="11" t="n">
        <v>72</v>
      </c>
      <c r="S30" s="11" t="n">
        <v>94</v>
      </c>
      <c r="T30" s="11" t="n">
        <f aca="false">SUM(N30:S30)</f>
        <v>660</v>
      </c>
      <c r="U30" s="11" t="n">
        <v>156</v>
      </c>
      <c r="V30" s="11" t="n">
        <v>151</v>
      </c>
      <c r="W30" s="11" t="n">
        <v>128</v>
      </c>
      <c r="X30" s="11" t="n">
        <v>64</v>
      </c>
      <c r="Y30" s="11" t="n">
        <v>99</v>
      </c>
      <c r="Z30" s="11" t="n">
        <v>162</v>
      </c>
      <c r="AA30" s="11" t="n">
        <f aca="false">SUM(U30:Z30)</f>
        <v>760</v>
      </c>
      <c r="AB30" s="11" t="n">
        <v>156</v>
      </c>
      <c r="AC30" s="11" t="n">
        <v>151</v>
      </c>
      <c r="AD30" s="11" t="n">
        <v>128</v>
      </c>
      <c r="AE30" s="11" t="n">
        <v>64</v>
      </c>
      <c r="AF30" s="11" t="n">
        <v>99</v>
      </c>
      <c r="AG30" s="11" t="n">
        <v>162</v>
      </c>
      <c r="AH30" s="11" t="n">
        <f aca="false">SUM(AB30:AG30)</f>
        <v>760</v>
      </c>
    </row>
    <row r="31" customFormat="false" ht="15" hidden="false" customHeight="false" outlineLevel="2" collapsed="false">
      <c r="A31" s="8" t="s">
        <v>1295</v>
      </c>
      <c r="B31" s="9" t="s">
        <v>1296</v>
      </c>
      <c r="C31" s="8" t="s">
        <v>1281</v>
      </c>
      <c r="D31" s="12" t="s">
        <v>1282</v>
      </c>
      <c r="E31" s="16"/>
      <c r="F31" s="9" t="str">
        <f aca="false">IF($E31="","",IFERROR(INDEX(担当者マスタ!$B$2:$B$101,MATCH($E31,担当者マスタ!$A$2:$A$101,0)),"※マスタ未登録"))</f>
        <v/>
      </c>
      <c r="G31" s="11" t="n">
        <v>299.1</v>
      </c>
      <c r="H31" s="11" t="n">
        <v>282</v>
      </c>
      <c r="I31" s="11" t="n">
        <v>145.5</v>
      </c>
      <c r="J31" s="11" t="n">
        <v>193.5</v>
      </c>
      <c r="K31" s="11" t="n">
        <v>184.2</v>
      </c>
      <c r="L31" s="11" t="n">
        <v>244.2</v>
      </c>
      <c r="M31" s="11" t="n">
        <f aca="false">SUM(G31:L31)</f>
        <v>1348.5</v>
      </c>
      <c r="N31" s="11" t="n">
        <v>299.1</v>
      </c>
      <c r="O31" s="11" t="n">
        <v>282</v>
      </c>
      <c r="P31" s="11" t="n">
        <v>145.5</v>
      </c>
      <c r="Q31" s="11" t="n">
        <v>193.5</v>
      </c>
      <c r="R31" s="11" t="n">
        <v>184.2</v>
      </c>
      <c r="S31" s="11" t="n">
        <v>244.2</v>
      </c>
      <c r="T31" s="11" t="n">
        <f aca="false">SUM(N31:S31)</f>
        <v>1348.5</v>
      </c>
      <c r="U31" s="11" t="n">
        <v>252.6</v>
      </c>
      <c r="V31" s="11" t="n">
        <v>299.4</v>
      </c>
      <c r="W31" s="11" t="n">
        <v>181.8</v>
      </c>
      <c r="X31" s="11" t="n">
        <v>130.5</v>
      </c>
      <c r="Y31" s="11" t="n">
        <v>170.4</v>
      </c>
      <c r="Z31" s="11" t="n">
        <v>323.1</v>
      </c>
      <c r="AA31" s="11" t="n">
        <f aca="false">SUM(U31:Z31)</f>
        <v>1357.8</v>
      </c>
      <c r="AB31" s="11" t="n">
        <v>252.6</v>
      </c>
      <c r="AC31" s="11" t="n">
        <v>299.4</v>
      </c>
      <c r="AD31" s="11" t="n">
        <v>181.8</v>
      </c>
      <c r="AE31" s="11" t="n">
        <v>130.5</v>
      </c>
      <c r="AF31" s="11" t="n">
        <v>170.4</v>
      </c>
      <c r="AG31" s="11" t="n">
        <v>323.1</v>
      </c>
      <c r="AH31" s="11" t="n">
        <f aca="false">SUM(AB31:AG31)</f>
        <v>1357.8</v>
      </c>
    </row>
    <row r="32" customFormat="false" ht="15" hidden="false" customHeight="false" outlineLevel="2" collapsed="false">
      <c r="A32" s="8" t="s">
        <v>1297</v>
      </c>
      <c r="B32" s="12" t="s">
        <v>1298</v>
      </c>
      <c r="C32" s="8" t="s">
        <v>1281</v>
      </c>
      <c r="D32" s="12" t="s">
        <v>1282</v>
      </c>
      <c r="E32" s="16"/>
      <c r="F32" s="9" t="str">
        <f aca="false">IF($E32="","",IFERROR(INDEX(担当者マスタ!$B$2:$B$101,MATCH($E32,担当者マスタ!$A$2:$A$101,0)),"※マスタ未登録"))</f>
        <v/>
      </c>
      <c r="G32" s="11" t="n">
        <v>90.695</v>
      </c>
      <c r="H32" s="11" t="n">
        <v>95.2</v>
      </c>
      <c r="I32" s="11" t="n">
        <v>47.855</v>
      </c>
      <c r="J32" s="11" t="n">
        <v>62.22</v>
      </c>
      <c r="K32" s="11" t="n">
        <v>41.395</v>
      </c>
      <c r="L32" s="11" t="n">
        <v>62.815</v>
      </c>
      <c r="M32" s="11" t="n">
        <f aca="false">SUM(G32:L32)</f>
        <v>400.18</v>
      </c>
      <c r="N32" s="11" t="n">
        <v>90.695</v>
      </c>
      <c r="O32" s="11" t="n">
        <v>95.2</v>
      </c>
      <c r="P32" s="11" t="n">
        <v>47.855</v>
      </c>
      <c r="Q32" s="11" t="n">
        <v>62.22</v>
      </c>
      <c r="R32" s="11" t="n">
        <v>41.395</v>
      </c>
      <c r="S32" s="11" t="n">
        <v>62.815</v>
      </c>
      <c r="T32" s="11" t="n">
        <f aca="false">SUM(N32:S32)</f>
        <v>400.18</v>
      </c>
      <c r="U32" s="11" t="n">
        <v>100.64</v>
      </c>
      <c r="V32" s="11" t="n">
        <v>120.87</v>
      </c>
      <c r="W32" s="11" t="n">
        <v>63.07</v>
      </c>
      <c r="X32" s="11" t="n">
        <v>20.825</v>
      </c>
      <c r="Y32" s="11" t="n">
        <v>33.83</v>
      </c>
      <c r="Z32" s="11" t="n">
        <v>110.245</v>
      </c>
      <c r="AA32" s="11" t="n">
        <f aca="false">SUM(U32:Z32)</f>
        <v>449.48</v>
      </c>
      <c r="AB32" s="11" t="n">
        <v>100.64</v>
      </c>
      <c r="AC32" s="11" t="n">
        <v>120.87</v>
      </c>
      <c r="AD32" s="11" t="n">
        <v>63.07</v>
      </c>
      <c r="AE32" s="11" t="n">
        <v>20.825</v>
      </c>
      <c r="AF32" s="11" t="n">
        <v>33.83</v>
      </c>
      <c r="AG32" s="11" t="n">
        <v>110.245</v>
      </c>
      <c r="AH32" s="11" t="n">
        <f aca="false">SUM(AB32:AG32)</f>
        <v>449.48</v>
      </c>
    </row>
    <row r="33" customFormat="false" ht="15" hidden="false" customHeight="false" outlineLevel="2" collapsed="false">
      <c r="A33" s="8" t="s">
        <v>1299</v>
      </c>
      <c r="B33" s="12" t="s">
        <v>1300</v>
      </c>
      <c r="C33" s="8" t="s">
        <v>1281</v>
      </c>
      <c r="D33" s="12" t="s">
        <v>1282</v>
      </c>
      <c r="E33" s="16"/>
      <c r="F33" s="9" t="str">
        <f aca="false">IF($E33="","",IFERROR(INDEX(担当者マスタ!$B$2:$B$101,MATCH($E33,担当者マスタ!$A$2:$A$101,0)),"※マスタ未登録"))</f>
        <v/>
      </c>
      <c r="G33" s="11" t="n">
        <v>10.115</v>
      </c>
      <c r="H33" s="11" t="n">
        <v>0</v>
      </c>
      <c r="I33" s="11" t="n">
        <v>0</v>
      </c>
      <c r="J33" s="11" t="n">
        <v>0</v>
      </c>
      <c r="K33" s="11" t="n">
        <v>0.85</v>
      </c>
      <c r="L33" s="11" t="n">
        <v>8.415</v>
      </c>
      <c r="M33" s="11" t="n">
        <f aca="false">SUM(G33:L33)</f>
        <v>19.38</v>
      </c>
      <c r="N33" s="11" t="n">
        <v>10.115</v>
      </c>
      <c r="O33" s="11" t="n">
        <v>0</v>
      </c>
      <c r="P33" s="11" t="n">
        <v>0</v>
      </c>
      <c r="Q33" s="11" t="n">
        <v>0</v>
      </c>
      <c r="R33" s="11" t="n">
        <v>0.85</v>
      </c>
      <c r="S33" s="11" t="n">
        <v>8.415</v>
      </c>
      <c r="T33" s="11" t="n">
        <f aca="false">SUM(N33:S33)</f>
        <v>19.38</v>
      </c>
      <c r="U33" s="11" t="n">
        <v>10.2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9.52</v>
      </c>
      <c r="AA33" s="11" t="n">
        <f aca="false">SUM(U33:Z33)</f>
        <v>19.72</v>
      </c>
      <c r="AB33" s="11" t="n">
        <v>10.2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9.52</v>
      </c>
      <c r="AH33" s="11" t="n">
        <f aca="false">SUM(AB33:AG33)</f>
        <v>19.72</v>
      </c>
    </row>
    <row r="34" customFormat="false" ht="15" hidden="false" customHeight="false" outlineLevel="2" collapsed="false">
      <c r="A34" s="8" t="s">
        <v>1301</v>
      </c>
      <c r="B34" s="12" t="s">
        <v>1302</v>
      </c>
      <c r="C34" s="8" t="s">
        <v>1281</v>
      </c>
      <c r="D34" s="12" t="s">
        <v>1282</v>
      </c>
      <c r="E34" s="16"/>
      <c r="F34" s="9" t="str">
        <f aca="false">IF($E34="","",IFERROR(INDEX(担当者マスタ!$B$2:$B$101,MATCH($E34,担当者マスタ!$A$2:$A$101,0)),"※マスタ未登録"))</f>
        <v/>
      </c>
      <c r="G34" s="11" t="n">
        <v>94.35</v>
      </c>
      <c r="H34" s="11" t="n">
        <v>124.695</v>
      </c>
      <c r="I34" s="11" t="n">
        <v>64.855</v>
      </c>
      <c r="J34" s="11" t="n">
        <v>45.05</v>
      </c>
      <c r="K34" s="11" t="n">
        <v>87.975</v>
      </c>
      <c r="L34" s="11" t="n">
        <v>60.18</v>
      </c>
      <c r="M34" s="11" t="n">
        <f aca="false">SUM(G34:L34)</f>
        <v>477.105</v>
      </c>
      <c r="N34" s="11" t="n">
        <v>94.35</v>
      </c>
      <c r="O34" s="11" t="n">
        <v>124.695</v>
      </c>
      <c r="P34" s="11" t="n">
        <v>64.855</v>
      </c>
      <c r="Q34" s="11" t="n">
        <v>45.05</v>
      </c>
      <c r="R34" s="11" t="n">
        <v>87.975</v>
      </c>
      <c r="S34" s="11" t="n">
        <v>60.18</v>
      </c>
      <c r="T34" s="11" t="n">
        <f aca="false">SUM(N34:S34)</f>
        <v>477.105</v>
      </c>
      <c r="U34" s="11" t="n">
        <v>108.63</v>
      </c>
      <c r="V34" s="11" t="n">
        <v>117.555</v>
      </c>
      <c r="W34" s="11" t="n">
        <v>73.865</v>
      </c>
      <c r="X34" s="11" t="n">
        <v>25.84</v>
      </c>
      <c r="Y34" s="11" t="n">
        <v>73.695</v>
      </c>
      <c r="Z34" s="11" t="n">
        <v>88.655</v>
      </c>
      <c r="AA34" s="11" t="n">
        <f aca="false">SUM(U34:Z34)</f>
        <v>488.24</v>
      </c>
      <c r="AB34" s="11" t="n">
        <v>108.63</v>
      </c>
      <c r="AC34" s="11" t="n">
        <v>117.555</v>
      </c>
      <c r="AD34" s="11" t="n">
        <v>73.865</v>
      </c>
      <c r="AE34" s="11" t="n">
        <v>25.84</v>
      </c>
      <c r="AF34" s="11" t="n">
        <v>73.695</v>
      </c>
      <c r="AG34" s="11" t="n">
        <v>88.655</v>
      </c>
      <c r="AH34" s="11" t="n">
        <f aca="false">SUM(AB34:AG34)</f>
        <v>488.24</v>
      </c>
    </row>
    <row r="35" customFormat="false" ht="15" hidden="false" customHeight="false" outlineLevel="2" collapsed="false">
      <c r="A35" s="8" t="s">
        <v>1303</v>
      </c>
      <c r="B35" s="12" t="s">
        <v>1304</v>
      </c>
      <c r="C35" s="8" t="s">
        <v>1281</v>
      </c>
      <c r="D35" s="12" t="s">
        <v>1282</v>
      </c>
      <c r="E35" s="16"/>
      <c r="F35" s="9" t="str">
        <f aca="false">IF($E35="","",IFERROR(INDEX(担当者マスタ!$B$2:$B$101,MATCH($E35,担当者マスタ!$A$2:$A$101,0)),"※マスタ未登録"))</f>
        <v/>
      </c>
      <c r="G35" s="11" t="n">
        <v>65.875</v>
      </c>
      <c r="H35" s="11" t="n">
        <v>71.4</v>
      </c>
      <c r="I35" s="11" t="n">
        <v>42.755</v>
      </c>
      <c r="J35" s="11" t="n">
        <v>44.71</v>
      </c>
      <c r="K35" s="11" t="n">
        <v>58.65</v>
      </c>
      <c r="L35" s="11" t="n">
        <v>79.39</v>
      </c>
      <c r="M35" s="11" t="n">
        <f aca="false">SUM(G35:L35)</f>
        <v>362.78</v>
      </c>
      <c r="N35" s="11" t="n">
        <v>65.875</v>
      </c>
      <c r="O35" s="11" t="n">
        <v>71.4</v>
      </c>
      <c r="P35" s="11" t="n">
        <v>42.755</v>
      </c>
      <c r="Q35" s="11" t="n">
        <v>44.71</v>
      </c>
      <c r="R35" s="11" t="n">
        <v>58.65</v>
      </c>
      <c r="S35" s="11" t="n">
        <v>79.39</v>
      </c>
      <c r="T35" s="11" t="n">
        <f aca="false">SUM(N35:S35)</f>
        <v>362.78</v>
      </c>
      <c r="U35" s="11" t="n">
        <v>84.32</v>
      </c>
      <c r="V35" s="11" t="n">
        <v>91.375</v>
      </c>
      <c r="W35" s="11" t="n">
        <v>24.565</v>
      </c>
      <c r="X35" s="11" t="n">
        <v>19.04</v>
      </c>
      <c r="Y35" s="11" t="n">
        <v>68.425</v>
      </c>
      <c r="Z35" s="11" t="n">
        <v>107.695</v>
      </c>
      <c r="AA35" s="11" t="n">
        <f aca="false">SUM(U35:Z35)</f>
        <v>395.42</v>
      </c>
      <c r="AB35" s="11" t="n">
        <v>84.32</v>
      </c>
      <c r="AC35" s="11" t="n">
        <v>91.375</v>
      </c>
      <c r="AD35" s="11" t="n">
        <v>24.565</v>
      </c>
      <c r="AE35" s="11" t="n">
        <v>19.04</v>
      </c>
      <c r="AF35" s="11" t="n">
        <v>68.425</v>
      </c>
      <c r="AG35" s="11" t="n">
        <v>107.695</v>
      </c>
      <c r="AH35" s="11" t="n">
        <f aca="false">SUM(AB35:AG35)</f>
        <v>395.42</v>
      </c>
    </row>
    <row r="36" customFormat="false" ht="15" hidden="false" customHeight="false" outlineLevel="2" collapsed="false">
      <c r="A36" s="8" t="s">
        <v>1305</v>
      </c>
      <c r="B36" s="12" t="s">
        <v>1306</v>
      </c>
      <c r="C36" s="8" t="s">
        <v>1281</v>
      </c>
      <c r="D36" s="12" t="s">
        <v>1282</v>
      </c>
      <c r="E36" s="16"/>
      <c r="F36" s="9" t="str">
        <f aca="false">IF($E36="","",IFERROR(INDEX(担当者マスタ!$B$2:$B$101,MATCH($E36,担当者マスタ!$A$2:$A$101,0)),"※マスタ未登録"))</f>
        <v/>
      </c>
      <c r="G36" s="11" t="n">
        <v>74.97</v>
      </c>
      <c r="H36" s="11" t="n">
        <v>85.255</v>
      </c>
      <c r="I36" s="11" t="n">
        <v>30.345</v>
      </c>
      <c r="J36" s="11" t="n">
        <v>48.11</v>
      </c>
      <c r="K36" s="11" t="n">
        <v>52.87</v>
      </c>
      <c r="L36" s="11" t="n">
        <v>52.105</v>
      </c>
      <c r="M36" s="11" t="n">
        <f aca="false">SUM(G36:L36)</f>
        <v>343.655</v>
      </c>
      <c r="N36" s="11" t="n">
        <v>74.97</v>
      </c>
      <c r="O36" s="11" t="n">
        <v>85.255</v>
      </c>
      <c r="P36" s="11" t="n">
        <v>30.345</v>
      </c>
      <c r="Q36" s="11" t="n">
        <v>48.11</v>
      </c>
      <c r="R36" s="11" t="n">
        <v>52.87</v>
      </c>
      <c r="S36" s="11" t="n">
        <v>52.105</v>
      </c>
      <c r="T36" s="11" t="n">
        <f aca="false">SUM(N36:S36)</f>
        <v>343.655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f aca="false">SUM(U36:Z36)</f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f aca="false">SUM(AB36:AG36)</f>
        <v>0</v>
      </c>
    </row>
    <row r="37" customFormat="false" ht="15" hidden="false" customHeight="false" outlineLevel="2" collapsed="false">
      <c r="A37" s="8" t="s">
        <v>1307</v>
      </c>
      <c r="B37" s="12" t="s">
        <v>1308</v>
      </c>
      <c r="C37" s="8" t="s">
        <v>1281</v>
      </c>
      <c r="D37" s="12" t="s">
        <v>1282</v>
      </c>
      <c r="E37" s="16"/>
      <c r="F37" s="9" t="str">
        <f aca="false">IF($E37="","",IFERROR(INDEX(担当者マスタ!$B$2:$B$101,MATCH($E37,担当者マスタ!$A$2:$A$101,0)),"※マスタ未登録"))</f>
        <v/>
      </c>
      <c r="G37" s="11" t="n">
        <v>290.54</v>
      </c>
      <c r="H37" s="11" t="n">
        <v>487.395</v>
      </c>
      <c r="I37" s="11" t="n">
        <v>116.1</v>
      </c>
      <c r="J37" s="11" t="n">
        <v>166.35</v>
      </c>
      <c r="K37" s="11" t="n">
        <v>63.495</v>
      </c>
      <c r="L37" s="11" t="n">
        <v>149.895</v>
      </c>
      <c r="M37" s="11" t="n">
        <f aca="false">SUM(G37:L37)</f>
        <v>1273.775</v>
      </c>
      <c r="N37" s="11" t="n">
        <v>290.54</v>
      </c>
      <c r="O37" s="11" t="n">
        <v>487.395</v>
      </c>
      <c r="P37" s="11" t="n">
        <v>116.1</v>
      </c>
      <c r="Q37" s="11" t="n">
        <v>166.35</v>
      </c>
      <c r="R37" s="11" t="n">
        <v>63.495</v>
      </c>
      <c r="S37" s="11" t="n">
        <v>149.895</v>
      </c>
      <c r="T37" s="11" t="n">
        <f aca="false">SUM(N37:S37)</f>
        <v>1273.775</v>
      </c>
      <c r="U37" s="11" t="n">
        <v>163.955</v>
      </c>
      <c r="V37" s="11" t="n">
        <v>619.15</v>
      </c>
      <c r="W37" s="11" t="n">
        <v>129.03</v>
      </c>
      <c r="X37" s="11" t="n">
        <v>148.1</v>
      </c>
      <c r="Y37" s="11" t="n">
        <v>139.745</v>
      </c>
      <c r="Z37" s="11" t="n">
        <v>530.5</v>
      </c>
      <c r="AA37" s="11" t="n">
        <f aca="false">SUM(U37:Z37)</f>
        <v>1730.48</v>
      </c>
      <c r="AB37" s="11" t="n">
        <v>163.955</v>
      </c>
      <c r="AC37" s="11" t="n">
        <v>619.15</v>
      </c>
      <c r="AD37" s="11" t="n">
        <v>129.03</v>
      </c>
      <c r="AE37" s="11" t="n">
        <v>148.1</v>
      </c>
      <c r="AF37" s="11" t="n">
        <v>139.745</v>
      </c>
      <c r="AG37" s="11" t="n">
        <v>530.5</v>
      </c>
      <c r="AH37" s="11" t="n">
        <f aca="false">SUM(AB37:AG37)</f>
        <v>1730.48</v>
      </c>
    </row>
    <row r="38" customFormat="false" ht="15" hidden="false" customHeight="false" outlineLevel="2" collapsed="false">
      <c r="A38" s="8" t="s">
        <v>1309</v>
      </c>
      <c r="B38" s="12" t="s">
        <v>1310</v>
      </c>
      <c r="C38" s="8" t="s">
        <v>1281</v>
      </c>
      <c r="D38" s="12" t="s">
        <v>1282</v>
      </c>
      <c r="E38" s="16"/>
      <c r="F38" s="9" t="str">
        <f aca="false">IF($E38="","",IFERROR(INDEX(担当者マスタ!$B$2:$B$101,MATCH($E38,担当者マスタ!$A$2:$A$101,0)),"※マスタ未登録"))</f>
        <v/>
      </c>
      <c r="G38" s="11" t="n">
        <v>0</v>
      </c>
      <c r="H38" s="11" t="n">
        <v>28.985</v>
      </c>
      <c r="I38" s="11" t="n">
        <v>0</v>
      </c>
      <c r="J38" s="11" t="n">
        <v>17.51</v>
      </c>
      <c r="K38" s="11" t="n">
        <v>0</v>
      </c>
      <c r="L38" s="11" t="n">
        <v>0</v>
      </c>
      <c r="M38" s="11" t="n">
        <f aca="false">SUM(G38:L38)</f>
        <v>46.495</v>
      </c>
      <c r="N38" s="11" t="n">
        <v>0</v>
      </c>
      <c r="O38" s="11" t="n">
        <v>28.985</v>
      </c>
      <c r="P38" s="11" t="n">
        <v>0</v>
      </c>
      <c r="Q38" s="11" t="n">
        <v>17.51</v>
      </c>
      <c r="R38" s="11" t="n">
        <v>0</v>
      </c>
      <c r="S38" s="11" t="n">
        <v>0</v>
      </c>
      <c r="T38" s="11" t="n">
        <f aca="false">SUM(N38:S38)</f>
        <v>46.495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f aca="false">SUM(U38:Z38)</f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f aca="false">SUM(AB38:AG38)</f>
        <v>0</v>
      </c>
    </row>
    <row r="39" customFormat="false" ht="15" hidden="false" customHeight="false" outlineLevel="2" collapsed="false">
      <c r="A39" s="8" t="s">
        <v>1311</v>
      </c>
      <c r="B39" s="12" t="s">
        <v>1312</v>
      </c>
      <c r="C39" s="8" t="s">
        <v>1281</v>
      </c>
      <c r="D39" s="12" t="s">
        <v>1282</v>
      </c>
      <c r="E39" s="16"/>
      <c r="F39" s="9" t="str">
        <f aca="false">IF($E39="","",IFERROR(INDEX(担当者マスタ!$B$2:$B$101,MATCH($E39,担当者マスタ!$A$2:$A$101,0)),"※マスタ未登録"))</f>
        <v/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f aca="false">SUM(G39:L39)</f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f aca="false">SUM(N39:S39)</f>
        <v>0</v>
      </c>
      <c r="U39" s="11" t="n">
        <v>0</v>
      </c>
      <c r="V39" s="11" t="n">
        <v>9</v>
      </c>
      <c r="W39" s="11" t="n">
        <v>28</v>
      </c>
      <c r="X39" s="11" t="n">
        <v>23</v>
      </c>
      <c r="Y39" s="11" t="n">
        <v>30</v>
      </c>
      <c r="Z39" s="11" t="n">
        <v>53</v>
      </c>
      <c r="AA39" s="11" t="n">
        <f aca="false">SUM(U39:Z39)</f>
        <v>143</v>
      </c>
      <c r="AB39" s="11" t="n">
        <v>0</v>
      </c>
      <c r="AC39" s="11" t="n">
        <v>9</v>
      </c>
      <c r="AD39" s="11" t="n">
        <v>28</v>
      </c>
      <c r="AE39" s="11" t="n">
        <v>23</v>
      </c>
      <c r="AF39" s="11" t="n">
        <v>30</v>
      </c>
      <c r="AG39" s="11" t="n">
        <v>53</v>
      </c>
      <c r="AH39" s="11" t="n">
        <f aca="false">SUM(AB39:AG39)</f>
        <v>143</v>
      </c>
    </row>
    <row r="40" customFormat="false" ht="15" hidden="false" customHeight="false" outlineLevel="2" collapsed="false">
      <c r="A40" s="8" t="s">
        <v>1313</v>
      </c>
      <c r="B40" s="9" t="s">
        <v>1314</v>
      </c>
      <c r="C40" s="8" t="s">
        <v>1281</v>
      </c>
      <c r="D40" s="12" t="s">
        <v>1282</v>
      </c>
      <c r="E40" s="16"/>
      <c r="F40" s="9" t="str">
        <f aca="false">IF($E40="","",IFERROR(INDEX(担当者マスタ!$B$2:$B$101,MATCH($E40,担当者マスタ!$A$2:$A$101,0)),"※マスタ未登録"))</f>
        <v/>
      </c>
      <c r="G40" s="11" t="n">
        <v>9.52</v>
      </c>
      <c r="H40" s="11" t="n">
        <v>0</v>
      </c>
      <c r="I40" s="11" t="n">
        <v>0</v>
      </c>
      <c r="J40" s="11" t="n">
        <v>13.6</v>
      </c>
      <c r="K40" s="11" t="n">
        <v>26.945</v>
      </c>
      <c r="L40" s="11" t="n">
        <v>0</v>
      </c>
      <c r="M40" s="11" t="n">
        <f aca="false">SUM(G40:L40)</f>
        <v>50.065</v>
      </c>
      <c r="N40" s="11" t="n">
        <v>9.52</v>
      </c>
      <c r="O40" s="11" t="n">
        <v>0</v>
      </c>
      <c r="P40" s="11" t="n">
        <v>0</v>
      </c>
      <c r="Q40" s="11" t="n">
        <v>13.6</v>
      </c>
      <c r="R40" s="11" t="n">
        <v>26.945</v>
      </c>
      <c r="S40" s="11" t="n">
        <v>0</v>
      </c>
      <c r="T40" s="11" t="n">
        <f aca="false">SUM(N40:S40)</f>
        <v>50.065</v>
      </c>
      <c r="U40" s="11" t="n">
        <v>11.985</v>
      </c>
      <c r="V40" s="11" t="n">
        <v>11.815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f aca="false">SUM(U40:Z40)</f>
        <v>23.8</v>
      </c>
      <c r="AB40" s="11" t="n">
        <v>11.985</v>
      </c>
      <c r="AC40" s="11" t="n">
        <v>11.815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f aca="false">SUM(AB40:AG40)</f>
        <v>23.8</v>
      </c>
    </row>
    <row r="41" customFormat="false" ht="15" hidden="false" customHeight="false" outlineLevel="2" collapsed="false">
      <c r="A41" s="8" t="s">
        <v>1315</v>
      </c>
      <c r="B41" s="12" t="s">
        <v>1316</v>
      </c>
      <c r="C41" s="8" t="s">
        <v>1281</v>
      </c>
      <c r="D41" s="12" t="s">
        <v>1282</v>
      </c>
      <c r="E41" s="16"/>
      <c r="F41" s="9" t="str">
        <f aca="false">IF($E41="","",IFERROR(INDEX(担当者マスタ!$B$2:$B$101,MATCH($E41,担当者マスタ!$A$2:$A$101,0)),"※マスタ未登録"))</f>
        <v/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f aca="false">SUM(G41:L41)</f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f aca="false">SUM(N41:S41)</f>
        <v>0</v>
      </c>
      <c r="U41" s="11" t="n">
        <v>200</v>
      </c>
      <c r="V41" s="11" t="n">
        <v>160</v>
      </c>
      <c r="W41" s="11" t="n">
        <v>160</v>
      </c>
      <c r="X41" s="11" t="n">
        <v>160</v>
      </c>
      <c r="Y41" s="11" t="n">
        <v>160</v>
      </c>
      <c r="Z41" s="11" t="n">
        <v>160</v>
      </c>
      <c r="AA41" s="11" t="n">
        <f aca="false">SUM(U41:Z41)</f>
        <v>1000</v>
      </c>
      <c r="AB41" s="11" t="n">
        <v>200</v>
      </c>
      <c r="AC41" s="11" t="n">
        <v>160</v>
      </c>
      <c r="AD41" s="11" t="n">
        <v>160</v>
      </c>
      <c r="AE41" s="11" t="n">
        <v>160</v>
      </c>
      <c r="AF41" s="11" t="n">
        <v>160</v>
      </c>
      <c r="AG41" s="11" t="n">
        <v>160</v>
      </c>
      <c r="AH41" s="11" t="n">
        <f aca="false">SUM(AB41:AG41)</f>
        <v>1000</v>
      </c>
    </row>
    <row r="42" customFormat="false" ht="15" hidden="false" customHeight="false" outlineLevel="1" collapsed="false">
      <c r="A42" s="19"/>
      <c r="B42" s="19"/>
      <c r="C42" s="17" t="s">
        <v>1937</v>
      </c>
      <c r="D42" s="19" t="s">
        <v>1282</v>
      </c>
      <c r="E42" s="19"/>
      <c r="F42" s="19"/>
      <c r="G42" s="18" t="n">
        <f aca="false">SUBTOTAL(9,G24:G41)</f>
        <v>4648.265</v>
      </c>
      <c r="H42" s="18" t="n">
        <f aca="false">SUBTOTAL(9,H24:H41)</f>
        <v>5210.065</v>
      </c>
      <c r="I42" s="18" t="n">
        <f aca="false">SUBTOTAL(9,I24:I41)</f>
        <v>2151.435</v>
      </c>
      <c r="J42" s="18" t="n">
        <f aca="false">SUBTOTAL(9,J24:J41)</f>
        <v>2392.025</v>
      </c>
      <c r="K42" s="18" t="n">
        <f aca="false">SUBTOTAL(9,K24:K41)</f>
        <v>2549.38</v>
      </c>
      <c r="L42" s="18" t="n">
        <f aca="false">SUBTOTAL(9,L24:L41)</f>
        <v>3275.315</v>
      </c>
      <c r="M42" s="18" t="n">
        <f aca="false">SUBTOTAL(9,M24:M41)</f>
        <v>20226.485</v>
      </c>
      <c r="N42" s="18" t="n">
        <f aca="false">SUBTOTAL(9,N24:N41)</f>
        <v>3018.701</v>
      </c>
      <c r="O42" s="18" t="n">
        <f aca="false">SUBTOTAL(9,O24:O41)</f>
        <v>3693.125</v>
      </c>
      <c r="P42" s="18" t="n">
        <f aca="false">SUBTOTAL(9,P24:P41)</f>
        <v>1377.372</v>
      </c>
      <c r="Q42" s="18" t="n">
        <f aca="false">SUBTOTAL(9,Q24:Q41)</f>
        <v>1468.274</v>
      </c>
      <c r="R42" s="18" t="n">
        <f aca="false">SUBTOTAL(9,R24:R41)</f>
        <v>1617.567</v>
      </c>
      <c r="S42" s="18" t="n">
        <f aca="false">SUBTOTAL(9,S24:S41)</f>
        <v>2098.127</v>
      </c>
      <c r="T42" s="18" t="n">
        <f aca="false">SUBTOTAL(9,T24:T41)</f>
        <v>13273.166</v>
      </c>
      <c r="U42" s="18" t="n">
        <f aca="false">SUBTOTAL(9,U24:U41)</f>
        <v>4710.175</v>
      </c>
      <c r="V42" s="18" t="n">
        <f aca="false">SUBTOTAL(9,V24:V41)</f>
        <v>5493.725</v>
      </c>
      <c r="W42" s="18" t="n">
        <f aca="false">SUBTOTAL(9,W24:W41)</f>
        <v>3058.985</v>
      </c>
      <c r="X42" s="18" t="n">
        <f aca="false">SUBTOTAL(9,X24:X41)</f>
        <v>1686.65</v>
      </c>
      <c r="Y42" s="18" t="n">
        <f aca="false">SUBTOTAL(9,Y24:Y41)</f>
        <v>2576.435</v>
      </c>
      <c r="Z42" s="18" t="n">
        <f aca="false">SUBTOTAL(9,Z24:Z41)</f>
        <v>5133.325</v>
      </c>
      <c r="AA42" s="18" t="n">
        <f aca="false">SUBTOTAL(9,AA24:AA41)</f>
        <v>22659.295</v>
      </c>
      <c r="AB42" s="18" t="n">
        <f aca="false">SUBTOTAL(9,AB24:AB41)</f>
        <v>3151.3</v>
      </c>
      <c r="AC42" s="18" t="n">
        <f aca="false">SUBTOTAL(9,AC24:AC41)</f>
        <v>3762.278</v>
      </c>
      <c r="AD42" s="18" t="n">
        <f aca="false">SUBTOTAL(9,AD24:AD41)</f>
        <v>1958.709</v>
      </c>
      <c r="AE42" s="18" t="n">
        <f aca="false">SUBTOTAL(9,AE24:AE41)</f>
        <v>1021.666</v>
      </c>
      <c r="AF42" s="18" t="n">
        <f aca="false">SUBTOTAL(9,AF24:AF41)</f>
        <v>1619.233</v>
      </c>
      <c r="AG42" s="18" t="n">
        <f aca="false">SUBTOTAL(9,AG24:AG41)</f>
        <v>3400.593</v>
      </c>
      <c r="AH42" s="18" t="n">
        <f aca="false">SUBTOTAL(9,AH24:AH41)</f>
        <v>14913.779</v>
      </c>
    </row>
    <row r="43" customFormat="false" ht="15" hidden="false" customHeight="false" outlineLevel="2" collapsed="false">
      <c r="A43" s="8" t="s">
        <v>1317</v>
      </c>
      <c r="B43" s="9" t="s">
        <v>1318</v>
      </c>
      <c r="C43" s="8" t="s">
        <v>1319</v>
      </c>
      <c r="D43" s="12" t="s">
        <v>1320</v>
      </c>
      <c r="E43" s="16"/>
      <c r="F43" s="9" t="str">
        <f aca="false">IF($E43="","",IFERROR(INDEX(担当者マスタ!$B$2:$B$101,MATCH($E43,担当者マスタ!$A$2:$A$101,0)),"※マスタ未登録"))</f>
        <v/>
      </c>
      <c r="G43" s="11" t="n">
        <v>601.85</v>
      </c>
      <c r="H43" s="11" t="n">
        <v>504.56</v>
      </c>
      <c r="I43" s="11" t="n">
        <v>497.71</v>
      </c>
      <c r="J43" s="11" t="n">
        <v>815.24</v>
      </c>
      <c r="K43" s="11" t="n">
        <v>665.8</v>
      </c>
      <c r="L43" s="11" t="n">
        <v>528.65</v>
      </c>
      <c r="M43" s="11" t="n">
        <f aca="false">SUM(G43:L43)</f>
        <v>3613.81</v>
      </c>
      <c r="N43" s="11" t="n">
        <v>201.35</v>
      </c>
      <c r="O43" s="11" t="n">
        <v>176.077</v>
      </c>
      <c r="P43" s="11" t="n">
        <v>199.912</v>
      </c>
      <c r="Q43" s="11" t="n">
        <v>427.699</v>
      </c>
      <c r="R43" s="11" t="n">
        <v>319.403</v>
      </c>
      <c r="S43" s="11" t="n">
        <v>183.618</v>
      </c>
      <c r="T43" s="11" t="n">
        <f aca="false">SUM(N43:S43)</f>
        <v>1508.059</v>
      </c>
      <c r="U43" s="11" t="n">
        <v>907.04</v>
      </c>
      <c r="V43" s="11" t="n">
        <v>998.405</v>
      </c>
      <c r="W43" s="11" t="n">
        <v>1589.864</v>
      </c>
      <c r="X43" s="11" t="n">
        <v>676.25</v>
      </c>
      <c r="Y43" s="11" t="n">
        <v>518.45</v>
      </c>
      <c r="Z43" s="11" t="n">
        <v>736.25</v>
      </c>
      <c r="AA43" s="11" t="n">
        <f aca="false">SUM(U43:Z43)</f>
        <v>5426.259</v>
      </c>
      <c r="AB43" s="11" t="n">
        <v>547.938</v>
      </c>
      <c r="AC43" s="11" t="n">
        <v>661.597</v>
      </c>
      <c r="AD43" s="11" t="n">
        <v>854.845</v>
      </c>
      <c r="AE43" s="11" t="n">
        <v>376.682</v>
      </c>
      <c r="AF43" s="11" t="n">
        <v>273.077</v>
      </c>
      <c r="AG43" s="11" t="n">
        <v>382.053</v>
      </c>
      <c r="AH43" s="11" t="n">
        <f aca="false">SUM(AB43:AG43)</f>
        <v>3096.192</v>
      </c>
    </row>
    <row r="44" customFormat="false" ht="15" hidden="false" customHeight="false" outlineLevel="2" collapsed="false">
      <c r="A44" s="8" t="s">
        <v>1321</v>
      </c>
      <c r="B44" s="12" t="s">
        <v>1322</v>
      </c>
      <c r="C44" s="8" t="s">
        <v>1319</v>
      </c>
      <c r="D44" s="12" t="s">
        <v>1320</v>
      </c>
      <c r="E44" s="16"/>
      <c r="F44" s="9" t="str">
        <f aca="false">IF($E44="","",IFERROR(INDEX(担当者マスタ!$B$2:$B$101,MATCH($E44,担当者マスタ!$A$2:$A$101,0)),"※マスタ未登録"))</f>
        <v/>
      </c>
      <c r="G44" s="11" t="n">
        <v>0</v>
      </c>
      <c r="H44" s="11" t="n">
        <v>0</v>
      </c>
      <c r="I44" s="11" t="n">
        <v>0</v>
      </c>
      <c r="J44" s="11" t="n">
        <v>0.2</v>
      </c>
      <c r="K44" s="11" t="n">
        <v>0</v>
      </c>
      <c r="L44" s="11" t="n">
        <v>0</v>
      </c>
      <c r="M44" s="11" t="n">
        <f aca="false">SUM(G44:L44)</f>
        <v>0.2</v>
      </c>
      <c r="N44" s="11" t="n">
        <v>0</v>
      </c>
      <c r="O44" s="11" t="n">
        <v>0</v>
      </c>
      <c r="P44" s="11" t="n">
        <v>0</v>
      </c>
      <c r="Q44" s="11" t="n">
        <v>0.2</v>
      </c>
      <c r="R44" s="11" t="n">
        <v>0</v>
      </c>
      <c r="S44" s="11" t="n">
        <v>0</v>
      </c>
      <c r="T44" s="11" t="n">
        <f aca="false">SUM(N44:S44)</f>
        <v>0.2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f aca="false">SUM(U44:Z44)</f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f aca="false">SUM(AB44:AG44)</f>
        <v>0</v>
      </c>
    </row>
    <row r="45" customFormat="false" ht="15" hidden="false" customHeight="false" outlineLevel="2" collapsed="false">
      <c r="A45" s="8" t="s">
        <v>1323</v>
      </c>
      <c r="B45" s="9" t="s">
        <v>1324</v>
      </c>
      <c r="C45" s="8" t="s">
        <v>1319</v>
      </c>
      <c r="D45" s="12" t="s">
        <v>1320</v>
      </c>
      <c r="E45" s="16"/>
      <c r="F45" s="9" t="str">
        <f aca="false">IF($E45="","",IFERROR(INDEX(担当者マスタ!$B$2:$B$101,MATCH($E45,担当者マスタ!$A$2:$A$101,0)),"※マスタ未登録"))</f>
        <v/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f aca="false">SUM(G45:L45)</f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f aca="false">SUM(N45:S45)</f>
        <v>0</v>
      </c>
      <c r="U45" s="11" t="n">
        <v>7.2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f aca="false">SUM(U45:Z45)</f>
        <v>7.2</v>
      </c>
      <c r="AB45" s="11" t="n">
        <v>7.2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f aca="false">SUM(AB45:AG45)</f>
        <v>7.2</v>
      </c>
    </row>
    <row r="46" customFormat="false" ht="15" hidden="false" customHeight="false" outlineLevel="2" collapsed="false">
      <c r="A46" s="8" t="s">
        <v>1325</v>
      </c>
      <c r="B46" s="9" t="s">
        <v>1326</v>
      </c>
      <c r="C46" s="8" t="s">
        <v>1319</v>
      </c>
      <c r="D46" s="12" t="s">
        <v>1320</v>
      </c>
      <c r="E46" s="16"/>
      <c r="F46" s="9" t="str">
        <f aca="false">IF($E46="","",IFERROR(INDEX(担当者マスタ!$B$2:$B$101,MATCH($E46,担当者マスタ!$A$2:$A$101,0)),"※マスタ未登録"))</f>
        <v/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f aca="false">SUM(G46:L46)</f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f aca="false">SUM(N46:S46)</f>
        <v>0</v>
      </c>
      <c r="U46" s="11" t="n">
        <v>0</v>
      </c>
      <c r="V46" s="11" t="n">
        <v>0</v>
      </c>
      <c r="W46" s="11" t="n">
        <v>0</v>
      </c>
      <c r="X46" s="11" t="n">
        <v>469.65</v>
      </c>
      <c r="Y46" s="11" t="n">
        <v>0</v>
      </c>
      <c r="Z46" s="11" t="n">
        <v>186</v>
      </c>
      <c r="AA46" s="11" t="n">
        <f aca="false">SUM(U46:Z46)</f>
        <v>655.65</v>
      </c>
      <c r="AB46" s="11" t="n">
        <v>0</v>
      </c>
      <c r="AC46" s="11" t="n">
        <v>0</v>
      </c>
      <c r="AD46" s="11" t="n">
        <v>0</v>
      </c>
      <c r="AE46" s="11" t="n">
        <v>236.749</v>
      </c>
      <c r="AF46" s="11" t="n">
        <v>0</v>
      </c>
      <c r="AG46" s="11" t="n">
        <v>86.832</v>
      </c>
      <c r="AH46" s="11" t="n">
        <f aca="false">SUM(AB46:AG46)</f>
        <v>323.581</v>
      </c>
    </row>
    <row r="47" customFormat="false" ht="15" hidden="false" customHeight="false" outlineLevel="2" collapsed="false">
      <c r="A47" s="8" t="s">
        <v>1327</v>
      </c>
      <c r="B47" s="12" t="s">
        <v>1328</v>
      </c>
      <c r="C47" s="8" t="s">
        <v>1319</v>
      </c>
      <c r="D47" s="12" t="s">
        <v>1320</v>
      </c>
      <c r="E47" s="16"/>
      <c r="F47" s="9" t="str">
        <f aca="false">IF($E47="","",IFERROR(INDEX(担当者マスタ!$B$2:$B$101,MATCH($E47,担当者マスタ!$A$2:$A$101,0)),"※マスタ未登録"))</f>
        <v/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f aca="false">SUM(G47:L47)</f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f aca="false">SUM(N47:S47)</f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189.876</v>
      </c>
      <c r="AA47" s="11" t="n">
        <f aca="false">SUM(U47:Z47)</f>
        <v>189.876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85.012</v>
      </c>
      <c r="AH47" s="11" t="n">
        <f aca="false">SUM(AB47:AG47)</f>
        <v>85.012</v>
      </c>
    </row>
    <row r="48" customFormat="false" ht="15" hidden="false" customHeight="false" outlineLevel="2" collapsed="false">
      <c r="A48" s="8" t="s">
        <v>1329</v>
      </c>
      <c r="B48" s="12" t="s">
        <v>1330</v>
      </c>
      <c r="C48" s="8" t="s">
        <v>1319</v>
      </c>
      <c r="D48" s="12" t="s">
        <v>1320</v>
      </c>
      <c r="E48" s="16"/>
      <c r="F48" s="9" t="str">
        <f aca="false">IF($E48="","",IFERROR(INDEX(担当者マスタ!$B$2:$B$101,MATCH($E48,担当者マスタ!$A$2:$A$101,0)),"※マスタ未登録"))</f>
        <v/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f aca="false">SUM(G48:L48)</f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f aca="false">SUM(N48:S48)</f>
        <v>0</v>
      </c>
      <c r="U48" s="11" t="n">
        <v>0</v>
      </c>
      <c r="V48" s="11" t="n">
        <v>147</v>
      </c>
      <c r="W48" s="11" t="n">
        <v>0</v>
      </c>
      <c r="X48" s="11" t="n">
        <v>0</v>
      </c>
      <c r="Y48" s="11" t="n">
        <v>0</v>
      </c>
      <c r="Z48" s="11" t="n">
        <v>20.928</v>
      </c>
      <c r="AA48" s="11" t="n">
        <f aca="false">SUM(U48:Z48)</f>
        <v>167.928</v>
      </c>
      <c r="AB48" s="11" t="n">
        <v>0</v>
      </c>
      <c r="AC48" s="11" t="n">
        <v>72.5</v>
      </c>
      <c r="AD48" s="11" t="n">
        <v>0</v>
      </c>
      <c r="AE48" s="11" t="n">
        <v>0</v>
      </c>
      <c r="AF48" s="11" t="n">
        <v>0</v>
      </c>
      <c r="AG48" s="11" t="n">
        <v>20.928</v>
      </c>
      <c r="AH48" s="11" t="n">
        <f aca="false">SUM(AB48:AG48)</f>
        <v>93.428</v>
      </c>
    </row>
    <row r="49" customFormat="false" ht="15" hidden="false" customHeight="false" outlineLevel="2" collapsed="false">
      <c r="A49" s="8" t="s">
        <v>1331</v>
      </c>
      <c r="B49" s="12" t="s">
        <v>1332</v>
      </c>
      <c r="C49" s="8" t="s">
        <v>1319</v>
      </c>
      <c r="D49" s="12" t="s">
        <v>1320</v>
      </c>
      <c r="E49" s="16"/>
      <c r="F49" s="9" t="str">
        <f aca="false">IF($E49="","",IFERROR(INDEX(担当者マスタ!$B$2:$B$101,MATCH($E49,担当者マスタ!$A$2:$A$101,0)),"※マスタ未登録"))</f>
        <v/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f aca="false">SUM(G49:L49)</f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f aca="false">SUM(N49:S49)</f>
        <v>0</v>
      </c>
      <c r="U49" s="11" t="n">
        <v>0</v>
      </c>
      <c r="V49" s="11" t="n">
        <v>0</v>
      </c>
      <c r="W49" s="11" t="n">
        <v>170.5</v>
      </c>
      <c r="X49" s="11" t="n">
        <v>0</v>
      </c>
      <c r="Y49" s="11" t="n">
        <v>696.726</v>
      </c>
      <c r="Z49" s="11" t="n">
        <v>0</v>
      </c>
      <c r="AA49" s="11" t="n">
        <f aca="false">SUM(U49:Z49)</f>
        <v>867.226</v>
      </c>
      <c r="AB49" s="11" t="n">
        <v>0</v>
      </c>
      <c r="AC49" s="11" t="n">
        <v>0</v>
      </c>
      <c r="AD49" s="11" t="n">
        <v>84.745</v>
      </c>
      <c r="AE49" s="11" t="n">
        <v>0</v>
      </c>
      <c r="AF49" s="11" t="n">
        <v>355.627</v>
      </c>
      <c r="AG49" s="11" t="n">
        <v>0</v>
      </c>
      <c r="AH49" s="11" t="n">
        <f aca="false">SUM(AB49:AG49)</f>
        <v>440.372</v>
      </c>
    </row>
    <row r="50" customFormat="false" ht="15" hidden="false" customHeight="false" outlineLevel="2" collapsed="false">
      <c r="A50" s="8" t="s">
        <v>1333</v>
      </c>
      <c r="B50" s="9" t="s">
        <v>1334</v>
      </c>
      <c r="C50" s="8" t="s">
        <v>1319</v>
      </c>
      <c r="D50" s="12" t="s">
        <v>1320</v>
      </c>
      <c r="E50" s="16"/>
      <c r="F50" s="9" t="str">
        <f aca="false">IF($E50="","",IFERROR(INDEX(担当者マスタ!$B$2:$B$101,MATCH($E50,担当者マスタ!$A$2:$A$101,0)),"※マスタ未登録"))</f>
        <v/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f aca="false">SUM(G50:L50)</f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f aca="false">SUM(N50:S50)</f>
        <v>0</v>
      </c>
      <c r="U50" s="11" t="n">
        <v>19.3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f aca="false">SUM(U50:Z50)</f>
        <v>19.3</v>
      </c>
      <c r="AB50" s="11" t="n">
        <v>19.3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f aca="false">SUM(AB50:AG50)</f>
        <v>19.3</v>
      </c>
    </row>
    <row r="51" customFormat="false" ht="15" hidden="false" customHeight="false" outlineLevel="2" collapsed="false">
      <c r="A51" s="8" t="s">
        <v>1335</v>
      </c>
      <c r="B51" s="9" t="s">
        <v>1336</v>
      </c>
      <c r="C51" s="8" t="s">
        <v>1319</v>
      </c>
      <c r="D51" s="12" t="s">
        <v>1320</v>
      </c>
      <c r="E51" s="16"/>
      <c r="F51" s="9" t="str">
        <f aca="false">IF($E51="","",IFERROR(INDEX(担当者マスタ!$B$2:$B$101,MATCH($E51,担当者マスタ!$A$2:$A$101,0)),"※マスタ未登録"))</f>
        <v/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f aca="false">SUM(G51:L51)</f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f aca="false">SUM(N51:S51)</f>
        <v>0</v>
      </c>
      <c r="U51" s="11" t="n">
        <v>4.5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f aca="false">SUM(U51:Z51)</f>
        <v>4.5</v>
      </c>
      <c r="AB51" s="11" t="n">
        <v>4.5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f aca="false">SUM(AB51:AG51)</f>
        <v>4.5</v>
      </c>
    </row>
    <row r="52" customFormat="false" ht="15" hidden="false" customHeight="false" outlineLevel="2" collapsed="false">
      <c r="A52" s="8" t="s">
        <v>1337</v>
      </c>
      <c r="B52" s="12" t="s">
        <v>1338</v>
      </c>
      <c r="C52" s="8" t="s">
        <v>1319</v>
      </c>
      <c r="D52" s="12" t="s">
        <v>1320</v>
      </c>
      <c r="E52" s="16"/>
      <c r="F52" s="9" t="str">
        <f aca="false">IF($E52="","",IFERROR(INDEX(担当者マスタ!$B$2:$B$101,MATCH($E52,担当者マスタ!$A$2:$A$101,0)),"※マスタ未登録"))</f>
        <v/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f aca="false">SUM(G52:L52)</f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f aca="false">SUM(N52:S52)</f>
        <v>0</v>
      </c>
      <c r="U52" s="11" t="n">
        <v>604.5</v>
      </c>
      <c r="V52" s="11" t="n">
        <v>694.126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f aca="false">SUM(U52:Z52)</f>
        <v>1298.626</v>
      </c>
      <c r="AB52" s="11" t="n">
        <v>284.25</v>
      </c>
      <c r="AC52" s="11" t="n">
        <v>376.38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f aca="false">SUM(AB52:AG52)</f>
        <v>660.63</v>
      </c>
    </row>
    <row r="53" customFormat="false" ht="15" hidden="false" customHeight="false" outlineLevel="2" collapsed="false">
      <c r="A53" s="8" t="s">
        <v>1339</v>
      </c>
      <c r="B53" s="9" t="s">
        <v>1340</v>
      </c>
      <c r="C53" s="8" t="s">
        <v>1319</v>
      </c>
      <c r="D53" s="12" t="s">
        <v>1320</v>
      </c>
      <c r="E53" s="16"/>
      <c r="F53" s="9" t="str">
        <f aca="false">IF($E53="","",IFERROR(INDEX(担当者マスタ!$B$2:$B$101,MATCH($E53,担当者マスタ!$A$2:$A$101,0)),"※マスタ未登録"))</f>
        <v/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f aca="false">SUM(G53:L53)</f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f aca="false">SUM(N53:S53)</f>
        <v>0</v>
      </c>
      <c r="U53" s="11" t="n">
        <v>21.55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f aca="false">SUM(U53:Z53)</f>
        <v>21.55</v>
      </c>
      <c r="AB53" s="11" t="n">
        <v>21.55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f aca="false">SUM(AB53:AG53)</f>
        <v>21.55</v>
      </c>
    </row>
    <row r="54" customFormat="false" ht="15" hidden="false" customHeight="false" outlineLevel="2" collapsed="false">
      <c r="A54" s="8" t="s">
        <v>1341</v>
      </c>
      <c r="B54" s="9" t="s">
        <v>1342</v>
      </c>
      <c r="C54" s="8" t="s">
        <v>1319</v>
      </c>
      <c r="D54" s="12" t="s">
        <v>1320</v>
      </c>
      <c r="E54" s="16"/>
      <c r="F54" s="9" t="str">
        <f aca="false">IF($E54="","",IFERROR(INDEX(担当者マスタ!$B$2:$B$101,MATCH($E54,担当者マスタ!$A$2:$A$101,0)),"※マスタ未登録"))</f>
        <v/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f aca="false">SUM(G54:L54)</f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f aca="false">SUM(N54:S54)</f>
        <v>0</v>
      </c>
      <c r="U54" s="11" t="n">
        <v>8.85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f aca="false">SUM(U54:Z54)</f>
        <v>8.85</v>
      </c>
      <c r="AB54" s="11" t="n">
        <v>8.85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f aca="false">SUM(AB54:AG54)</f>
        <v>8.85</v>
      </c>
    </row>
    <row r="55" customFormat="false" ht="15" hidden="false" customHeight="false" outlineLevel="2" collapsed="false">
      <c r="A55" s="8" t="s">
        <v>1343</v>
      </c>
      <c r="B55" s="12" t="s">
        <v>1344</v>
      </c>
      <c r="C55" s="8" t="s">
        <v>1319</v>
      </c>
      <c r="D55" s="12" t="s">
        <v>1320</v>
      </c>
      <c r="E55" s="16"/>
      <c r="F55" s="9" t="str">
        <f aca="false">IF($E55="","",IFERROR(INDEX(担当者マスタ!$B$2:$B$101,MATCH($E55,担当者マスタ!$A$2:$A$101,0)),"※マスタ未登録"))</f>
        <v/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f aca="false">SUM(G55:L55)</f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f aca="false">SUM(N55:S55)</f>
        <v>0</v>
      </c>
      <c r="U55" s="11" t="n">
        <v>60.75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f aca="false">SUM(U55:Z55)</f>
        <v>60.75</v>
      </c>
      <c r="AB55" s="11" t="n">
        <v>26.25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f aca="false">SUM(AB55:AG55)</f>
        <v>26.25</v>
      </c>
    </row>
    <row r="56" customFormat="false" ht="15" hidden="false" customHeight="false" outlineLevel="2" collapsed="false">
      <c r="A56" s="8" t="s">
        <v>1345</v>
      </c>
      <c r="B56" s="9" t="s">
        <v>1346</v>
      </c>
      <c r="C56" s="8" t="s">
        <v>1319</v>
      </c>
      <c r="D56" s="12" t="s">
        <v>1320</v>
      </c>
      <c r="E56" s="16"/>
      <c r="F56" s="9" t="str">
        <f aca="false">IF($E56="","",IFERROR(INDEX(担当者マスタ!$B$2:$B$101,MATCH($E56,担当者マスタ!$A$2:$A$101,0)),"※マスタ未登録"))</f>
        <v/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f aca="false">SUM(G56:L56)</f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f aca="false">SUM(N56:S56)</f>
        <v>0</v>
      </c>
      <c r="U56" s="11" t="n">
        <v>0.55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f aca="false">SUM(U56:Z56)</f>
        <v>0.55</v>
      </c>
      <c r="AB56" s="11" t="n">
        <v>0.55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f aca="false">SUM(AB56:AG56)</f>
        <v>0.55</v>
      </c>
    </row>
    <row r="57" customFormat="false" ht="15" hidden="false" customHeight="false" outlineLevel="2" collapsed="false">
      <c r="A57" s="8" t="s">
        <v>1347</v>
      </c>
      <c r="B57" s="12" t="s">
        <v>1348</v>
      </c>
      <c r="C57" s="8" t="s">
        <v>1319</v>
      </c>
      <c r="D57" s="12" t="s">
        <v>1320</v>
      </c>
      <c r="E57" s="16"/>
      <c r="F57" s="9" t="str">
        <f aca="false">IF($E57="","",IFERROR(INDEX(担当者マスタ!$B$2:$B$101,MATCH($E57,担当者マスタ!$A$2:$A$101,0)),"※マスタ未登録"))</f>
        <v/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f aca="false">SUM(G57:L57)</f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f aca="false">SUM(N57:S57)</f>
        <v>0</v>
      </c>
      <c r="U57" s="11" t="n">
        <v>0</v>
      </c>
      <c r="V57" s="11" t="n">
        <v>7.77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f aca="false">SUM(U57:Z57)</f>
        <v>7.77</v>
      </c>
      <c r="AB57" s="11" t="n">
        <v>0</v>
      </c>
      <c r="AC57" s="11" t="n">
        <v>7.77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f aca="false">SUM(AB57:AG57)</f>
        <v>7.77</v>
      </c>
    </row>
    <row r="58" customFormat="false" ht="15" hidden="false" customHeight="false" outlineLevel="2" collapsed="false">
      <c r="A58" s="8" t="s">
        <v>1349</v>
      </c>
      <c r="B58" s="12" t="s">
        <v>1350</v>
      </c>
      <c r="C58" s="8" t="s">
        <v>1319</v>
      </c>
      <c r="D58" s="12" t="s">
        <v>1320</v>
      </c>
      <c r="E58" s="16"/>
      <c r="F58" s="9" t="str">
        <f aca="false">IF($E58="","",IFERROR(INDEX(担当者マスタ!$B$2:$B$101,MATCH($E58,担当者マスタ!$A$2:$A$101,0)),"※マスタ未登録"))</f>
        <v/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f aca="false">SUM(G58:L58)</f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f aca="false">SUM(N58:S58)</f>
        <v>0</v>
      </c>
      <c r="U58" s="11" t="n">
        <v>0</v>
      </c>
      <c r="V58" s="11" t="n">
        <v>2.95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f aca="false">SUM(U58:Z58)</f>
        <v>2.95</v>
      </c>
      <c r="AB58" s="11" t="n">
        <v>0</v>
      </c>
      <c r="AC58" s="11" t="n">
        <v>2.95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f aca="false">SUM(AB58:AG58)</f>
        <v>2.95</v>
      </c>
    </row>
    <row r="59" customFormat="false" ht="15" hidden="false" customHeight="false" outlineLevel="2" collapsed="false">
      <c r="A59" s="8" t="s">
        <v>1351</v>
      </c>
      <c r="B59" s="12" t="s">
        <v>1352</v>
      </c>
      <c r="C59" s="8" t="s">
        <v>1319</v>
      </c>
      <c r="D59" s="12" t="s">
        <v>1320</v>
      </c>
      <c r="E59" s="16"/>
      <c r="F59" s="9" t="str">
        <f aca="false">IF($E59="","",IFERROR(INDEX(担当者マスタ!$B$2:$B$101,MATCH($E59,担当者マスタ!$A$2:$A$101,0)),"※マスタ未登録"))</f>
        <v/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f aca="false">SUM(G59:L59)</f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f aca="false">SUM(N59:S59)</f>
        <v>0</v>
      </c>
      <c r="U59" s="11" t="n">
        <v>0</v>
      </c>
      <c r="V59" s="11" t="n">
        <v>195.3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f aca="false">SUM(U59:Z59)</f>
        <v>195.3</v>
      </c>
      <c r="AB59" s="11" t="n">
        <v>0</v>
      </c>
      <c r="AC59" s="11" t="n">
        <v>105.945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f aca="false">SUM(AB59:AG59)</f>
        <v>105.945</v>
      </c>
    </row>
    <row r="60" customFormat="false" ht="15" hidden="false" customHeight="false" outlineLevel="2" collapsed="false">
      <c r="A60" s="8" t="s">
        <v>1353</v>
      </c>
      <c r="B60" s="12" t="s">
        <v>1354</v>
      </c>
      <c r="C60" s="8" t="s">
        <v>1319</v>
      </c>
      <c r="D60" s="12" t="s">
        <v>1320</v>
      </c>
      <c r="E60" s="16"/>
      <c r="F60" s="9" t="str">
        <f aca="false">IF($E60="","",IFERROR(INDEX(担当者マスタ!$B$2:$B$101,MATCH($E60,担当者マスタ!$A$2:$A$101,0)),"※マスタ未登録"))</f>
        <v/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f aca="false">SUM(G60:L60)</f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f aca="false">SUM(N60:S60)</f>
        <v>0</v>
      </c>
      <c r="U60" s="11" t="n">
        <v>0</v>
      </c>
      <c r="V60" s="11" t="n">
        <v>0.05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f aca="false">SUM(U60:Z60)</f>
        <v>0.05</v>
      </c>
      <c r="AB60" s="11" t="n">
        <v>0</v>
      </c>
      <c r="AC60" s="11" t="n">
        <v>0.05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f aca="false">SUM(AB60:AG60)</f>
        <v>0.05</v>
      </c>
    </row>
    <row r="61" customFormat="false" ht="15" hidden="false" customHeight="false" outlineLevel="2" collapsed="false">
      <c r="A61" s="8" t="s">
        <v>1355</v>
      </c>
      <c r="B61" s="12" t="s">
        <v>1356</v>
      </c>
      <c r="C61" s="8" t="s">
        <v>1319</v>
      </c>
      <c r="D61" s="12" t="s">
        <v>1320</v>
      </c>
      <c r="E61" s="16"/>
      <c r="F61" s="9" t="str">
        <f aca="false">IF($E61="","",IFERROR(INDEX(担当者マスタ!$B$2:$B$101,MATCH($E61,担当者マスタ!$A$2:$A$101,0)),"※マスタ未登録"))</f>
        <v/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f aca="false">SUM(G61:L61)</f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f aca="false">SUM(N61:S61)</f>
        <v>0</v>
      </c>
      <c r="U61" s="11" t="n">
        <v>0</v>
      </c>
      <c r="V61" s="11" t="n">
        <v>0</v>
      </c>
      <c r="W61" s="11" t="n">
        <v>302.25</v>
      </c>
      <c r="X61" s="11" t="n">
        <v>0</v>
      </c>
      <c r="Y61" s="11" t="n">
        <v>0</v>
      </c>
      <c r="Z61" s="11" t="n">
        <v>0</v>
      </c>
      <c r="AA61" s="11" t="n">
        <f aca="false">SUM(U61:Z61)</f>
        <v>302.25</v>
      </c>
      <c r="AB61" s="11" t="n">
        <v>0</v>
      </c>
      <c r="AC61" s="11" t="n">
        <v>0</v>
      </c>
      <c r="AD61" s="11" t="n">
        <v>161.234</v>
      </c>
      <c r="AE61" s="11" t="n">
        <v>0</v>
      </c>
      <c r="AF61" s="11" t="n">
        <v>0</v>
      </c>
      <c r="AG61" s="11" t="n">
        <v>0</v>
      </c>
      <c r="AH61" s="11" t="n">
        <f aca="false">SUM(AB61:AG61)</f>
        <v>161.234</v>
      </c>
    </row>
    <row r="62" customFormat="false" ht="15" hidden="false" customHeight="false" outlineLevel="2" collapsed="false">
      <c r="A62" s="8" t="s">
        <v>1357</v>
      </c>
      <c r="B62" s="12" t="s">
        <v>1358</v>
      </c>
      <c r="C62" s="8" t="s">
        <v>1319</v>
      </c>
      <c r="D62" s="12" t="s">
        <v>1320</v>
      </c>
      <c r="E62" s="16"/>
      <c r="F62" s="9" t="str">
        <f aca="false">IF($E62="","",IFERROR(INDEX(担当者マスタ!$B$2:$B$101,MATCH($E62,担当者マスタ!$A$2:$A$101,0)),"※マスタ未登録"))</f>
        <v/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f aca="false">SUM(G62:L62)</f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f aca="false">SUM(N62:S62)</f>
        <v>0</v>
      </c>
      <c r="U62" s="11" t="n">
        <v>0</v>
      </c>
      <c r="V62" s="11" t="n">
        <v>0</v>
      </c>
      <c r="W62" s="11" t="n">
        <v>362.7</v>
      </c>
      <c r="X62" s="11" t="n">
        <v>0</v>
      </c>
      <c r="Y62" s="11" t="n">
        <v>0</v>
      </c>
      <c r="Z62" s="11" t="n">
        <v>0</v>
      </c>
      <c r="AA62" s="11" t="n">
        <f aca="false">SUM(U62:Z62)</f>
        <v>362.7</v>
      </c>
      <c r="AB62" s="11" t="n">
        <v>0</v>
      </c>
      <c r="AC62" s="11" t="n">
        <v>0</v>
      </c>
      <c r="AD62" s="11" t="n">
        <v>203.352</v>
      </c>
      <c r="AE62" s="11" t="n">
        <v>0</v>
      </c>
      <c r="AF62" s="11" t="n">
        <v>0</v>
      </c>
      <c r="AG62" s="11" t="n">
        <v>0</v>
      </c>
      <c r="AH62" s="11" t="n">
        <f aca="false">SUM(AB62:AG62)</f>
        <v>203.352</v>
      </c>
    </row>
    <row r="63" customFormat="false" ht="15" hidden="false" customHeight="false" outlineLevel="2" collapsed="false">
      <c r="A63" s="8" t="s">
        <v>1359</v>
      </c>
      <c r="B63" s="12" t="s">
        <v>1360</v>
      </c>
      <c r="C63" s="8" t="s">
        <v>1319</v>
      </c>
      <c r="D63" s="12" t="s">
        <v>1320</v>
      </c>
      <c r="E63" s="16"/>
      <c r="F63" s="9" t="str">
        <f aca="false">IF($E63="","",IFERROR(INDEX(担当者マスタ!$B$2:$B$101,MATCH($E63,担当者マスタ!$A$2:$A$101,0)),"※マスタ未登録"))</f>
        <v/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f aca="false">SUM(G63:L63)</f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f aca="false">SUM(N63:S63)</f>
        <v>0</v>
      </c>
      <c r="U63" s="11" t="n">
        <v>0</v>
      </c>
      <c r="V63" s="11" t="n">
        <v>0</v>
      </c>
      <c r="W63" s="11" t="n">
        <v>430.9</v>
      </c>
      <c r="X63" s="11" t="n">
        <v>0</v>
      </c>
      <c r="Y63" s="11" t="n">
        <v>116.25</v>
      </c>
      <c r="Z63" s="11" t="n">
        <v>0</v>
      </c>
      <c r="AA63" s="11" t="n">
        <f aca="false">SUM(U63:Z63)</f>
        <v>547.15</v>
      </c>
      <c r="AB63" s="11" t="n">
        <v>0</v>
      </c>
      <c r="AC63" s="11" t="n">
        <v>0</v>
      </c>
      <c r="AD63" s="11" t="n">
        <v>206.464</v>
      </c>
      <c r="AE63" s="11" t="n">
        <v>0</v>
      </c>
      <c r="AF63" s="11" t="n">
        <v>65.122</v>
      </c>
      <c r="AG63" s="11" t="n">
        <v>0</v>
      </c>
      <c r="AH63" s="11" t="n">
        <f aca="false">SUM(AB63:AG63)</f>
        <v>271.586</v>
      </c>
    </row>
    <row r="64" customFormat="false" ht="15" hidden="false" customHeight="false" outlineLevel="2" collapsed="false">
      <c r="A64" s="8" t="s">
        <v>1361</v>
      </c>
      <c r="B64" s="9" t="s">
        <v>1362</v>
      </c>
      <c r="C64" s="8" t="s">
        <v>1319</v>
      </c>
      <c r="D64" s="12" t="s">
        <v>1320</v>
      </c>
      <c r="E64" s="16"/>
      <c r="F64" s="9" t="str">
        <f aca="false">IF($E64="","",IFERROR(INDEX(担当者マスタ!$B$2:$B$101,MATCH($E64,担当者マスタ!$A$2:$A$101,0)),"※マスタ未登録"))</f>
        <v/>
      </c>
      <c r="G64" s="11" t="n">
        <v>0</v>
      </c>
      <c r="H64" s="11" t="n">
        <v>0</v>
      </c>
      <c r="I64" s="11" t="n">
        <v>0</v>
      </c>
      <c r="J64" s="11" t="n">
        <v>3.16</v>
      </c>
      <c r="K64" s="11" t="n">
        <v>0</v>
      </c>
      <c r="L64" s="11" t="n">
        <v>0</v>
      </c>
      <c r="M64" s="11" t="n">
        <f aca="false">SUM(G64:L64)</f>
        <v>3.16</v>
      </c>
      <c r="N64" s="11" t="n">
        <v>0</v>
      </c>
      <c r="O64" s="11" t="n">
        <v>0</v>
      </c>
      <c r="P64" s="11" t="n">
        <v>0</v>
      </c>
      <c r="Q64" s="11" t="n">
        <v>3.16</v>
      </c>
      <c r="R64" s="11" t="n">
        <v>0</v>
      </c>
      <c r="S64" s="11" t="n">
        <v>0</v>
      </c>
      <c r="T64" s="11" t="n">
        <f aca="false">SUM(N64:S64)</f>
        <v>3.16</v>
      </c>
      <c r="U64" s="11" t="n">
        <v>0</v>
      </c>
      <c r="V64" s="11" t="n">
        <v>0</v>
      </c>
      <c r="W64" s="11" t="n">
        <v>0</v>
      </c>
      <c r="X64" s="11" t="n">
        <v>3.2</v>
      </c>
      <c r="Y64" s="11" t="n">
        <v>0</v>
      </c>
      <c r="Z64" s="11" t="n">
        <v>0</v>
      </c>
      <c r="AA64" s="11" t="n">
        <f aca="false">SUM(U64:Z64)</f>
        <v>3.2</v>
      </c>
      <c r="AB64" s="11" t="n">
        <v>0</v>
      </c>
      <c r="AC64" s="11" t="n">
        <v>0</v>
      </c>
      <c r="AD64" s="11" t="n">
        <v>0</v>
      </c>
      <c r="AE64" s="11" t="n">
        <v>3.2</v>
      </c>
      <c r="AF64" s="11" t="n">
        <v>0</v>
      </c>
      <c r="AG64" s="11" t="n">
        <v>0</v>
      </c>
      <c r="AH64" s="11" t="n">
        <f aca="false">SUM(AB64:AG64)</f>
        <v>3.2</v>
      </c>
    </row>
    <row r="65" customFormat="false" ht="15" hidden="false" customHeight="false" outlineLevel="2" collapsed="false">
      <c r="A65" s="8" t="s">
        <v>1363</v>
      </c>
      <c r="B65" s="12" t="s">
        <v>1364</v>
      </c>
      <c r="C65" s="8" t="s">
        <v>1319</v>
      </c>
      <c r="D65" s="12" t="s">
        <v>1320</v>
      </c>
      <c r="E65" s="16"/>
      <c r="F65" s="9" t="str">
        <f aca="false">IF($E65="","",IFERROR(INDEX(担当者マスタ!$B$2:$B$101,MATCH($E65,担当者マスタ!$A$2:$A$101,0)),"※マスタ未登録"))</f>
        <v/>
      </c>
      <c r="G65" s="11" t="n">
        <v>370.876</v>
      </c>
      <c r="H65" s="11" t="n">
        <v>364.876</v>
      </c>
      <c r="I65" s="11" t="n">
        <v>154.126</v>
      </c>
      <c r="J65" s="11" t="n">
        <v>555</v>
      </c>
      <c r="K65" s="11" t="n">
        <v>0</v>
      </c>
      <c r="L65" s="11" t="n">
        <v>309</v>
      </c>
      <c r="M65" s="11" t="n">
        <f aca="false">SUM(G65:L65)</f>
        <v>1753.878</v>
      </c>
      <c r="N65" s="11" t="n">
        <v>138.126</v>
      </c>
      <c r="O65" s="11" t="n">
        <v>132.626</v>
      </c>
      <c r="P65" s="11" t="n">
        <v>58.126</v>
      </c>
      <c r="Q65" s="11" t="n">
        <v>221.75</v>
      </c>
      <c r="R65" s="11" t="n">
        <v>0</v>
      </c>
      <c r="S65" s="11" t="n">
        <v>96.75</v>
      </c>
      <c r="T65" s="11" t="n">
        <f aca="false">SUM(N65:S65)</f>
        <v>647.378</v>
      </c>
      <c r="U65" s="11" t="n">
        <v>765.378</v>
      </c>
      <c r="V65" s="11" t="n">
        <v>847.652</v>
      </c>
      <c r="W65" s="11" t="n">
        <v>524.951</v>
      </c>
      <c r="X65" s="11" t="n">
        <v>313.1</v>
      </c>
      <c r="Y65" s="11" t="n">
        <v>0</v>
      </c>
      <c r="Z65" s="11" t="n">
        <v>0</v>
      </c>
      <c r="AA65" s="11" t="n">
        <f aca="false">SUM(U65:Z65)</f>
        <v>2451.081</v>
      </c>
      <c r="AB65" s="11" t="n">
        <v>283.078</v>
      </c>
      <c r="AC65" s="11" t="n">
        <v>323.51</v>
      </c>
      <c r="AD65" s="11" t="n">
        <v>199.293</v>
      </c>
      <c r="AE65" s="11" t="n">
        <v>112.181</v>
      </c>
      <c r="AF65" s="11" t="n">
        <v>0</v>
      </c>
      <c r="AG65" s="11" t="n">
        <v>0</v>
      </c>
      <c r="AH65" s="11" t="n">
        <f aca="false">SUM(AB65:AG65)</f>
        <v>918.062</v>
      </c>
    </row>
    <row r="66" customFormat="false" ht="15" hidden="false" customHeight="false" outlineLevel="2" collapsed="false">
      <c r="A66" s="8" t="s">
        <v>1365</v>
      </c>
      <c r="B66" s="9" t="s">
        <v>1366</v>
      </c>
      <c r="C66" s="8" t="s">
        <v>1319</v>
      </c>
      <c r="D66" s="12" t="s">
        <v>1320</v>
      </c>
      <c r="E66" s="16"/>
      <c r="F66" s="9" t="str">
        <f aca="false">IF($E66="","",IFERROR(INDEX(担当者マスタ!$B$2:$B$101,MATCH($E66,担当者マスタ!$A$2:$A$101,0)),"※マスタ未登録"))</f>
        <v/>
      </c>
      <c r="G66" s="11" t="n">
        <v>58.5</v>
      </c>
      <c r="H66" s="11" t="n">
        <v>58.5</v>
      </c>
      <c r="I66" s="11" t="n">
        <v>65</v>
      </c>
      <c r="J66" s="11" t="n">
        <v>65</v>
      </c>
      <c r="K66" s="11" t="n">
        <v>71.5</v>
      </c>
      <c r="L66" s="11" t="n">
        <v>32.5</v>
      </c>
      <c r="M66" s="11" t="n">
        <f aca="false">SUM(G66:L66)</f>
        <v>351</v>
      </c>
      <c r="N66" s="11" t="n">
        <v>4.5</v>
      </c>
      <c r="O66" s="11" t="n">
        <v>4.5</v>
      </c>
      <c r="P66" s="11" t="n">
        <v>5</v>
      </c>
      <c r="Q66" s="11" t="n">
        <v>5</v>
      </c>
      <c r="R66" s="11" t="n">
        <v>5.5</v>
      </c>
      <c r="S66" s="11" t="n">
        <v>2.5</v>
      </c>
      <c r="T66" s="11" t="n">
        <f aca="false">SUM(N66:S66)</f>
        <v>27</v>
      </c>
      <c r="U66" s="11" t="n">
        <v>84.5</v>
      </c>
      <c r="V66" s="11" t="n">
        <v>65</v>
      </c>
      <c r="W66" s="11" t="n">
        <v>91</v>
      </c>
      <c r="X66" s="11" t="n">
        <v>58.5</v>
      </c>
      <c r="Y66" s="11" t="n">
        <v>84.5</v>
      </c>
      <c r="Z66" s="11" t="n">
        <v>78</v>
      </c>
      <c r="AA66" s="11" t="n">
        <f aca="false">SUM(U66:Z66)</f>
        <v>461.5</v>
      </c>
      <c r="AB66" s="11" t="n">
        <v>6.5</v>
      </c>
      <c r="AC66" s="11" t="n">
        <v>5</v>
      </c>
      <c r="AD66" s="11" t="n">
        <v>7</v>
      </c>
      <c r="AE66" s="11" t="n">
        <v>4.5</v>
      </c>
      <c r="AF66" s="11" t="n">
        <v>6.5</v>
      </c>
      <c r="AG66" s="11" t="n">
        <v>6</v>
      </c>
      <c r="AH66" s="11" t="n">
        <f aca="false">SUM(AB66:AG66)</f>
        <v>35.5</v>
      </c>
    </row>
    <row r="67" customFormat="false" ht="15" hidden="false" customHeight="false" outlineLevel="2" collapsed="false">
      <c r="A67" s="8" t="s">
        <v>1367</v>
      </c>
      <c r="B67" s="12" t="s">
        <v>1368</v>
      </c>
      <c r="C67" s="8" t="s">
        <v>1319</v>
      </c>
      <c r="D67" s="12" t="s">
        <v>1320</v>
      </c>
      <c r="E67" s="16"/>
      <c r="F67" s="9" t="str">
        <f aca="false">IF($E67="","",IFERROR(INDEX(担当者マスタ!$B$2:$B$101,MATCH($E67,担当者マスタ!$A$2:$A$101,0)),"※マスタ未登録"))</f>
        <v/>
      </c>
      <c r="G67" s="11" t="n">
        <v>19.5</v>
      </c>
      <c r="H67" s="11" t="n">
        <v>13</v>
      </c>
      <c r="I67" s="11" t="n">
        <v>26</v>
      </c>
      <c r="J67" s="11" t="n">
        <v>19.5</v>
      </c>
      <c r="K67" s="11" t="n">
        <v>19.5</v>
      </c>
      <c r="L67" s="11" t="n">
        <v>26</v>
      </c>
      <c r="M67" s="11" t="n">
        <f aca="false">SUM(G67:L67)</f>
        <v>123.5</v>
      </c>
      <c r="N67" s="11" t="n">
        <v>1.5</v>
      </c>
      <c r="O67" s="11" t="n">
        <v>1</v>
      </c>
      <c r="P67" s="11" t="n">
        <v>2</v>
      </c>
      <c r="Q67" s="11" t="n">
        <v>1.5</v>
      </c>
      <c r="R67" s="11" t="n">
        <v>1.5</v>
      </c>
      <c r="S67" s="11" t="n">
        <v>2</v>
      </c>
      <c r="T67" s="11" t="n">
        <f aca="false">SUM(N67:S67)</f>
        <v>9.5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f aca="false">SUM(U67:Z67)</f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f aca="false">SUM(AB67:AG67)</f>
        <v>0</v>
      </c>
    </row>
    <row r="68" customFormat="false" ht="15" hidden="false" customHeight="false" outlineLevel="2" collapsed="false">
      <c r="A68" s="8" t="s">
        <v>1369</v>
      </c>
      <c r="B68" s="12" t="s">
        <v>1370</v>
      </c>
      <c r="C68" s="8" t="s">
        <v>1319</v>
      </c>
      <c r="D68" s="12" t="s">
        <v>1320</v>
      </c>
      <c r="E68" s="16"/>
      <c r="F68" s="9" t="str">
        <f aca="false">IF($E68="","",IFERROR(INDEX(担当者マスタ!$B$2:$B$101,MATCH($E68,担当者マスタ!$A$2:$A$101,0)),"※マスタ未登録"))</f>
        <v/>
      </c>
      <c r="G68" s="11" t="n">
        <v>19</v>
      </c>
      <c r="H68" s="11" t="n">
        <v>14.44</v>
      </c>
      <c r="I68" s="11" t="n">
        <v>7.24</v>
      </c>
      <c r="J68" s="11" t="n">
        <v>13.88</v>
      </c>
      <c r="K68" s="11" t="n">
        <v>23.04</v>
      </c>
      <c r="L68" s="11" t="n">
        <v>6.32</v>
      </c>
      <c r="M68" s="11" t="n">
        <f aca="false">SUM(G68:L68)</f>
        <v>83.92</v>
      </c>
      <c r="N68" s="11" t="n">
        <v>19</v>
      </c>
      <c r="O68" s="11" t="n">
        <v>14.44</v>
      </c>
      <c r="P68" s="11" t="n">
        <v>7.24</v>
      </c>
      <c r="Q68" s="11" t="n">
        <v>13.88</v>
      </c>
      <c r="R68" s="11" t="n">
        <v>23.04</v>
      </c>
      <c r="S68" s="11" t="n">
        <v>6.32</v>
      </c>
      <c r="T68" s="11" t="n">
        <f aca="false">SUM(N68:S68)</f>
        <v>83.92</v>
      </c>
      <c r="U68" s="11" t="n">
        <v>15.64</v>
      </c>
      <c r="V68" s="11" t="n">
        <v>19.92</v>
      </c>
      <c r="W68" s="11" t="n">
        <v>8.08</v>
      </c>
      <c r="X68" s="11" t="n">
        <v>1.2</v>
      </c>
      <c r="Y68" s="11" t="n">
        <v>3.96</v>
      </c>
      <c r="Z68" s="11" t="n">
        <v>8.76</v>
      </c>
      <c r="AA68" s="11" t="n">
        <f aca="false">SUM(U68:Z68)</f>
        <v>57.56</v>
      </c>
      <c r="AB68" s="11" t="n">
        <v>15.64</v>
      </c>
      <c r="AC68" s="11" t="n">
        <v>19.92</v>
      </c>
      <c r="AD68" s="11" t="n">
        <v>8.08</v>
      </c>
      <c r="AE68" s="11" t="n">
        <v>1.2</v>
      </c>
      <c r="AF68" s="11" t="n">
        <v>3.96</v>
      </c>
      <c r="AG68" s="11" t="n">
        <v>8.76</v>
      </c>
      <c r="AH68" s="11" t="n">
        <f aca="false">SUM(AB68:AG68)</f>
        <v>57.56</v>
      </c>
    </row>
    <row r="69" customFormat="false" ht="15" hidden="false" customHeight="false" outlineLevel="2" collapsed="false">
      <c r="A69" s="8" t="s">
        <v>1371</v>
      </c>
      <c r="B69" s="9" t="s">
        <v>1372</v>
      </c>
      <c r="C69" s="8" t="s">
        <v>1319</v>
      </c>
      <c r="D69" s="12" t="s">
        <v>1320</v>
      </c>
      <c r="E69" s="16"/>
      <c r="F69" s="9" t="str">
        <f aca="false">IF($E69="","",IFERROR(INDEX(担当者マスタ!$B$2:$B$101,MATCH($E69,担当者マスタ!$A$2:$A$101,0)),"※マスタ未登録"))</f>
        <v/>
      </c>
      <c r="G69" s="11" t="n">
        <v>52</v>
      </c>
      <c r="H69" s="11" t="n">
        <v>58.5</v>
      </c>
      <c r="I69" s="11" t="n">
        <v>58.5</v>
      </c>
      <c r="J69" s="11" t="n">
        <v>58.5</v>
      </c>
      <c r="K69" s="11" t="n">
        <v>52</v>
      </c>
      <c r="L69" s="11" t="n">
        <v>58.5</v>
      </c>
      <c r="M69" s="11" t="n">
        <f aca="false">SUM(G69:L69)</f>
        <v>338</v>
      </c>
      <c r="N69" s="11" t="n">
        <v>4</v>
      </c>
      <c r="O69" s="11" t="n">
        <v>4.5</v>
      </c>
      <c r="P69" s="11" t="n">
        <v>4.5</v>
      </c>
      <c r="Q69" s="11" t="n">
        <v>4.5</v>
      </c>
      <c r="R69" s="11" t="n">
        <v>4</v>
      </c>
      <c r="S69" s="11" t="n">
        <v>4.5</v>
      </c>
      <c r="T69" s="11" t="n">
        <f aca="false">SUM(N69:S69)</f>
        <v>26</v>
      </c>
      <c r="U69" s="11" t="n">
        <v>65</v>
      </c>
      <c r="V69" s="11" t="n">
        <v>78</v>
      </c>
      <c r="W69" s="11" t="n">
        <v>78</v>
      </c>
      <c r="X69" s="11" t="n">
        <v>58.5</v>
      </c>
      <c r="Y69" s="11" t="n">
        <v>91</v>
      </c>
      <c r="Z69" s="11" t="n">
        <v>78</v>
      </c>
      <c r="AA69" s="11" t="n">
        <f aca="false">SUM(U69:Z69)</f>
        <v>448.5</v>
      </c>
      <c r="AB69" s="11" t="n">
        <v>5</v>
      </c>
      <c r="AC69" s="11" t="n">
        <v>6</v>
      </c>
      <c r="AD69" s="11" t="n">
        <v>6</v>
      </c>
      <c r="AE69" s="11" t="n">
        <v>4.5</v>
      </c>
      <c r="AF69" s="11" t="n">
        <v>7</v>
      </c>
      <c r="AG69" s="11" t="n">
        <v>6</v>
      </c>
      <c r="AH69" s="11" t="n">
        <f aca="false">SUM(AB69:AG69)</f>
        <v>34.5</v>
      </c>
    </row>
    <row r="70" customFormat="false" ht="15" hidden="false" customHeight="false" outlineLevel="2" collapsed="false">
      <c r="A70" s="8" t="s">
        <v>1373</v>
      </c>
      <c r="B70" s="12" t="s">
        <v>1374</v>
      </c>
      <c r="C70" s="8" t="s">
        <v>1319</v>
      </c>
      <c r="D70" s="12" t="s">
        <v>1320</v>
      </c>
      <c r="E70" s="16"/>
      <c r="F70" s="9" t="str">
        <f aca="false">IF($E70="","",IFERROR(INDEX(担当者マスタ!$B$2:$B$101,MATCH($E70,担当者マスタ!$A$2:$A$101,0)),"※マスタ未登録"))</f>
        <v/>
      </c>
      <c r="G70" s="11" t="n">
        <v>556.58</v>
      </c>
      <c r="H70" s="11" t="n">
        <v>31.56</v>
      </c>
      <c r="I70" s="11" t="n">
        <v>5.96</v>
      </c>
      <c r="J70" s="11" t="n">
        <v>1.44</v>
      </c>
      <c r="K70" s="11" t="n">
        <v>0</v>
      </c>
      <c r="L70" s="11" t="n">
        <v>11.28</v>
      </c>
      <c r="M70" s="11" t="n">
        <f aca="false">SUM(G70:L70)</f>
        <v>606.82</v>
      </c>
      <c r="N70" s="11" t="n">
        <v>335.33</v>
      </c>
      <c r="O70" s="11" t="n">
        <v>31.56</v>
      </c>
      <c r="P70" s="11" t="n">
        <v>5.96</v>
      </c>
      <c r="Q70" s="11" t="n">
        <v>1.44</v>
      </c>
      <c r="R70" s="11" t="n">
        <v>0</v>
      </c>
      <c r="S70" s="11" t="n">
        <v>11.28</v>
      </c>
      <c r="T70" s="11" t="n">
        <f aca="false">SUM(N70:S70)</f>
        <v>385.57</v>
      </c>
      <c r="U70" s="11" t="n">
        <v>280.94</v>
      </c>
      <c r="V70" s="11" t="n">
        <v>31.64</v>
      </c>
      <c r="W70" s="11" t="n">
        <v>15.28</v>
      </c>
      <c r="X70" s="11" t="n">
        <v>0</v>
      </c>
      <c r="Y70" s="11" t="n">
        <v>0</v>
      </c>
      <c r="Z70" s="11" t="n">
        <v>7.12</v>
      </c>
      <c r="AA70" s="11" t="n">
        <f aca="false">SUM(U70:Z70)</f>
        <v>334.98</v>
      </c>
      <c r="AB70" s="11" t="n">
        <v>170.19</v>
      </c>
      <c r="AC70" s="11" t="n">
        <v>31.64</v>
      </c>
      <c r="AD70" s="11" t="n">
        <v>15.28</v>
      </c>
      <c r="AE70" s="11" t="n">
        <v>0</v>
      </c>
      <c r="AF70" s="11" t="n">
        <v>0</v>
      </c>
      <c r="AG70" s="11" t="n">
        <v>7.12</v>
      </c>
      <c r="AH70" s="11" t="n">
        <f aca="false">SUM(AB70:AG70)</f>
        <v>224.23</v>
      </c>
    </row>
    <row r="71" customFormat="false" ht="15" hidden="false" customHeight="false" outlineLevel="2" collapsed="false">
      <c r="A71" s="8" t="s">
        <v>1375</v>
      </c>
      <c r="B71" s="9" t="s">
        <v>1376</v>
      </c>
      <c r="C71" s="8" t="s">
        <v>1319</v>
      </c>
      <c r="D71" s="12" t="s">
        <v>1320</v>
      </c>
      <c r="E71" s="16"/>
      <c r="F71" s="9" t="str">
        <f aca="false">IF($E71="","",IFERROR(INDEX(担当者マスタ!$B$2:$B$101,MATCH($E71,担当者マスタ!$A$2:$A$101,0)),"※マスタ未登録"))</f>
        <v/>
      </c>
      <c r="G71" s="11" t="n">
        <v>33.48</v>
      </c>
      <c r="H71" s="11" t="n">
        <v>24.32</v>
      </c>
      <c r="I71" s="11" t="n">
        <v>30.4</v>
      </c>
      <c r="J71" s="11" t="n">
        <v>12.28</v>
      </c>
      <c r="K71" s="11" t="n">
        <v>13.36</v>
      </c>
      <c r="L71" s="11" t="n">
        <v>22.24</v>
      </c>
      <c r="M71" s="11" t="n">
        <f aca="false">SUM(G71:L71)</f>
        <v>136.08</v>
      </c>
      <c r="N71" s="11" t="n">
        <v>33.48</v>
      </c>
      <c r="O71" s="11" t="n">
        <v>24.32</v>
      </c>
      <c r="P71" s="11" t="n">
        <v>30.4</v>
      </c>
      <c r="Q71" s="11" t="n">
        <v>12.28</v>
      </c>
      <c r="R71" s="11" t="n">
        <v>13.36</v>
      </c>
      <c r="S71" s="11" t="n">
        <v>22.24</v>
      </c>
      <c r="T71" s="11" t="n">
        <f aca="false">SUM(N71:S71)</f>
        <v>136.08</v>
      </c>
      <c r="U71" s="11" t="n">
        <v>17.84</v>
      </c>
      <c r="V71" s="11" t="n">
        <v>27.64</v>
      </c>
      <c r="W71" s="11" t="n">
        <v>9.2</v>
      </c>
      <c r="X71" s="11" t="n">
        <v>3.48</v>
      </c>
      <c r="Y71" s="11" t="n">
        <v>10.68</v>
      </c>
      <c r="Z71" s="11" t="n">
        <v>7.68</v>
      </c>
      <c r="AA71" s="11" t="n">
        <f aca="false">SUM(U71:Z71)</f>
        <v>76.52</v>
      </c>
      <c r="AB71" s="11" t="n">
        <v>17.84</v>
      </c>
      <c r="AC71" s="11" t="n">
        <v>27.64</v>
      </c>
      <c r="AD71" s="11" t="n">
        <v>9.2</v>
      </c>
      <c r="AE71" s="11" t="n">
        <v>3.48</v>
      </c>
      <c r="AF71" s="11" t="n">
        <v>10.68</v>
      </c>
      <c r="AG71" s="11" t="n">
        <v>7.68</v>
      </c>
      <c r="AH71" s="11" t="n">
        <f aca="false">SUM(AB71:AG71)</f>
        <v>76.52</v>
      </c>
    </row>
    <row r="72" customFormat="false" ht="15" hidden="false" customHeight="false" outlineLevel="2" collapsed="false">
      <c r="A72" s="8" t="s">
        <v>1377</v>
      </c>
      <c r="B72" s="12" t="s">
        <v>1378</v>
      </c>
      <c r="C72" s="8" t="s">
        <v>1319</v>
      </c>
      <c r="D72" s="12" t="s">
        <v>1320</v>
      </c>
      <c r="E72" s="16"/>
      <c r="F72" s="9" t="str">
        <f aca="false">IF($E72="","",IFERROR(INDEX(担当者マスタ!$B$2:$B$101,MATCH($E72,担当者マスタ!$A$2:$A$101,0)),"※マスタ未登録"))</f>
        <v/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f aca="false">SUM(G72:L72)</f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f aca="false">SUM(N72:S72)</f>
        <v>0</v>
      </c>
      <c r="U72" s="11" t="n">
        <v>314.25</v>
      </c>
      <c r="V72" s="11" t="n">
        <v>139.5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f aca="false">SUM(U72:Z72)</f>
        <v>453.75</v>
      </c>
      <c r="AB72" s="11" t="n">
        <v>173.25</v>
      </c>
      <c r="AC72" s="11" t="n">
        <v>76.25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f aca="false">SUM(AB72:AG72)</f>
        <v>249.5</v>
      </c>
    </row>
    <row r="73" customFormat="false" ht="15" hidden="false" customHeight="false" outlineLevel="2" collapsed="false">
      <c r="A73" s="8" t="s">
        <v>1379</v>
      </c>
      <c r="B73" s="12" t="s">
        <v>1380</v>
      </c>
      <c r="C73" s="8" t="s">
        <v>1319</v>
      </c>
      <c r="D73" s="12" t="s">
        <v>1320</v>
      </c>
      <c r="E73" s="16"/>
      <c r="F73" s="9" t="str">
        <f aca="false">IF($E73="","",IFERROR(INDEX(担当者マスタ!$B$2:$B$101,MATCH($E73,担当者マスタ!$A$2:$A$101,0)),"※マスタ未登録"))</f>
        <v/>
      </c>
      <c r="G73" s="11" t="n">
        <v>18.08</v>
      </c>
      <c r="H73" s="11" t="n">
        <v>2.88</v>
      </c>
      <c r="I73" s="11" t="n">
        <v>1.16</v>
      </c>
      <c r="J73" s="11" t="n">
        <v>6.68</v>
      </c>
      <c r="K73" s="11" t="n">
        <v>4.68</v>
      </c>
      <c r="L73" s="11" t="n">
        <v>11.72</v>
      </c>
      <c r="M73" s="11" t="n">
        <f aca="false">SUM(G73:L73)</f>
        <v>45.2</v>
      </c>
      <c r="N73" s="11" t="n">
        <v>18.08</v>
      </c>
      <c r="O73" s="11" t="n">
        <v>2.88</v>
      </c>
      <c r="P73" s="11" t="n">
        <v>1.16</v>
      </c>
      <c r="Q73" s="11" t="n">
        <v>6.68</v>
      </c>
      <c r="R73" s="11" t="n">
        <v>4.68</v>
      </c>
      <c r="S73" s="11" t="n">
        <v>11.72</v>
      </c>
      <c r="T73" s="11" t="n">
        <f aca="false">SUM(N73:S73)</f>
        <v>45.2</v>
      </c>
      <c r="U73" s="11" t="n">
        <v>109.39</v>
      </c>
      <c r="V73" s="11" t="n">
        <v>103.52</v>
      </c>
      <c r="W73" s="11" t="n">
        <v>10.36</v>
      </c>
      <c r="X73" s="11" t="n">
        <v>0</v>
      </c>
      <c r="Y73" s="11" t="n">
        <v>0</v>
      </c>
      <c r="Z73" s="11" t="n">
        <v>9.96</v>
      </c>
      <c r="AA73" s="11" t="n">
        <f aca="false">SUM(U73:Z73)</f>
        <v>233.23</v>
      </c>
      <c r="AB73" s="11" t="n">
        <v>69.64</v>
      </c>
      <c r="AC73" s="11" t="n">
        <v>51.52</v>
      </c>
      <c r="AD73" s="11" t="n">
        <v>10.36</v>
      </c>
      <c r="AE73" s="11" t="n">
        <v>0</v>
      </c>
      <c r="AF73" s="11" t="n">
        <v>0</v>
      </c>
      <c r="AG73" s="11" t="n">
        <v>9.96</v>
      </c>
      <c r="AH73" s="11" t="n">
        <f aca="false">SUM(AB73:AG73)</f>
        <v>141.48</v>
      </c>
    </row>
    <row r="74" customFormat="false" ht="15" hidden="false" customHeight="false" outlineLevel="2" collapsed="false">
      <c r="A74" s="8" t="s">
        <v>1381</v>
      </c>
      <c r="B74" s="12" t="s">
        <v>1382</v>
      </c>
      <c r="C74" s="8" t="s">
        <v>1319</v>
      </c>
      <c r="D74" s="12" t="s">
        <v>1320</v>
      </c>
      <c r="E74" s="16"/>
      <c r="F74" s="9" t="str">
        <f aca="false">IF($E74="","",IFERROR(INDEX(担当者マスタ!$B$2:$B$101,MATCH($E74,担当者マスタ!$A$2:$A$101,0)),"※マスタ未登録"))</f>
        <v/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f aca="false">SUM(G74:L74)</f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f aca="false">SUM(N74:S74)</f>
        <v>0</v>
      </c>
      <c r="U74" s="11" t="n">
        <v>0.45</v>
      </c>
      <c r="V74" s="11" t="n">
        <v>4.37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f aca="false">SUM(U74:Z74)</f>
        <v>4.82</v>
      </c>
      <c r="AB74" s="11" t="n">
        <v>0.45</v>
      </c>
      <c r="AC74" s="11" t="n">
        <v>4.37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f aca="false">SUM(AB74:AG74)</f>
        <v>4.82</v>
      </c>
    </row>
    <row r="75" customFormat="false" ht="15" hidden="false" customHeight="false" outlineLevel="2" collapsed="false">
      <c r="A75" s="8" t="s">
        <v>1383</v>
      </c>
      <c r="B75" s="9" t="s">
        <v>1384</v>
      </c>
      <c r="C75" s="8" t="s">
        <v>1319</v>
      </c>
      <c r="D75" s="12" t="s">
        <v>1320</v>
      </c>
      <c r="E75" s="16"/>
      <c r="F75" s="9" t="str">
        <f aca="false">IF($E75="","",IFERROR(INDEX(担当者マスタ!$B$2:$B$101,MATCH($E75,担当者マスタ!$A$2:$A$101,0)),"※マスタ未登録"))</f>
        <v/>
      </c>
      <c r="G75" s="11" t="n">
        <v>1.9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f aca="false">SUM(G75:L75)</f>
        <v>1.9</v>
      </c>
      <c r="N75" s="11" t="n">
        <v>1.9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f aca="false">SUM(N75:S75)</f>
        <v>1.9</v>
      </c>
      <c r="U75" s="11" t="n">
        <v>6.1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f aca="false">SUM(U75:Z75)</f>
        <v>6.1</v>
      </c>
      <c r="AB75" s="11" t="n">
        <v>6.1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f aca="false">SUM(AB75:AG75)</f>
        <v>6.1</v>
      </c>
    </row>
    <row r="76" customFormat="false" ht="15" hidden="false" customHeight="false" outlineLevel="2" collapsed="false">
      <c r="A76" s="8" t="s">
        <v>1385</v>
      </c>
      <c r="B76" s="9" t="s">
        <v>1386</v>
      </c>
      <c r="C76" s="8" t="s">
        <v>1319</v>
      </c>
      <c r="D76" s="12" t="s">
        <v>1320</v>
      </c>
      <c r="E76" s="16"/>
      <c r="F76" s="9" t="str">
        <f aca="false">IF($E76="","",IFERROR(INDEX(担当者マスタ!$B$2:$B$101,MATCH($E76,担当者マスタ!$A$2:$A$101,0)),"※マスタ未登録"))</f>
        <v/>
      </c>
      <c r="G76" s="11" t="n">
        <v>4.74</v>
      </c>
      <c r="H76" s="11" t="n">
        <v>0.9</v>
      </c>
      <c r="I76" s="11" t="n">
        <v>0.15</v>
      </c>
      <c r="J76" s="11" t="n">
        <v>0</v>
      </c>
      <c r="K76" s="11" t="n">
        <v>0</v>
      </c>
      <c r="L76" s="11" t="n">
        <v>0</v>
      </c>
      <c r="M76" s="11" t="n">
        <f aca="false">SUM(G76:L76)</f>
        <v>5.79</v>
      </c>
      <c r="N76" s="11" t="n">
        <v>4.74</v>
      </c>
      <c r="O76" s="11" t="n">
        <v>0.9</v>
      </c>
      <c r="P76" s="11" t="n">
        <v>0.15</v>
      </c>
      <c r="Q76" s="11" t="n">
        <v>0</v>
      </c>
      <c r="R76" s="11" t="n">
        <v>0</v>
      </c>
      <c r="S76" s="11" t="n">
        <v>0</v>
      </c>
      <c r="T76" s="11" t="n">
        <f aca="false">SUM(N76:S76)</f>
        <v>5.79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f aca="false">SUM(U76:Z76)</f>
        <v>0</v>
      </c>
      <c r="AB76" s="11" t="n">
        <v>0</v>
      </c>
      <c r="AC76" s="11" t="n">
        <v>0</v>
      </c>
      <c r="AD76" s="11" t="n">
        <v>0</v>
      </c>
      <c r="AE76" s="11" t="n">
        <v>0</v>
      </c>
      <c r="AF76" s="11" t="n">
        <v>0</v>
      </c>
      <c r="AG76" s="11" t="n">
        <v>0</v>
      </c>
      <c r="AH76" s="11" t="n">
        <f aca="false">SUM(AB76:AG76)</f>
        <v>0</v>
      </c>
    </row>
    <row r="77" customFormat="false" ht="15" hidden="false" customHeight="false" outlineLevel="2" collapsed="false">
      <c r="A77" s="8" t="s">
        <v>1387</v>
      </c>
      <c r="B77" s="9" t="s">
        <v>1388</v>
      </c>
      <c r="C77" s="8" t="s">
        <v>1319</v>
      </c>
      <c r="D77" s="12" t="s">
        <v>1320</v>
      </c>
      <c r="E77" s="16"/>
      <c r="F77" s="9" t="str">
        <f aca="false">IF($E77="","",IFERROR(INDEX(担当者マスタ!$B$2:$B$101,MATCH($E77,担当者マスタ!$A$2:$A$101,0)),"※マスタ未登録"))</f>
        <v/>
      </c>
      <c r="G77" s="11" t="n">
        <v>9.03</v>
      </c>
      <c r="H77" s="11" t="n">
        <v>0.55</v>
      </c>
      <c r="I77" s="11" t="n">
        <v>0.3</v>
      </c>
      <c r="J77" s="11" t="n">
        <v>0</v>
      </c>
      <c r="K77" s="11" t="n">
        <v>0</v>
      </c>
      <c r="L77" s="11" t="n">
        <v>0</v>
      </c>
      <c r="M77" s="11" t="n">
        <f aca="false">SUM(G77:L77)</f>
        <v>9.88</v>
      </c>
      <c r="N77" s="11" t="n">
        <v>9.03</v>
      </c>
      <c r="O77" s="11" t="n">
        <v>0.55</v>
      </c>
      <c r="P77" s="11" t="n">
        <v>0.3</v>
      </c>
      <c r="Q77" s="11" t="n">
        <v>0</v>
      </c>
      <c r="R77" s="11" t="n">
        <v>0</v>
      </c>
      <c r="S77" s="11" t="n">
        <v>0</v>
      </c>
      <c r="T77" s="11" t="n">
        <f aca="false">SUM(N77:S77)</f>
        <v>9.88</v>
      </c>
      <c r="U77" s="11" t="n">
        <v>14.43</v>
      </c>
      <c r="V77" s="11" t="n">
        <v>4.53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f aca="false">SUM(U77:Z77)</f>
        <v>18.96</v>
      </c>
      <c r="AB77" s="11" t="n">
        <v>14.43</v>
      </c>
      <c r="AC77" s="11" t="n">
        <v>4.53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f aca="false">SUM(AB77:AG77)</f>
        <v>18.96</v>
      </c>
    </row>
    <row r="78" customFormat="false" ht="15" hidden="false" customHeight="false" outlineLevel="2" collapsed="false">
      <c r="A78" s="8" t="s">
        <v>1389</v>
      </c>
      <c r="B78" s="12" t="s">
        <v>1390</v>
      </c>
      <c r="C78" s="8" t="s">
        <v>1319</v>
      </c>
      <c r="D78" s="12" t="s">
        <v>1320</v>
      </c>
      <c r="E78" s="16"/>
      <c r="F78" s="9" t="str">
        <f aca="false">IF($E78="","",IFERROR(INDEX(担当者マスタ!$B$2:$B$101,MATCH($E78,担当者マスタ!$A$2:$A$101,0)),"※マスタ未登録"))</f>
        <v/>
      </c>
      <c r="G78" s="11" t="n">
        <v>5.75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f aca="false">SUM(G78:L78)</f>
        <v>5.75</v>
      </c>
      <c r="N78" s="11" t="n">
        <v>5.75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f aca="false">SUM(N78:S78)</f>
        <v>5.75</v>
      </c>
      <c r="U78" s="11" t="n">
        <v>33.36</v>
      </c>
      <c r="V78" s="11" t="n">
        <v>7.85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f aca="false">SUM(U78:Z78)</f>
        <v>41.21</v>
      </c>
      <c r="AB78" s="11" t="n">
        <v>33.36</v>
      </c>
      <c r="AC78" s="11" t="n">
        <v>7.85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f aca="false">SUM(AB78:AG78)</f>
        <v>41.21</v>
      </c>
    </row>
    <row r="79" customFormat="false" ht="15" hidden="false" customHeight="false" outlineLevel="2" collapsed="false">
      <c r="A79" s="8" t="s">
        <v>1391</v>
      </c>
      <c r="B79" s="9" t="s">
        <v>1392</v>
      </c>
      <c r="C79" s="8" t="s">
        <v>1319</v>
      </c>
      <c r="D79" s="12" t="s">
        <v>1320</v>
      </c>
      <c r="E79" s="16"/>
      <c r="F79" s="9" t="str">
        <f aca="false">IF($E79="","",IFERROR(INDEX(担当者マスタ!$B$2:$B$101,MATCH($E79,担当者マスタ!$A$2:$A$101,0)),"※マスタ未登録"))</f>
        <v/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f aca="false">SUM(G79:L79)</f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f aca="false">SUM(N79:S79)</f>
        <v>0</v>
      </c>
      <c r="U79" s="11" t="n">
        <v>18.39</v>
      </c>
      <c r="V79" s="11" t="n">
        <v>3.75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f aca="false">SUM(U79:Z79)</f>
        <v>22.14</v>
      </c>
      <c r="AB79" s="11" t="n">
        <v>18.39</v>
      </c>
      <c r="AC79" s="11" t="n">
        <v>3.75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f aca="false">SUM(AB79:AG79)</f>
        <v>22.14</v>
      </c>
    </row>
    <row r="80" customFormat="false" ht="15" hidden="false" customHeight="false" outlineLevel="2" collapsed="false">
      <c r="A80" s="8" t="s">
        <v>1393</v>
      </c>
      <c r="B80" s="12" t="s">
        <v>1394</v>
      </c>
      <c r="C80" s="8" t="s">
        <v>1319</v>
      </c>
      <c r="D80" s="12" t="s">
        <v>1320</v>
      </c>
      <c r="E80" s="16"/>
      <c r="F80" s="9" t="str">
        <f aca="false">IF($E80="","",IFERROR(INDEX(担当者マスタ!$B$2:$B$101,MATCH($E80,担当者マスタ!$A$2:$A$101,0)),"※マスタ未登録"))</f>
        <v/>
      </c>
      <c r="G80" s="11" t="n">
        <v>0</v>
      </c>
      <c r="H80" s="11" t="n">
        <v>0</v>
      </c>
      <c r="I80" s="11" t="n">
        <v>240</v>
      </c>
      <c r="J80" s="11" t="n">
        <v>162</v>
      </c>
      <c r="K80" s="11" t="n">
        <v>0</v>
      </c>
      <c r="L80" s="11" t="n">
        <v>0</v>
      </c>
      <c r="M80" s="11" t="n">
        <f aca="false">SUM(G80:L80)</f>
        <v>402</v>
      </c>
      <c r="N80" s="11" t="n">
        <v>0</v>
      </c>
      <c r="O80" s="11" t="n">
        <v>0</v>
      </c>
      <c r="P80" s="11" t="n">
        <v>145.75</v>
      </c>
      <c r="Q80" s="11" t="n">
        <v>97.5</v>
      </c>
      <c r="R80" s="11" t="n">
        <v>0</v>
      </c>
      <c r="S80" s="11" t="n">
        <v>0</v>
      </c>
      <c r="T80" s="11" t="n">
        <f aca="false">SUM(N80:S80)</f>
        <v>243.25</v>
      </c>
      <c r="U80" s="11" t="n">
        <v>0</v>
      </c>
      <c r="V80" s="11" t="n">
        <v>0</v>
      </c>
      <c r="W80" s="11" t="n">
        <v>0</v>
      </c>
      <c r="X80" s="11" t="n">
        <v>907.526</v>
      </c>
      <c r="Y80" s="11" t="n">
        <v>255.75</v>
      </c>
      <c r="Z80" s="11" t="n">
        <v>0</v>
      </c>
      <c r="AA80" s="11" t="n">
        <f aca="false">SUM(U80:Z80)</f>
        <v>1163.276</v>
      </c>
      <c r="AB80" s="11" t="n">
        <v>0</v>
      </c>
      <c r="AC80" s="11" t="n">
        <v>0</v>
      </c>
      <c r="AD80" s="11" t="n">
        <v>0</v>
      </c>
      <c r="AE80" s="11" t="n">
        <v>484.25</v>
      </c>
      <c r="AF80" s="11" t="n">
        <v>128.281</v>
      </c>
      <c r="AG80" s="11" t="n">
        <v>0</v>
      </c>
      <c r="AH80" s="11" t="n">
        <f aca="false">SUM(AB80:AG80)</f>
        <v>612.531</v>
      </c>
    </row>
    <row r="81" customFormat="false" ht="15" hidden="false" customHeight="false" outlineLevel="2" collapsed="false">
      <c r="A81" s="8" t="s">
        <v>1395</v>
      </c>
      <c r="B81" s="12" t="s">
        <v>1396</v>
      </c>
      <c r="C81" s="8" t="s">
        <v>1319</v>
      </c>
      <c r="D81" s="12" t="s">
        <v>1320</v>
      </c>
      <c r="E81" s="16"/>
      <c r="F81" s="9" t="str">
        <f aca="false">IF($E81="","",IFERROR(INDEX(担当者マスタ!$B$2:$B$101,MATCH($E81,担当者マスタ!$A$2:$A$101,0)),"※マスタ未登録"))</f>
        <v/>
      </c>
      <c r="G81" s="11" t="n">
        <v>2160</v>
      </c>
      <c r="H81" s="11" t="n">
        <v>699.75</v>
      </c>
      <c r="I81" s="11" t="n">
        <v>0</v>
      </c>
      <c r="J81" s="11" t="n">
        <v>0</v>
      </c>
      <c r="K81" s="11" t="n">
        <v>78.75</v>
      </c>
      <c r="L81" s="11" t="n">
        <v>0</v>
      </c>
      <c r="M81" s="11" t="n">
        <f aca="false">SUM(G81:L81)</f>
        <v>2938.5</v>
      </c>
      <c r="N81" s="11" t="n">
        <v>1100.75</v>
      </c>
      <c r="O81" s="11" t="n">
        <v>390.5</v>
      </c>
      <c r="P81" s="11" t="n">
        <v>0</v>
      </c>
      <c r="Q81" s="11" t="n">
        <v>0</v>
      </c>
      <c r="R81" s="11" t="n">
        <v>38.75</v>
      </c>
      <c r="S81" s="11" t="n">
        <v>0</v>
      </c>
      <c r="T81" s="11" t="n">
        <f aca="false">SUM(N81:S81)</f>
        <v>1530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446.4</v>
      </c>
      <c r="Z81" s="11" t="n">
        <v>711.45</v>
      </c>
      <c r="AA81" s="11" t="n">
        <f aca="false">SUM(U81:Z81)</f>
        <v>1157.85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225.355</v>
      </c>
      <c r="AG81" s="11" t="n">
        <v>343.96</v>
      </c>
      <c r="AH81" s="11" t="n">
        <f aca="false">SUM(AB81:AG81)</f>
        <v>569.315</v>
      </c>
    </row>
    <row r="82" customFormat="false" ht="15" hidden="false" customHeight="false" outlineLevel="2" collapsed="false">
      <c r="A82" s="8" t="s">
        <v>1397</v>
      </c>
      <c r="B82" s="12" t="s">
        <v>1398</v>
      </c>
      <c r="C82" s="8" t="s">
        <v>1319</v>
      </c>
      <c r="D82" s="12" t="s">
        <v>1320</v>
      </c>
      <c r="E82" s="16"/>
      <c r="F82" s="9" t="str">
        <f aca="false">IF($E82="","",IFERROR(INDEX(担当者マスタ!$B$2:$B$101,MATCH($E82,担当者マスタ!$A$2:$A$101,0)),"※マスタ未登録"))</f>
        <v/>
      </c>
      <c r="G82" s="11" t="n">
        <v>0</v>
      </c>
      <c r="H82" s="11" t="n">
        <v>0</v>
      </c>
      <c r="I82" s="11" t="n">
        <v>0.25</v>
      </c>
      <c r="J82" s="11" t="n">
        <v>0</v>
      </c>
      <c r="K82" s="11" t="n">
        <v>0.44</v>
      </c>
      <c r="L82" s="11" t="n">
        <v>0</v>
      </c>
      <c r="M82" s="11" t="n">
        <f aca="false">SUM(G82:L82)</f>
        <v>0.69</v>
      </c>
      <c r="N82" s="11" t="n">
        <v>0</v>
      </c>
      <c r="O82" s="11" t="n">
        <v>0</v>
      </c>
      <c r="P82" s="11" t="n">
        <v>0.25</v>
      </c>
      <c r="Q82" s="11" t="n">
        <v>0</v>
      </c>
      <c r="R82" s="11" t="n">
        <v>0.44</v>
      </c>
      <c r="S82" s="11" t="n">
        <v>0</v>
      </c>
      <c r="T82" s="11" t="n">
        <f aca="false">SUM(N82:S82)</f>
        <v>0.69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f aca="false">SUM(U82:Z82)</f>
        <v>0</v>
      </c>
      <c r="AB82" s="11" t="n">
        <v>0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f aca="false">SUM(AB82:AG82)</f>
        <v>0</v>
      </c>
    </row>
    <row r="83" customFormat="false" ht="15" hidden="false" customHeight="false" outlineLevel="2" collapsed="false">
      <c r="A83" s="8" t="s">
        <v>1399</v>
      </c>
      <c r="B83" s="12" t="s">
        <v>1400</v>
      </c>
      <c r="C83" s="8" t="s">
        <v>1319</v>
      </c>
      <c r="D83" s="12" t="s">
        <v>1320</v>
      </c>
      <c r="E83" s="16"/>
      <c r="F83" s="9" t="str">
        <f aca="false">IF($E83="","",IFERROR(INDEX(担当者マスタ!$B$2:$B$101,MATCH($E83,担当者マスタ!$A$2:$A$101,0)),"※マスタ未登録"))</f>
        <v/>
      </c>
      <c r="G83" s="11" t="n">
        <v>5.94</v>
      </c>
      <c r="H83" s="11" t="n">
        <v>2.16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f aca="false">SUM(G83:L83)</f>
        <v>8.1</v>
      </c>
      <c r="N83" s="11" t="n">
        <v>5.94</v>
      </c>
      <c r="O83" s="11" t="n">
        <v>2.16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f aca="false">SUM(N83:S83)</f>
        <v>8.1</v>
      </c>
      <c r="U83" s="11" t="n">
        <v>10.92</v>
      </c>
      <c r="V83" s="11" t="n">
        <v>1.73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f aca="false">SUM(U83:Z83)</f>
        <v>12.65</v>
      </c>
      <c r="AB83" s="11" t="n">
        <v>10.92</v>
      </c>
      <c r="AC83" s="11" t="n">
        <v>1.73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f aca="false">SUM(AB83:AG83)</f>
        <v>12.65</v>
      </c>
    </row>
    <row r="84" customFormat="false" ht="15" hidden="false" customHeight="false" outlineLevel="2" collapsed="false">
      <c r="A84" s="8" t="s">
        <v>1401</v>
      </c>
      <c r="B84" s="9" t="s">
        <v>1402</v>
      </c>
      <c r="C84" s="8" t="s">
        <v>1319</v>
      </c>
      <c r="D84" s="12" t="s">
        <v>1320</v>
      </c>
      <c r="E84" s="16"/>
      <c r="F84" s="9" t="str">
        <f aca="false">IF($E84="","",IFERROR(INDEX(担当者マスタ!$B$2:$B$101,MATCH($E84,担当者マスタ!$A$2:$A$101,0)),"※マスタ未登録"))</f>
        <v/>
      </c>
      <c r="G84" s="11" t="n">
        <v>2188.5</v>
      </c>
      <c r="H84" s="11" t="n">
        <v>1072.5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f aca="false">SUM(G84:L84)</f>
        <v>3261</v>
      </c>
      <c r="N84" s="11" t="n">
        <v>1188.5</v>
      </c>
      <c r="O84" s="11" t="n">
        <v>529.1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f aca="false">SUM(N84:S84)</f>
        <v>1717.6</v>
      </c>
      <c r="U84" s="11" t="n">
        <v>131.25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f aca="false">SUM(U84:Z84)</f>
        <v>131.25</v>
      </c>
      <c r="AB84" s="11" t="n">
        <v>70.5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f aca="false">SUM(AB84:AG84)</f>
        <v>70.5</v>
      </c>
    </row>
    <row r="85" customFormat="false" ht="15" hidden="false" customHeight="false" outlineLevel="2" collapsed="false">
      <c r="A85" s="8" t="s">
        <v>1403</v>
      </c>
      <c r="B85" s="12" t="s">
        <v>1404</v>
      </c>
      <c r="C85" s="8" t="s">
        <v>1319</v>
      </c>
      <c r="D85" s="12" t="s">
        <v>1320</v>
      </c>
      <c r="E85" s="16"/>
      <c r="F85" s="9" t="str">
        <f aca="false">IF($E85="","",IFERROR(INDEX(担当者マスタ!$B$2:$B$101,MATCH($E85,担当者マスタ!$A$2:$A$101,0)),"※マスタ未登録"))</f>
        <v/>
      </c>
      <c r="G85" s="11" t="n">
        <v>0</v>
      </c>
      <c r="H85" s="11" t="n">
        <v>0</v>
      </c>
      <c r="I85" s="11" t="n">
        <v>418.5</v>
      </c>
      <c r="J85" s="11" t="n">
        <v>0</v>
      </c>
      <c r="K85" s="11" t="n">
        <v>0</v>
      </c>
      <c r="L85" s="11" t="n">
        <v>0</v>
      </c>
      <c r="M85" s="11" t="n">
        <f aca="false">SUM(G85:L85)</f>
        <v>418.5</v>
      </c>
      <c r="N85" s="11" t="n">
        <v>0</v>
      </c>
      <c r="O85" s="11" t="n">
        <v>0</v>
      </c>
      <c r="P85" s="11" t="n">
        <v>220.75</v>
      </c>
      <c r="Q85" s="11" t="n">
        <v>0</v>
      </c>
      <c r="R85" s="11" t="n">
        <v>0</v>
      </c>
      <c r="S85" s="11" t="n">
        <v>0</v>
      </c>
      <c r="T85" s="11" t="n">
        <f aca="false">SUM(N85:S85)</f>
        <v>220.75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f aca="false">SUM(U85:Z85)</f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f aca="false">SUM(AB85:AG85)</f>
        <v>0</v>
      </c>
    </row>
    <row r="86" customFormat="false" ht="15" hidden="false" customHeight="false" outlineLevel="2" collapsed="false">
      <c r="A86" s="8" t="s">
        <v>1405</v>
      </c>
      <c r="B86" s="12" t="s">
        <v>1406</v>
      </c>
      <c r="C86" s="8" t="s">
        <v>1319</v>
      </c>
      <c r="D86" s="12" t="s">
        <v>1320</v>
      </c>
      <c r="E86" s="16"/>
      <c r="F86" s="9" t="str">
        <f aca="false">IF($E86="","",IFERROR(INDEX(担当者マスタ!$B$2:$B$101,MATCH($E86,担当者マスタ!$A$2:$A$101,0)),"※マスタ未登録"))</f>
        <v/>
      </c>
      <c r="G86" s="11" t="n">
        <v>0</v>
      </c>
      <c r="H86" s="11" t="n">
        <v>0</v>
      </c>
      <c r="I86" s="11" t="n">
        <v>126</v>
      </c>
      <c r="J86" s="11" t="n">
        <v>256.5</v>
      </c>
      <c r="K86" s="11" t="n">
        <v>0</v>
      </c>
      <c r="L86" s="11" t="n">
        <v>0</v>
      </c>
      <c r="M86" s="11" t="n">
        <f aca="false">SUM(G86:L86)</f>
        <v>382.5</v>
      </c>
      <c r="N86" s="11" t="n">
        <v>0</v>
      </c>
      <c r="O86" s="11" t="n">
        <v>0</v>
      </c>
      <c r="P86" s="11" t="n">
        <v>68</v>
      </c>
      <c r="Q86" s="11" t="n">
        <v>130.5</v>
      </c>
      <c r="R86" s="11" t="n">
        <v>0</v>
      </c>
      <c r="S86" s="11" t="n">
        <v>0</v>
      </c>
      <c r="T86" s="11" t="n">
        <f aca="false">SUM(N86:S86)</f>
        <v>198.5</v>
      </c>
      <c r="U86" s="11" t="n">
        <v>0</v>
      </c>
      <c r="V86" s="11" t="n">
        <v>0</v>
      </c>
      <c r="W86" s="11" t="n">
        <v>195.3</v>
      </c>
      <c r="X86" s="11" t="n">
        <v>451.826</v>
      </c>
      <c r="Y86" s="11" t="n">
        <v>0</v>
      </c>
      <c r="Z86" s="11" t="n">
        <v>224.75</v>
      </c>
      <c r="AA86" s="11" t="n">
        <f aca="false">SUM(U86:Z86)</f>
        <v>871.876</v>
      </c>
      <c r="AB86" s="11" t="n">
        <v>0</v>
      </c>
      <c r="AC86" s="11" t="n">
        <v>0</v>
      </c>
      <c r="AD86" s="11" t="n">
        <v>86.82</v>
      </c>
      <c r="AE86" s="11" t="n">
        <v>228.937</v>
      </c>
      <c r="AF86" s="11" t="n">
        <v>0</v>
      </c>
      <c r="AG86" s="11" t="n">
        <v>100.79</v>
      </c>
      <c r="AH86" s="11" t="n">
        <f aca="false">SUM(AB86:AG86)</f>
        <v>416.547</v>
      </c>
    </row>
    <row r="87" customFormat="false" ht="15" hidden="false" customHeight="false" outlineLevel="2" collapsed="false">
      <c r="A87" s="8" t="s">
        <v>1407</v>
      </c>
      <c r="B87" s="12" t="s">
        <v>1408</v>
      </c>
      <c r="C87" s="8" t="s">
        <v>1319</v>
      </c>
      <c r="D87" s="12" t="s">
        <v>1320</v>
      </c>
      <c r="E87" s="16"/>
      <c r="F87" s="9" t="str">
        <f aca="false">IF($E87="","",IFERROR(INDEX(担当者マスタ!$B$2:$B$101,MATCH($E87,担当者マスタ!$A$2:$A$101,0)),"※マスタ未登録"))</f>
        <v/>
      </c>
      <c r="G87" s="11" t="n">
        <v>0</v>
      </c>
      <c r="H87" s="11" t="n">
        <v>382.5</v>
      </c>
      <c r="I87" s="11" t="n">
        <v>120</v>
      </c>
      <c r="J87" s="11" t="n">
        <v>216</v>
      </c>
      <c r="K87" s="11" t="n">
        <v>0</v>
      </c>
      <c r="L87" s="11" t="n">
        <v>0</v>
      </c>
      <c r="M87" s="11" t="n">
        <f aca="false">SUM(G87:L87)</f>
        <v>718.5</v>
      </c>
      <c r="N87" s="11" t="n">
        <v>0</v>
      </c>
      <c r="O87" s="11" t="n">
        <v>175</v>
      </c>
      <c r="P87" s="11" t="n">
        <v>69.25</v>
      </c>
      <c r="Q87" s="11" t="n">
        <v>108</v>
      </c>
      <c r="R87" s="11" t="n">
        <v>0</v>
      </c>
      <c r="S87" s="11" t="n">
        <v>0</v>
      </c>
      <c r="T87" s="11" t="n">
        <f aca="false">SUM(N87:S87)</f>
        <v>352.25</v>
      </c>
      <c r="U87" s="11" t="n">
        <v>0</v>
      </c>
      <c r="V87" s="11" t="n">
        <v>304.3</v>
      </c>
      <c r="W87" s="11" t="n">
        <v>251.1</v>
      </c>
      <c r="X87" s="11" t="n">
        <v>139.5</v>
      </c>
      <c r="Y87" s="11" t="n">
        <v>93</v>
      </c>
      <c r="Z87" s="11" t="n">
        <v>0</v>
      </c>
      <c r="AA87" s="11" t="n">
        <f aca="false">SUM(U87:Z87)</f>
        <v>787.9</v>
      </c>
      <c r="AB87" s="11" t="n">
        <v>0</v>
      </c>
      <c r="AC87" s="11" t="n">
        <v>160.173</v>
      </c>
      <c r="AD87" s="11" t="n">
        <v>116.795</v>
      </c>
      <c r="AE87" s="11" t="n">
        <v>68.217</v>
      </c>
      <c r="AF87" s="11" t="n">
        <v>55.032</v>
      </c>
      <c r="AG87" s="11" t="n">
        <v>0</v>
      </c>
      <c r="AH87" s="11" t="n">
        <f aca="false">SUM(AB87:AG87)</f>
        <v>400.217</v>
      </c>
    </row>
    <row r="88" customFormat="false" ht="15" hidden="false" customHeight="false" outlineLevel="2" collapsed="false">
      <c r="A88" s="8" t="s">
        <v>1409</v>
      </c>
      <c r="B88" s="12" t="s">
        <v>1410</v>
      </c>
      <c r="C88" s="8" t="s">
        <v>1319</v>
      </c>
      <c r="D88" s="12" t="s">
        <v>1320</v>
      </c>
      <c r="E88" s="16"/>
      <c r="F88" s="9" t="str">
        <f aca="false">IF($E88="","",IFERROR(INDEX(担当者マスタ!$B$2:$B$101,MATCH($E88,担当者マスタ!$A$2:$A$101,0)),"※マスタ未登録"))</f>
        <v/>
      </c>
      <c r="G88" s="11" t="n">
        <v>0</v>
      </c>
      <c r="H88" s="11" t="n">
        <v>366</v>
      </c>
      <c r="I88" s="11" t="n">
        <v>256.5</v>
      </c>
      <c r="J88" s="11" t="n">
        <v>0</v>
      </c>
      <c r="K88" s="11" t="n">
        <v>0</v>
      </c>
      <c r="L88" s="11" t="n">
        <v>0</v>
      </c>
      <c r="M88" s="11" t="n">
        <f aca="false">SUM(G88:L88)</f>
        <v>622.5</v>
      </c>
      <c r="N88" s="11" t="n">
        <v>0</v>
      </c>
      <c r="O88" s="11" t="n">
        <v>190.25</v>
      </c>
      <c r="P88" s="11" t="n">
        <v>126</v>
      </c>
      <c r="Q88" s="11" t="n">
        <v>0</v>
      </c>
      <c r="R88" s="11" t="n">
        <v>0</v>
      </c>
      <c r="S88" s="11" t="n">
        <v>0</v>
      </c>
      <c r="T88" s="11" t="n">
        <f aca="false">SUM(N88:S88)</f>
        <v>316.25</v>
      </c>
      <c r="U88" s="11" t="n">
        <v>0</v>
      </c>
      <c r="V88" s="11" t="n">
        <v>676.576</v>
      </c>
      <c r="W88" s="11" t="n">
        <v>0</v>
      </c>
      <c r="X88" s="11" t="n">
        <v>0</v>
      </c>
      <c r="Y88" s="11" t="n">
        <v>353.4</v>
      </c>
      <c r="Z88" s="11" t="n">
        <v>93</v>
      </c>
      <c r="AA88" s="11" t="n">
        <f aca="false">SUM(U88:Z88)</f>
        <v>1122.976</v>
      </c>
      <c r="AB88" s="11" t="n">
        <v>0</v>
      </c>
      <c r="AC88" s="11" t="n">
        <v>362.02</v>
      </c>
      <c r="AD88" s="11" t="n">
        <v>0</v>
      </c>
      <c r="AE88" s="11" t="n">
        <v>0</v>
      </c>
      <c r="AF88" s="11" t="n">
        <v>170.559</v>
      </c>
      <c r="AG88" s="11" t="n">
        <v>44.5</v>
      </c>
      <c r="AH88" s="11" t="n">
        <f aca="false">SUM(AB88:AG88)</f>
        <v>577.079</v>
      </c>
    </row>
    <row r="89" customFormat="false" ht="15" hidden="false" customHeight="false" outlineLevel="2" collapsed="false">
      <c r="A89" s="8" t="s">
        <v>1411</v>
      </c>
      <c r="B89" s="12" t="s">
        <v>1412</v>
      </c>
      <c r="C89" s="8" t="s">
        <v>1319</v>
      </c>
      <c r="D89" s="12" t="s">
        <v>1320</v>
      </c>
      <c r="E89" s="16"/>
      <c r="F89" s="9" t="str">
        <f aca="false">IF($E89="","",IFERROR(INDEX(担当者マスタ!$B$2:$B$101,MATCH($E89,担当者マスタ!$A$2:$A$101,0)),"※マスタ未登録"))</f>
        <v/>
      </c>
      <c r="G89" s="11" t="n">
        <v>0</v>
      </c>
      <c r="H89" s="11" t="n">
        <v>0</v>
      </c>
      <c r="I89" s="11" t="n">
        <v>322.5</v>
      </c>
      <c r="J89" s="11" t="n">
        <v>0</v>
      </c>
      <c r="K89" s="11" t="n">
        <v>285</v>
      </c>
      <c r="L89" s="11" t="n">
        <v>0</v>
      </c>
      <c r="M89" s="11" t="n">
        <f aca="false">SUM(G89:L89)</f>
        <v>607.5</v>
      </c>
      <c r="N89" s="11" t="n">
        <v>0</v>
      </c>
      <c r="O89" s="11" t="n">
        <v>0</v>
      </c>
      <c r="P89" s="11" t="n">
        <v>177</v>
      </c>
      <c r="Q89" s="11" t="n">
        <v>0</v>
      </c>
      <c r="R89" s="11" t="n">
        <v>147</v>
      </c>
      <c r="S89" s="11" t="n">
        <v>0</v>
      </c>
      <c r="T89" s="11" t="n">
        <f aca="false">SUM(N89:S89)</f>
        <v>324</v>
      </c>
      <c r="U89" s="11" t="n">
        <v>0</v>
      </c>
      <c r="V89" s="11" t="n">
        <v>305.6</v>
      </c>
      <c r="W89" s="11" t="n">
        <v>0</v>
      </c>
      <c r="X89" s="11" t="n">
        <v>192.2</v>
      </c>
      <c r="Y89" s="11" t="n">
        <v>235.6</v>
      </c>
      <c r="Z89" s="11" t="n">
        <v>0</v>
      </c>
      <c r="AA89" s="11" t="n">
        <f aca="false">SUM(U89:Z89)</f>
        <v>733.4</v>
      </c>
      <c r="AB89" s="11" t="n">
        <v>0</v>
      </c>
      <c r="AC89" s="11" t="n">
        <v>155.622</v>
      </c>
      <c r="AD89" s="11" t="n">
        <v>0</v>
      </c>
      <c r="AE89" s="11" t="n">
        <v>93.547</v>
      </c>
      <c r="AF89" s="11" t="n">
        <v>107.947</v>
      </c>
      <c r="AG89" s="11" t="n">
        <v>0</v>
      </c>
      <c r="AH89" s="11" t="n">
        <f aca="false">SUM(AB89:AG89)</f>
        <v>357.116</v>
      </c>
    </row>
    <row r="90" customFormat="false" ht="15" hidden="false" customHeight="false" outlineLevel="2" collapsed="false">
      <c r="A90" s="8" t="s">
        <v>1413</v>
      </c>
      <c r="B90" s="12" t="s">
        <v>1414</v>
      </c>
      <c r="C90" s="8" t="s">
        <v>1319</v>
      </c>
      <c r="D90" s="12" t="s">
        <v>1320</v>
      </c>
      <c r="E90" s="16"/>
      <c r="F90" s="9" t="str">
        <f aca="false">IF($E90="","",IFERROR(INDEX(担当者マスタ!$B$2:$B$101,MATCH($E90,担当者マスタ!$A$2:$A$101,0)),"※マスタ未登録"))</f>
        <v/>
      </c>
      <c r="G90" s="11" t="n">
        <v>189</v>
      </c>
      <c r="H90" s="11" t="n">
        <v>0</v>
      </c>
      <c r="I90" s="11" t="n">
        <v>0</v>
      </c>
      <c r="J90" s="11" t="n">
        <v>331.5</v>
      </c>
      <c r="K90" s="11" t="n">
        <v>0</v>
      </c>
      <c r="L90" s="11" t="n">
        <v>0</v>
      </c>
      <c r="M90" s="11" t="n">
        <f aca="false">SUM(G90:L90)</f>
        <v>520.5</v>
      </c>
      <c r="N90" s="11" t="n">
        <v>101.5</v>
      </c>
      <c r="O90" s="11" t="n">
        <v>0</v>
      </c>
      <c r="P90" s="11" t="n">
        <v>0</v>
      </c>
      <c r="Q90" s="11" t="n">
        <v>206</v>
      </c>
      <c r="R90" s="11" t="n">
        <v>0</v>
      </c>
      <c r="S90" s="11" t="n">
        <v>0</v>
      </c>
      <c r="T90" s="11" t="n">
        <f aca="false">SUM(N90:S90)</f>
        <v>307.5</v>
      </c>
      <c r="U90" s="11" t="n">
        <v>0</v>
      </c>
      <c r="V90" s="11" t="n">
        <v>0</v>
      </c>
      <c r="W90" s="11" t="n">
        <v>0</v>
      </c>
      <c r="X90" s="11" t="n">
        <v>21.7</v>
      </c>
      <c r="Y90" s="11" t="n">
        <v>0</v>
      </c>
      <c r="Z90" s="11" t="n">
        <v>0</v>
      </c>
      <c r="AA90" s="11" t="n">
        <f aca="false">SUM(U90:Z90)</f>
        <v>21.7</v>
      </c>
      <c r="AB90" s="11" t="n">
        <v>0</v>
      </c>
      <c r="AC90" s="11" t="n">
        <v>0</v>
      </c>
      <c r="AD90" s="11" t="n">
        <v>0</v>
      </c>
      <c r="AE90" s="11" t="n">
        <v>10.348</v>
      </c>
      <c r="AF90" s="11" t="n">
        <v>0</v>
      </c>
      <c r="AG90" s="11" t="n">
        <v>0</v>
      </c>
      <c r="AH90" s="11" t="n">
        <f aca="false">SUM(AB90:AG90)</f>
        <v>10.348</v>
      </c>
    </row>
    <row r="91" customFormat="false" ht="15" hidden="false" customHeight="false" outlineLevel="2" collapsed="false">
      <c r="A91" s="8" t="s">
        <v>1415</v>
      </c>
      <c r="B91" s="12" t="s">
        <v>1416</v>
      </c>
      <c r="C91" s="8" t="s">
        <v>1319</v>
      </c>
      <c r="D91" s="12" t="s">
        <v>1320</v>
      </c>
      <c r="E91" s="16"/>
      <c r="F91" s="9" t="str">
        <f aca="false">IF($E91="","",IFERROR(INDEX(担当者マスタ!$B$2:$B$101,MATCH($E91,担当者マスタ!$A$2:$A$101,0)),"※マスタ未登録"))</f>
        <v/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90</v>
      </c>
      <c r="L91" s="11" t="n">
        <v>551.25</v>
      </c>
      <c r="M91" s="11" t="n">
        <f aca="false">SUM(G91:L91)</f>
        <v>641.25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54.5</v>
      </c>
      <c r="S91" s="11" t="n">
        <v>262.25</v>
      </c>
      <c r="T91" s="11" t="n">
        <f aca="false">SUM(N91:S91)</f>
        <v>316.75</v>
      </c>
      <c r="U91" s="11" t="n">
        <v>0</v>
      </c>
      <c r="V91" s="11" t="n">
        <v>21</v>
      </c>
      <c r="W91" s="11" t="n">
        <v>0</v>
      </c>
      <c r="X91" s="11" t="n">
        <v>0</v>
      </c>
      <c r="Y91" s="11" t="n">
        <v>372</v>
      </c>
      <c r="Z91" s="11" t="n">
        <v>189.876</v>
      </c>
      <c r="AA91" s="11" t="n">
        <f aca="false">SUM(U91:Z91)</f>
        <v>582.876</v>
      </c>
      <c r="AB91" s="11" t="n">
        <v>0</v>
      </c>
      <c r="AC91" s="11" t="n">
        <v>11</v>
      </c>
      <c r="AD91" s="11" t="n">
        <v>0</v>
      </c>
      <c r="AE91" s="11" t="n">
        <v>0</v>
      </c>
      <c r="AF91" s="11" t="n">
        <v>210.068</v>
      </c>
      <c r="AG91" s="11" t="n">
        <v>97.686</v>
      </c>
      <c r="AH91" s="11" t="n">
        <f aca="false">SUM(AB91:AG91)</f>
        <v>318.754</v>
      </c>
    </row>
    <row r="92" customFormat="false" ht="15" hidden="false" customHeight="false" outlineLevel="2" collapsed="false">
      <c r="A92" s="8" t="s">
        <v>1417</v>
      </c>
      <c r="B92" s="12" t="s">
        <v>1418</v>
      </c>
      <c r="C92" s="8" t="s">
        <v>1319</v>
      </c>
      <c r="D92" s="12" t="s">
        <v>1320</v>
      </c>
      <c r="E92" s="16"/>
      <c r="F92" s="9" t="str">
        <f aca="false">IF($E92="","",IFERROR(INDEX(担当者マスタ!$B$2:$B$101,MATCH($E92,担当者マスタ!$A$2:$A$101,0)),"※マスタ未登録"))</f>
        <v/>
      </c>
      <c r="G92" s="11" t="n">
        <v>0</v>
      </c>
      <c r="H92" s="11" t="n">
        <v>0</v>
      </c>
      <c r="I92" s="11" t="n">
        <v>0</v>
      </c>
      <c r="J92" s="11" t="n">
        <v>199.5</v>
      </c>
      <c r="K92" s="11" t="n">
        <v>0</v>
      </c>
      <c r="L92" s="11" t="n">
        <v>0</v>
      </c>
      <c r="M92" s="11" t="n">
        <f aca="false">SUM(G92:L92)</f>
        <v>199.5</v>
      </c>
      <c r="N92" s="11" t="n">
        <v>0</v>
      </c>
      <c r="O92" s="11" t="n">
        <v>0</v>
      </c>
      <c r="P92" s="11" t="n">
        <v>0</v>
      </c>
      <c r="Q92" s="11" t="n">
        <v>105</v>
      </c>
      <c r="R92" s="11" t="n">
        <v>0</v>
      </c>
      <c r="S92" s="11" t="n">
        <v>0</v>
      </c>
      <c r="T92" s="11" t="n">
        <f aca="false">SUM(N92:S92)</f>
        <v>105</v>
      </c>
      <c r="U92" s="11" t="n">
        <v>0</v>
      </c>
      <c r="V92" s="11" t="n">
        <v>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f aca="false">SUM(U92:Z92)</f>
        <v>0</v>
      </c>
      <c r="AB92" s="11" t="n">
        <v>0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n">
        <f aca="false">SUM(AB92:AG92)</f>
        <v>0</v>
      </c>
    </row>
    <row r="93" customFormat="false" ht="15" hidden="false" customHeight="false" outlineLevel="2" collapsed="false">
      <c r="A93" s="8" t="s">
        <v>1419</v>
      </c>
      <c r="B93" s="9" t="s">
        <v>1420</v>
      </c>
      <c r="C93" s="8" t="s">
        <v>1319</v>
      </c>
      <c r="D93" s="12" t="s">
        <v>1320</v>
      </c>
      <c r="E93" s="16"/>
      <c r="F93" s="9" t="str">
        <f aca="false">IF($E93="","",IFERROR(INDEX(担当者マスタ!$B$2:$B$101,MATCH($E93,担当者マスタ!$A$2:$A$101,0)),"※マスタ未登録"))</f>
        <v/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f aca="false">SUM(G93:L93)</f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f aca="false">SUM(N93:S93)</f>
        <v>0</v>
      </c>
      <c r="U93" s="11" t="n">
        <v>16.05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f aca="false">SUM(U93:Z93)</f>
        <v>16.05</v>
      </c>
      <c r="AB93" s="11" t="n">
        <v>16.05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f aca="false">SUM(AB93:AG93)</f>
        <v>16.05</v>
      </c>
    </row>
    <row r="94" customFormat="false" ht="15" hidden="false" customHeight="false" outlineLevel="2" collapsed="false">
      <c r="A94" s="8" t="s">
        <v>1421</v>
      </c>
      <c r="B94" s="9" t="s">
        <v>1422</v>
      </c>
      <c r="C94" s="8" t="s">
        <v>1319</v>
      </c>
      <c r="D94" s="12" t="s">
        <v>1320</v>
      </c>
      <c r="E94" s="16"/>
      <c r="F94" s="9" t="str">
        <f aca="false">IF($E94="","",IFERROR(INDEX(担当者マスタ!$B$2:$B$101,MATCH($E94,担当者マスタ!$A$2:$A$101,0)),"※マスタ未登録"))</f>
        <v/>
      </c>
      <c r="G94" s="11" t="n">
        <v>9.4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f aca="false">SUM(G94:L94)</f>
        <v>9.4</v>
      </c>
      <c r="N94" s="11" t="n">
        <v>9.4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f aca="false">SUM(N94:S94)</f>
        <v>9.4</v>
      </c>
      <c r="U94" s="11" t="n">
        <v>17.1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f aca="false">SUM(U94:Z94)</f>
        <v>17.1</v>
      </c>
      <c r="AB94" s="11" t="n">
        <v>17.1</v>
      </c>
      <c r="AC94" s="11" t="n">
        <v>0</v>
      </c>
      <c r="AD94" s="11" t="n">
        <v>0</v>
      </c>
      <c r="AE94" s="11" t="n">
        <v>0</v>
      </c>
      <c r="AF94" s="11" t="n">
        <v>0</v>
      </c>
      <c r="AG94" s="11" t="n">
        <v>0</v>
      </c>
      <c r="AH94" s="11" t="n">
        <f aca="false">SUM(AB94:AG94)</f>
        <v>17.1</v>
      </c>
    </row>
    <row r="95" customFormat="false" ht="15" hidden="false" customHeight="false" outlineLevel="2" collapsed="false">
      <c r="A95" s="8" t="s">
        <v>1423</v>
      </c>
      <c r="B95" s="12" t="s">
        <v>1424</v>
      </c>
      <c r="C95" s="8" t="s">
        <v>1319</v>
      </c>
      <c r="D95" s="12" t="s">
        <v>1320</v>
      </c>
      <c r="E95" s="16"/>
      <c r="F95" s="9" t="str">
        <f aca="false">IF($E95="","",IFERROR(INDEX(担当者マスタ!$B$2:$B$101,MATCH($E95,担当者マスタ!$A$2:$A$101,0)),"※マスタ未登録"))</f>
        <v/>
      </c>
      <c r="G95" s="11" t="n">
        <v>7.69</v>
      </c>
      <c r="H95" s="11" t="n">
        <v>2.07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f aca="false">SUM(G95:L95)</f>
        <v>9.76</v>
      </c>
      <c r="N95" s="11" t="n">
        <v>7.69</v>
      </c>
      <c r="O95" s="11" t="n">
        <v>2.07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f aca="false">SUM(N95:S95)</f>
        <v>9.76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f aca="false">SUM(U95:Z95)</f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f aca="false">SUM(AB95:AG95)</f>
        <v>0</v>
      </c>
    </row>
    <row r="96" customFormat="false" ht="15" hidden="false" customHeight="false" outlineLevel="2" collapsed="false">
      <c r="A96" s="8" t="s">
        <v>1425</v>
      </c>
      <c r="B96" s="12" t="s">
        <v>1426</v>
      </c>
      <c r="C96" s="8" t="s">
        <v>1319</v>
      </c>
      <c r="D96" s="12" t="s">
        <v>1320</v>
      </c>
      <c r="E96" s="16"/>
      <c r="F96" s="9" t="str">
        <f aca="false">IF($E96="","",IFERROR(INDEX(担当者マスタ!$B$2:$B$101,MATCH($E96,担当者マスタ!$A$2:$A$101,0)),"※マスタ未登録"))</f>
        <v/>
      </c>
      <c r="G96" s="11" t="n">
        <v>0</v>
      </c>
      <c r="H96" s="11" t="n">
        <v>0</v>
      </c>
      <c r="I96" s="11" t="n">
        <v>-0.25</v>
      </c>
      <c r="J96" s="11" t="n">
        <v>0</v>
      </c>
      <c r="K96" s="11" t="n">
        <v>0</v>
      </c>
      <c r="L96" s="11" t="n">
        <v>0</v>
      </c>
      <c r="M96" s="11" t="n">
        <f aca="false">SUM(G96:L96)</f>
        <v>-0.25</v>
      </c>
      <c r="N96" s="11" t="n">
        <v>0</v>
      </c>
      <c r="O96" s="11" t="n">
        <v>0</v>
      </c>
      <c r="P96" s="11" t="n">
        <v>-0.25</v>
      </c>
      <c r="Q96" s="11" t="n">
        <v>0</v>
      </c>
      <c r="R96" s="11" t="n">
        <v>0</v>
      </c>
      <c r="S96" s="11" t="n">
        <v>0</v>
      </c>
      <c r="T96" s="11" t="n">
        <f aca="false">SUM(N96:S96)</f>
        <v>-0.25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f aca="false">SUM(U96:Z96)</f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>
        <f aca="false">SUM(AB96:AG96)</f>
        <v>0</v>
      </c>
    </row>
    <row r="97" customFormat="false" ht="15" hidden="false" customHeight="false" outlineLevel="2" collapsed="false">
      <c r="A97" s="8" t="s">
        <v>1427</v>
      </c>
      <c r="B97" s="12" t="s">
        <v>1428</v>
      </c>
      <c r="C97" s="8" t="s">
        <v>1319</v>
      </c>
      <c r="D97" s="12" t="s">
        <v>1320</v>
      </c>
      <c r="E97" s="16"/>
      <c r="F97" s="9" t="str">
        <f aca="false">IF($E97="","",IFERROR(INDEX(担当者マスタ!$B$2:$B$101,MATCH($E97,担当者マスタ!$A$2:$A$101,0)),"※マスタ未登録"))</f>
        <v/>
      </c>
      <c r="G97" s="11" t="n">
        <v>6.5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f aca="false">SUM(G97:L97)</f>
        <v>6.5</v>
      </c>
      <c r="N97" s="11" t="n">
        <v>6.5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f aca="false">SUM(N97:S97)</f>
        <v>6.5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f aca="false">SUM(U97:Z97)</f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f aca="false">SUM(AB97:AG97)</f>
        <v>0</v>
      </c>
    </row>
    <row r="98" customFormat="false" ht="15" hidden="false" customHeight="false" outlineLevel="2" collapsed="false">
      <c r="A98" s="8" t="s">
        <v>1429</v>
      </c>
      <c r="B98" s="12" t="s">
        <v>1430</v>
      </c>
      <c r="C98" s="8" t="s">
        <v>1319</v>
      </c>
      <c r="D98" s="12" t="s">
        <v>1320</v>
      </c>
      <c r="E98" s="16"/>
      <c r="F98" s="9" t="str">
        <f aca="false">IF($E98="","",IFERROR(INDEX(担当者マスタ!$B$2:$B$101,MATCH($E98,担当者マスタ!$A$2:$A$101,0)),"※マスタ未登録"))</f>
        <v/>
      </c>
      <c r="G98" s="11" t="n">
        <v>0</v>
      </c>
      <c r="H98" s="11" t="n">
        <v>0</v>
      </c>
      <c r="I98" s="11" t="n">
        <v>0</v>
      </c>
      <c r="J98" s="11" t="n">
        <v>351</v>
      </c>
      <c r="K98" s="11" t="n">
        <v>0</v>
      </c>
      <c r="L98" s="11" t="n">
        <v>0</v>
      </c>
      <c r="M98" s="11" t="n">
        <f aca="false">SUM(G98:L98)</f>
        <v>351</v>
      </c>
      <c r="N98" s="11" t="n">
        <v>0</v>
      </c>
      <c r="O98" s="11" t="n">
        <v>0</v>
      </c>
      <c r="P98" s="11" t="n">
        <v>0</v>
      </c>
      <c r="Q98" s="11" t="n">
        <v>189</v>
      </c>
      <c r="R98" s="11" t="n">
        <v>0</v>
      </c>
      <c r="S98" s="11" t="n">
        <v>0</v>
      </c>
      <c r="T98" s="11" t="n">
        <f aca="false">SUM(N98:S98)</f>
        <v>189</v>
      </c>
      <c r="U98" s="11" t="n">
        <v>0</v>
      </c>
      <c r="V98" s="11" t="n">
        <v>0</v>
      </c>
      <c r="W98" s="11" t="n">
        <v>0</v>
      </c>
      <c r="X98" s="11" t="n">
        <v>65.1</v>
      </c>
      <c r="Y98" s="11" t="n">
        <v>0</v>
      </c>
      <c r="Z98" s="11" t="n">
        <v>0</v>
      </c>
      <c r="AA98" s="11" t="n">
        <f aca="false">SUM(U98:Z98)</f>
        <v>65.1</v>
      </c>
      <c r="AB98" s="11" t="n">
        <v>0</v>
      </c>
      <c r="AC98" s="11" t="n">
        <v>0</v>
      </c>
      <c r="AD98" s="11" t="n">
        <v>0</v>
      </c>
      <c r="AE98" s="11" t="n">
        <v>31</v>
      </c>
      <c r="AF98" s="11" t="n">
        <v>0</v>
      </c>
      <c r="AG98" s="11" t="n">
        <v>0</v>
      </c>
      <c r="AH98" s="11" t="n">
        <f aca="false">SUM(AB98:AG98)</f>
        <v>31</v>
      </c>
    </row>
    <row r="99" customFormat="false" ht="15" hidden="false" customHeight="false" outlineLevel="2" collapsed="false">
      <c r="A99" s="8" t="s">
        <v>1431</v>
      </c>
      <c r="B99" s="9" t="s">
        <v>1432</v>
      </c>
      <c r="C99" s="8" t="s">
        <v>1319</v>
      </c>
      <c r="D99" s="12" t="s">
        <v>1320</v>
      </c>
      <c r="E99" s="16"/>
      <c r="F99" s="9" t="str">
        <f aca="false">IF($E99="","",IFERROR(INDEX(担当者マスタ!$B$2:$B$101,MATCH($E99,担当者マスタ!$A$2:$A$101,0)),"※マスタ未登録"))</f>
        <v/>
      </c>
      <c r="G99" s="11" t="n">
        <v>1.8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f aca="false">SUM(G99:L99)</f>
        <v>1.8</v>
      </c>
      <c r="N99" s="11" t="n">
        <v>1.8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f aca="false">SUM(N99:S99)</f>
        <v>1.8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f aca="false">SUM(U99:Z99)</f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f aca="false">SUM(AB99:AG99)</f>
        <v>0</v>
      </c>
    </row>
    <row r="100" customFormat="false" ht="15" hidden="false" customHeight="false" outlineLevel="2" collapsed="false">
      <c r="A100" s="8" t="s">
        <v>1433</v>
      </c>
      <c r="B100" s="9" t="s">
        <v>1434</v>
      </c>
      <c r="C100" s="8" t="s">
        <v>1319</v>
      </c>
      <c r="D100" s="12" t="s">
        <v>1320</v>
      </c>
      <c r="E100" s="16"/>
      <c r="F100" s="9" t="str">
        <f aca="false">IF($E100="","",IFERROR(INDEX(担当者マスタ!$B$2:$B$101,MATCH($E100,担当者マスタ!$A$2:$A$101,0)),"※マスタ未登録"))</f>
        <v/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f aca="false">SUM(G100:L100)</f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f aca="false">SUM(N100:S100)</f>
        <v>0</v>
      </c>
      <c r="U100" s="11" t="n">
        <v>3.8</v>
      </c>
      <c r="V100" s="11" t="n">
        <v>11.7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f aca="false">SUM(U100:Z100)</f>
        <v>15.5</v>
      </c>
      <c r="AB100" s="11" t="n">
        <v>3.8</v>
      </c>
      <c r="AC100" s="11" t="n">
        <v>11.7</v>
      </c>
      <c r="AD100" s="11" t="n">
        <v>0</v>
      </c>
      <c r="AE100" s="11" t="n">
        <v>0</v>
      </c>
      <c r="AF100" s="11" t="n">
        <v>0</v>
      </c>
      <c r="AG100" s="11" t="n">
        <v>0</v>
      </c>
      <c r="AH100" s="11" t="n">
        <f aca="false">SUM(AB100:AG100)</f>
        <v>15.5</v>
      </c>
    </row>
    <row r="101" customFormat="false" ht="15" hidden="false" customHeight="false" outlineLevel="2" collapsed="false">
      <c r="A101" s="8" t="s">
        <v>1435</v>
      </c>
      <c r="B101" s="9" t="s">
        <v>1436</v>
      </c>
      <c r="C101" s="8" t="s">
        <v>1319</v>
      </c>
      <c r="D101" s="12" t="s">
        <v>1320</v>
      </c>
      <c r="E101" s="16"/>
      <c r="F101" s="9" t="str">
        <f aca="false">IF($E101="","",IFERROR(INDEX(担当者マスタ!$B$2:$B$101,MATCH($E101,担当者マスタ!$A$2:$A$101,0)),"※マスタ未登録"))</f>
        <v/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f aca="false">SUM(G101:L101)</f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f aca="false">SUM(N101:S101)</f>
        <v>0</v>
      </c>
      <c r="U101" s="11" t="n">
        <v>2.7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f aca="false">SUM(U101:Z101)</f>
        <v>2.7</v>
      </c>
      <c r="AB101" s="11" t="n">
        <v>2.7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f aca="false">SUM(AB101:AG101)</f>
        <v>2.7</v>
      </c>
    </row>
    <row r="102" customFormat="false" ht="15" hidden="false" customHeight="false" outlineLevel="2" collapsed="false">
      <c r="A102" s="8" t="s">
        <v>1437</v>
      </c>
      <c r="B102" s="12" t="s">
        <v>1438</v>
      </c>
      <c r="C102" s="8" t="s">
        <v>1319</v>
      </c>
      <c r="D102" s="12" t="s">
        <v>1320</v>
      </c>
      <c r="E102" s="16"/>
      <c r="F102" s="9" t="str">
        <f aca="false">IF($E102="","",IFERROR(INDEX(担当者マスタ!$B$2:$B$101,MATCH($E102,担当者マスタ!$A$2:$A$101,0)),"※マスタ未登録"))</f>
        <v/>
      </c>
      <c r="G102" s="11" t="n">
        <v>11.76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f aca="false">SUM(G102:L102)</f>
        <v>11.76</v>
      </c>
      <c r="N102" s="11" t="n">
        <v>11.76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f aca="false">SUM(N102:S102)</f>
        <v>11.76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f aca="false">SUM(U102:Z102)</f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f aca="false">SUM(AB102:AG102)</f>
        <v>0</v>
      </c>
    </row>
    <row r="103" customFormat="false" ht="15" hidden="false" customHeight="false" outlineLevel="2" collapsed="false">
      <c r="A103" s="8" t="s">
        <v>1439</v>
      </c>
      <c r="B103" s="12" t="s">
        <v>1440</v>
      </c>
      <c r="C103" s="8" t="s">
        <v>1319</v>
      </c>
      <c r="D103" s="12" t="s">
        <v>1320</v>
      </c>
      <c r="E103" s="16"/>
      <c r="F103" s="9" t="str">
        <f aca="false">IF($E103="","",IFERROR(INDEX(担当者マスタ!$B$2:$B$101,MATCH($E103,担当者マスタ!$A$2:$A$101,0)),"※マスタ未登録"))</f>
        <v/>
      </c>
      <c r="G103" s="11" t="n">
        <v>5.67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f aca="false">SUM(G103:L103)</f>
        <v>5.67</v>
      </c>
      <c r="N103" s="11" t="n">
        <v>5.67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f aca="false">SUM(N103:S103)</f>
        <v>5.67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f aca="false">SUM(U103:Z103)</f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f aca="false">SUM(AB103:AG103)</f>
        <v>0</v>
      </c>
    </row>
    <row r="104" customFormat="false" ht="15" hidden="false" customHeight="false" outlineLevel="2" collapsed="false">
      <c r="A104" s="8" t="s">
        <v>1441</v>
      </c>
      <c r="B104" s="12" t="s">
        <v>1442</v>
      </c>
      <c r="C104" s="8" t="s">
        <v>1319</v>
      </c>
      <c r="D104" s="12" t="s">
        <v>1320</v>
      </c>
      <c r="E104" s="16"/>
      <c r="F104" s="9" t="str">
        <f aca="false">IF($E104="","",IFERROR(INDEX(担当者マスタ!$B$2:$B$101,MATCH($E104,担当者マスタ!$A$2:$A$101,0)),"※マスタ未登録"))</f>
        <v/>
      </c>
      <c r="G104" s="11" t="n">
        <v>4.48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f aca="false">SUM(G104:L104)</f>
        <v>4.48</v>
      </c>
      <c r="N104" s="11" t="n">
        <v>4.48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f aca="false">SUM(N104:S104)</f>
        <v>4.48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f aca="false">SUM(U104:Z104)</f>
        <v>0</v>
      </c>
      <c r="AB104" s="11" t="n">
        <v>0</v>
      </c>
      <c r="AC104" s="11" t="n">
        <v>0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f aca="false">SUM(AB104:AG104)</f>
        <v>0</v>
      </c>
    </row>
    <row r="105" customFormat="false" ht="15" hidden="false" customHeight="false" outlineLevel="2" collapsed="false">
      <c r="A105" s="8" t="s">
        <v>1443</v>
      </c>
      <c r="B105" s="9" t="s">
        <v>1444</v>
      </c>
      <c r="C105" s="8" t="s">
        <v>1319</v>
      </c>
      <c r="D105" s="12" t="s">
        <v>1320</v>
      </c>
      <c r="E105" s="16"/>
      <c r="F105" s="9" t="str">
        <f aca="false">IF($E105="","",IFERROR(INDEX(担当者マスタ!$B$2:$B$101,MATCH($E105,担当者マスタ!$A$2:$A$101,0)),"※マスタ未登録"))</f>
        <v/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f aca="false">SUM(G105:L105)</f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f aca="false">SUM(N105:S105)</f>
        <v>0</v>
      </c>
      <c r="U105" s="11" t="n">
        <v>10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f aca="false">SUM(U105:Z105)</f>
        <v>10</v>
      </c>
      <c r="AB105" s="11" t="n">
        <v>10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f aca="false">SUM(AB105:AG105)</f>
        <v>10</v>
      </c>
    </row>
    <row r="106" customFormat="false" ht="15" hidden="false" customHeight="false" outlineLevel="2" collapsed="false">
      <c r="A106" s="8" t="s">
        <v>1445</v>
      </c>
      <c r="B106" s="12" t="s">
        <v>1446</v>
      </c>
      <c r="C106" s="8" t="s">
        <v>1319</v>
      </c>
      <c r="D106" s="12" t="s">
        <v>1320</v>
      </c>
      <c r="E106" s="16"/>
      <c r="F106" s="9" t="str">
        <f aca="false">IF($E106="","",IFERROR(INDEX(担当者マスタ!$B$2:$B$101,MATCH($E106,担当者マスタ!$A$2:$A$101,0)),"※マスタ未登録"))</f>
        <v/>
      </c>
      <c r="G106" s="11" t="n">
        <v>322.5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f aca="false">SUM(G106:L106)</f>
        <v>322.5</v>
      </c>
      <c r="N106" s="11" t="n">
        <v>174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f aca="false">SUM(N106:S106)</f>
        <v>174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f aca="false">SUM(U106:Z106)</f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f aca="false">SUM(AB106:AG106)</f>
        <v>0</v>
      </c>
    </row>
    <row r="107" customFormat="false" ht="15" hidden="false" customHeight="false" outlineLevel="2" collapsed="false">
      <c r="A107" s="8" t="s">
        <v>1447</v>
      </c>
      <c r="B107" s="12" t="s">
        <v>1448</v>
      </c>
      <c r="C107" s="8" t="s">
        <v>1319</v>
      </c>
      <c r="D107" s="12" t="s">
        <v>1320</v>
      </c>
      <c r="E107" s="16"/>
      <c r="F107" s="9" t="str">
        <f aca="false">IF($E107="","",IFERROR(INDEX(担当者マスタ!$B$2:$B$101,MATCH($E107,担当者マスタ!$A$2:$A$101,0)),"※マスタ未登録"))</f>
        <v/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f aca="false">SUM(G107:L107)</f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f aca="false">SUM(N107:S107)</f>
        <v>0</v>
      </c>
      <c r="U107" s="11" t="n">
        <v>0</v>
      </c>
      <c r="V107" s="11" t="n">
        <v>0</v>
      </c>
      <c r="W107" s="11" t="n">
        <v>130.2</v>
      </c>
      <c r="X107" s="11" t="n">
        <v>0</v>
      </c>
      <c r="Y107" s="11" t="n">
        <v>0</v>
      </c>
      <c r="Z107" s="11" t="n">
        <v>0</v>
      </c>
      <c r="AA107" s="11" t="n">
        <f aca="false">SUM(U107:Z107)</f>
        <v>130.2</v>
      </c>
      <c r="AB107" s="11" t="n">
        <v>0</v>
      </c>
      <c r="AC107" s="11" t="n">
        <v>0</v>
      </c>
      <c r="AD107" s="11" t="n">
        <v>65.896</v>
      </c>
      <c r="AE107" s="11" t="n">
        <v>0</v>
      </c>
      <c r="AF107" s="11" t="n">
        <v>0</v>
      </c>
      <c r="AG107" s="11" t="n">
        <v>0</v>
      </c>
      <c r="AH107" s="11" t="n">
        <f aca="false">SUM(AB107:AG107)</f>
        <v>65.896</v>
      </c>
    </row>
    <row r="108" customFormat="false" ht="15" hidden="false" customHeight="false" outlineLevel="2" collapsed="false">
      <c r="A108" s="8" t="s">
        <v>1449</v>
      </c>
      <c r="B108" s="12" t="s">
        <v>1450</v>
      </c>
      <c r="C108" s="8" t="s">
        <v>1319</v>
      </c>
      <c r="D108" s="12" t="s">
        <v>1320</v>
      </c>
      <c r="E108" s="16"/>
      <c r="F108" s="9" t="str">
        <f aca="false">IF($E108="","",IFERROR(INDEX(担当者マスタ!$B$2:$B$101,MATCH($E108,担当者マスタ!$A$2:$A$101,0)),"※マスタ未登録"))</f>
        <v/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f aca="false">SUM(G108:L108)</f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f aca="false">SUM(N108:S108)</f>
        <v>0</v>
      </c>
      <c r="U108" s="11" t="n">
        <v>0</v>
      </c>
      <c r="V108" s="11" t="n">
        <v>0</v>
      </c>
      <c r="W108" s="11" t="n">
        <v>153.45</v>
      </c>
      <c r="X108" s="11" t="n">
        <v>0</v>
      </c>
      <c r="Y108" s="11" t="n">
        <v>0</v>
      </c>
      <c r="Z108" s="11" t="n">
        <v>0</v>
      </c>
      <c r="AA108" s="11" t="n">
        <f aca="false">SUM(U108:Z108)</f>
        <v>153.45</v>
      </c>
      <c r="AB108" s="11" t="n">
        <v>0</v>
      </c>
      <c r="AC108" s="11" t="n">
        <v>0</v>
      </c>
      <c r="AD108" s="11" t="n">
        <v>77.265</v>
      </c>
      <c r="AE108" s="11" t="n">
        <v>0</v>
      </c>
      <c r="AF108" s="11" t="n">
        <v>0</v>
      </c>
      <c r="AG108" s="11" t="n">
        <v>0</v>
      </c>
      <c r="AH108" s="11" t="n">
        <f aca="false">SUM(AB108:AG108)</f>
        <v>77.265</v>
      </c>
    </row>
    <row r="109" customFormat="false" ht="15" hidden="false" customHeight="false" outlineLevel="2" collapsed="false">
      <c r="A109" s="8" t="s">
        <v>1451</v>
      </c>
      <c r="B109" s="12" t="s">
        <v>1452</v>
      </c>
      <c r="C109" s="8" t="s">
        <v>1319</v>
      </c>
      <c r="D109" s="12" t="s">
        <v>1320</v>
      </c>
      <c r="E109" s="16"/>
      <c r="F109" s="9" t="str">
        <f aca="false">IF($E109="","",IFERROR(INDEX(担当者マスタ!$B$2:$B$101,MATCH($E109,担当者マスタ!$A$2:$A$101,0)),"※マスタ未登録"))</f>
        <v/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f aca="false">SUM(G109:L109)</f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f aca="false">SUM(N109:S109)</f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244.126</v>
      </c>
      <c r="Z109" s="11" t="n">
        <v>0</v>
      </c>
      <c r="AA109" s="11" t="n">
        <f aca="false">SUM(U109:Z109)</f>
        <v>244.126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110.336</v>
      </c>
      <c r="AG109" s="11" t="n">
        <v>0</v>
      </c>
      <c r="AH109" s="11" t="n">
        <f aca="false">SUM(AB109:AG109)</f>
        <v>110.336</v>
      </c>
    </row>
    <row r="110" customFormat="false" ht="15" hidden="false" customHeight="false" outlineLevel="2" collapsed="false">
      <c r="A110" s="8" t="s">
        <v>1453</v>
      </c>
      <c r="B110" s="12" t="s">
        <v>1454</v>
      </c>
      <c r="C110" s="8" t="s">
        <v>1319</v>
      </c>
      <c r="D110" s="12" t="s">
        <v>1320</v>
      </c>
      <c r="E110" s="16"/>
      <c r="F110" s="9" t="str">
        <f aca="false">IF($E110="","",IFERROR(INDEX(担当者マスタ!$B$2:$B$101,MATCH($E110,担当者マスタ!$A$2:$A$101,0)),"※マスタ未登録"))</f>
        <v/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f aca="false">SUM(G110:L110)</f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f aca="false">SUM(N110:S110)</f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315.426</v>
      </c>
      <c r="Z110" s="11" t="n">
        <v>0</v>
      </c>
      <c r="AA110" s="11" t="n">
        <f aca="false">SUM(U110:Z110)</f>
        <v>315.426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144.966</v>
      </c>
      <c r="AG110" s="11" t="n">
        <v>0</v>
      </c>
      <c r="AH110" s="11" t="n">
        <f aca="false">SUM(AB110:AG110)</f>
        <v>144.966</v>
      </c>
    </row>
    <row r="111" customFormat="false" ht="15" hidden="false" customHeight="false" outlineLevel="2" collapsed="false">
      <c r="A111" s="8" t="s">
        <v>1455</v>
      </c>
      <c r="B111" s="9" t="s">
        <v>1456</v>
      </c>
      <c r="C111" s="8" t="s">
        <v>1319</v>
      </c>
      <c r="D111" s="12" t="s">
        <v>1320</v>
      </c>
      <c r="E111" s="16"/>
      <c r="F111" s="9" t="str">
        <f aca="false">IF($E111="","",IFERROR(INDEX(担当者マスタ!$B$2:$B$101,MATCH($E111,担当者マスタ!$A$2:$A$101,0)),"※マスタ未登録"))</f>
        <v/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f aca="false">SUM(G111:L111)</f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f aca="false">SUM(N111:S111)</f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153.45</v>
      </c>
      <c r="AA111" s="11" t="n">
        <f aca="false">SUM(U111:Z111)</f>
        <v>153.45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76.743</v>
      </c>
      <c r="AH111" s="11" t="n">
        <f aca="false">SUM(AB111:AG111)</f>
        <v>76.743</v>
      </c>
    </row>
    <row r="112" customFormat="false" ht="15" hidden="false" customHeight="false" outlineLevel="2" collapsed="false">
      <c r="A112" s="8" t="s">
        <v>1457</v>
      </c>
      <c r="B112" s="9" t="s">
        <v>1458</v>
      </c>
      <c r="C112" s="8" t="s">
        <v>1319</v>
      </c>
      <c r="D112" s="12" t="s">
        <v>1320</v>
      </c>
      <c r="E112" s="16"/>
      <c r="F112" s="9" t="str">
        <f aca="false">IF($E112="","",IFERROR(INDEX(担当者マスタ!$B$2:$B$101,MATCH($E112,担当者マスタ!$A$2:$A$101,0)),"※マスタ未登録"))</f>
        <v/>
      </c>
      <c r="G112" s="11" t="n">
        <v>253.75</v>
      </c>
      <c r="H112" s="11" t="n">
        <v>115</v>
      </c>
      <c r="I112" s="11" t="n">
        <v>87.6</v>
      </c>
      <c r="J112" s="11" t="n">
        <v>22.95</v>
      </c>
      <c r="K112" s="11" t="n">
        <v>35.95</v>
      </c>
      <c r="L112" s="11" t="n">
        <v>21.9</v>
      </c>
      <c r="M112" s="11" t="n">
        <f aca="false">SUM(G112:L112)</f>
        <v>537.15</v>
      </c>
      <c r="N112" s="11" t="n">
        <v>237.569</v>
      </c>
      <c r="O112" s="11" t="n">
        <v>107.977</v>
      </c>
      <c r="P112" s="11" t="n">
        <v>78.82</v>
      </c>
      <c r="Q112" s="11" t="n">
        <v>22.95</v>
      </c>
      <c r="R112" s="11" t="n">
        <v>30.682</v>
      </c>
      <c r="S112" s="11" t="n">
        <v>20.144</v>
      </c>
      <c r="T112" s="11" t="n">
        <f aca="false">SUM(N112:S112)</f>
        <v>498.142</v>
      </c>
      <c r="U112" s="11" t="n">
        <v>46.3</v>
      </c>
      <c r="V112" s="11" t="n">
        <v>100.35</v>
      </c>
      <c r="W112" s="11" t="n">
        <v>116.25</v>
      </c>
      <c r="X112" s="11" t="n">
        <v>80.85</v>
      </c>
      <c r="Y112" s="11" t="n">
        <v>100.55</v>
      </c>
      <c r="Z112" s="11" t="n">
        <v>140</v>
      </c>
      <c r="AA112" s="11" t="n">
        <f aca="false">SUM(U112:Z112)</f>
        <v>584.3</v>
      </c>
      <c r="AB112" s="11" t="n">
        <v>46.3</v>
      </c>
      <c r="AC112" s="11" t="n">
        <v>100.35</v>
      </c>
      <c r="AD112" s="11" t="n">
        <v>116.25</v>
      </c>
      <c r="AE112" s="11" t="n">
        <v>80.85</v>
      </c>
      <c r="AF112" s="11" t="n">
        <v>100.55</v>
      </c>
      <c r="AG112" s="11" t="n">
        <v>140</v>
      </c>
      <c r="AH112" s="11" t="n">
        <f aca="false">SUM(AB112:AG112)</f>
        <v>584.3</v>
      </c>
    </row>
    <row r="113" customFormat="false" ht="15" hidden="false" customHeight="false" outlineLevel="2" collapsed="false">
      <c r="A113" s="8" t="s">
        <v>1459</v>
      </c>
      <c r="B113" s="12" t="s">
        <v>1460</v>
      </c>
      <c r="C113" s="8" t="s">
        <v>1319</v>
      </c>
      <c r="D113" s="12" t="s">
        <v>1320</v>
      </c>
      <c r="E113" s="16"/>
      <c r="F113" s="9" t="str">
        <f aca="false">IF($E113="","",IFERROR(INDEX(担当者マスタ!$B$2:$B$101,MATCH($E113,担当者マスタ!$A$2:$A$101,0)),"※マスタ未登録"))</f>
        <v/>
      </c>
      <c r="G113" s="11" t="n">
        <v>0</v>
      </c>
      <c r="H113" s="11" t="n">
        <v>0</v>
      </c>
      <c r="I113" s="11" t="n">
        <v>0</v>
      </c>
      <c r="J113" s="11" t="n">
        <v>78.2</v>
      </c>
      <c r="K113" s="11" t="n">
        <v>40.85</v>
      </c>
      <c r="L113" s="11" t="n">
        <v>49.19</v>
      </c>
      <c r="M113" s="11" t="n">
        <f aca="false">SUM(G113:L113)</f>
        <v>168.24</v>
      </c>
      <c r="N113" s="11" t="n">
        <v>0</v>
      </c>
      <c r="O113" s="11" t="n">
        <v>0</v>
      </c>
      <c r="P113" s="11" t="n">
        <v>0</v>
      </c>
      <c r="Q113" s="11" t="n">
        <v>78.2</v>
      </c>
      <c r="R113" s="11" t="n">
        <v>40.85</v>
      </c>
      <c r="S113" s="11" t="n">
        <v>45.71</v>
      </c>
      <c r="T113" s="11" t="n">
        <f aca="false">SUM(N113:S113)</f>
        <v>164.76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6.54</v>
      </c>
      <c r="Z113" s="11" t="n">
        <v>0</v>
      </c>
      <c r="AA113" s="11" t="n">
        <f aca="false">SUM(U113:Z113)</f>
        <v>6.54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2.88</v>
      </c>
      <c r="AG113" s="11" t="n">
        <v>0</v>
      </c>
      <c r="AH113" s="11" t="n">
        <f aca="false">SUM(AB113:AG113)</f>
        <v>2.88</v>
      </c>
    </row>
    <row r="114" customFormat="false" ht="15" hidden="false" customHeight="false" outlineLevel="2" collapsed="false">
      <c r="A114" s="8" t="s">
        <v>1461</v>
      </c>
      <c r="B114" s="12" t="s">
        <v>1462</v>
      </c>
      <c r="C114" s="8" t="s">
        <v>1319</v>
      </c>
      <c r="D114" s="12" t="s">
        <v>1320</v>
      </c>
      <c r="E114" s="16"/>
      <c r="F114" s="9" t="str">
        <f aca="false">IF($E114="","",IFERROR(INDEX(担当者マスタ!$B$2:$B$101,MATCH($E114,担当者マスタ!$A$2:$A$101,0)),"※マスタ未登録"))</f>
        <v/>
      </c>
      <c r="G114" s="11" t="n">
        <v>53</v>
      </c>
      <c r="H114" s="11" t="n">
        <v>88.734</v>
      </c>
      <c r="I114" s="11" t="n">
        <v>44.2</v>
      </c>
      <c r="J114" s="11" t="n">
        <v>39.8</v>
      </c>
      <c r="K114" s="11" t="n">
        <v>150.6</v>
      </c>
      <c r="L114" s="11" t="n">
        <v>231.6</v>
      </c>
      <c r="M114" s="11" t="n">
        <f aca="false">SUM(G114:L114)</f>
        <v>607.934</v>
      </c>
      <c r="N114" s="11" t="n">
        <v>53</v>
      </c>
      <c r="O114" s="11" t="n">
        <v>88.302</v>
      </c>
      <c r="P114" s="11" t="n">
        <v>44.2</v>
      </c>
      <c r="Q114" s="11" t="n">
        <v>39.8</v>
      </c>
      <c r="R114" s="11" t="n">
        <v>150.6</v>
      </c>
      <c r="S114" s="11" t="n">
        <v>231.6</v>
      </c>
      <c r="T114" s="11" t="n">
        <f aca="false">SUM(N114:S114)</f>
        <v>607.502</v>
      </c>
      <c r="U114" s="11" t="n">
        <v>0</v>
      </c>
      <c r="V114" s="11" t="n">
        <v>0</v>
      </c>
      <c r="W114" s="11" t="n">
        <v>0</v>
      </c>
      <c r="X114" s="11" t="n">
        <v>1.014</v>
      </c>
      <c r="Y114" s="11" t="n">
        <v>0</v>
      </c>
      <c r="Z114" s="11" t="n">
        <v>0</v>
      </c>
      <c r="AA114" s="11" t="n">
        <f aca="false">SUM(U114:Z114)</f>
        <v>1.014</v>
      </c>
      <c r="AB114" s="11" t="n">
        <v>0</v>
      </c>
      <c r="AC114" s="11" t="n">
        <v>0</v>
      </c>
      <c r="AD114" s="11" t="n">
        <v>0</v>
      </c>
      <c r="AE114" s="11" t="n">
        <v>0.386</v>
      </c>
      <c r="AF114" s="11" t="n">
        <v>0</v>
      </c>
      <c r="AG114" s="11" t="n">
        <v>0</v>
      </c>
      <c r="AH114" s="11" t="n">
        <f aca="false">SUM(AB114:AG114)</f>
        <v>0.386</v>
      </c>
    </row>
    <row r="115" customFormat="false" ht="15" hidden="false" customHeight="false" outlineLevel="2" collapsed="false">
      <c r="A115" s="8" t="s">
        <v>1463</v>
      </c>
      <c r="B115" s="12" t="s">
        <v>1464</v>
      </c>
      <c r="C115" s="8" t="s">
        <v>1319</v>
      </c>
      <c r="D115" s="12" t="s">
        <v>1320</v>
      </c>
      <c r="E115" s="16"/>
      <c r="F115" s="9" t="str">
        <f aca="false">IF($E115="","",IFERROR(INDEX(担当者マスタ!$B$2:$B$101,MATCH($E115,担当者マスタ!$A$2:$A$101,0)),"※マスタ未登録"))</f>
        <v/>
      </c>
      <c r="G115" s="11" t="n">
        <v>168.28</v>
      </c>
      <c r="H115" s="11" t="n">
        <v>81.8</v>
      </c>
      <c r="I115" s="11" t="n">
        <v>64.71</v>
      </c>
      <c r="J115" s="11" t="n">
        <v>39.81</v>
      </c>
      <c r="K115" s="11" t="n">
        <v>31.147</v>
      </c>
      <c r="L115" s="11" t="n">
        <v>37.86</v>
      </c>
      <c r="M115" s="11" t="n">
        <f aca="false">SUM(G115:L115)</f>
        <v>423.607</v>
      </c>
      <c r="N115" s="11" t="n">
        <v>168.28</v>
      </c>
      <c r="O115" s="11" t="n">
        <v>81.8</v>
      </c>
      <c r="P115" s="11" t="n">
        <v>64.71</v>
      </c>
      <c r="Q115" s="11" t="n">
        <v>39.81</v>
      </c>
      <c r="R115" s="11" t="n">
        <v>31.147</v>
      </c>
      <c r="S115" s="11" t="n">
        <v>37.86</v>
      </c>
      <c r="T115" s="11" t="n">
        <f aca="false">SUM(N115:S115)</f>
        <v>423.607</v>
      </c>
      <c r="U115" s="11" t="n">
        <v>93.73</v>
      </c>
      <c r="V115" s="11" t="n">
        <v>75.36</v>
      </c>
      <c r="W115" s="11" t="n">
        <v>55.717</v>
      </c>
      <c r="X115" s="11" t="n">
        <v>55.08</v>
      </c>
      <c r="Y115" s="11" t="n">
        <v>31.59</v>
      </c>
      <c r="Z115" s="11" t="n">
        <v>35.886</v>
      </c>
      <c r="AA115" s="11" t="n">
        <f aca="false">SUM(U115:Z115)</f>
        <v>347.363</v>
      </c>
      <c r="AB115" s="11" t="n">
        <v>93.73</v>
      </c>
      <c r="AC115" s="11" t="n">
        <v>75.36</v>
      </c>
      <c r="AD115" s="11" t="n">
        <v>55.717</v>
      </c>
      <c r="AE115" s="11" t="n">
        <v>55.08</v>
      </c>
      <c r="AF115" s="11" t="n">
        <v>31.59</v>
      </c>
      <c r="AG115" s="11" t="n">
        <v>35.886</v>
      </c>
      <c r="AH115" s="11" t="n">
        <f aca="false">SUM(AB115:AG115)</f>
        <v>347.363</v>
      </c>
    </row>
    <row r="116" customFormat="false" ht="15" hidden="false" customHeight="false" outlineLevel="2" collapsed="false">
      <c r="A116" s="8" t="s">
        <v>1465</v>
      </c>
      <c r="B116" s="12" t="s">
        <v>1466</v>
      </c>
      <c r="C116" s="8" t="s">
        <v>1319</v>
      </c>
      <c r="D116" s="12" t="s">
        <v>1320</v>
      </c>
      <c r="E116" s="16"/>
      <c r="F116" s="9" t="str">
        <f aca="false">IF($E116="","",IFERROR(INDEX(担当者マスタ!$B$2:$B$101,MATCH($E116,担当者マスタ!$A$2:$A$101,0)),"※マスタ未登録"))</f>
        <v/>
      </c>
      <c r="G116" s="11" t="n">
        <v>46.5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f aca="false">SUM(G116:L116)</f>
        <v>46.5</v>
      </c>
      <c r="N116" s="11" t="n">
        <v>44.767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f aca="false">SUM(N116:S116)</f>
        <v>44.767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f aca="false">SUM(U116:Z116)</f>
        <v>0</v>
      </c>
      <c r="AB116" s="11" t="n">
        <v>0</v>
      </c>
      <c r="AC116" s="11" t="n">
        <v>0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f aca="false">SUM(AB116:AG116)</f>
        <v>0</v>
      </c>
    </row>
    <row r="117" customFormat="false" ht="15" hidden="false" customHeight="false" outlineLevel="2" collapsed="false">
      <c r="A117" s="8" t="s">
        <v>1467</v>
      </c>
      <c r="B117" s="12" t="s">
        <v>1468</v>
      </c>
      <c r="C117" s="8" t="s">
        <v>1319</v>
      </c>
      <c r="D117" s="12" t="s">
        <v>1320</v>
      </c>
      <c r="E117" s="16"/>
      <c r="F117" s="9" t="str">
        <f aca="false">IF($E117="","",IFERROR(INDEX(担当者マスタ!$B$2:$B$101,MATCH($E117,担当者マスタ!$A$2:$A$101,0)),"※マスタ未登録"))</f>
        <v/>
      </c>
      <c r="G117" s="11" t="n">
        <v>324.61</v>
      </c>
      <c r="H117" s="11" t="n">
        <v>312.33</v>
      </c>
      <c r="I117" s="11" t="n">
        <v>180.11</v>
      </c>
      <c r="J117" s="11" t="n">
        <v>172.49</v>
      </c>
      <c r="K117" s="11" t="n">
        <v>148.23</v>
      </c>
      <c r="L117" s="11" t="n">
        <v>179.46</v>
      </c>
      <c r="M117" s="11" t="n">
        <f aca="false">SUM(G117:L117)</f>
        <v>1317.23</v>
      </c>
      <c r="N117" s="11" t="n">
        <v>249.474</v>
      </c>
      <c r="O117" s="11" t="n">
        <v>233.087</v>
      </c>
      <c r="P117" s="11" t="n">
        <v>135.951</v>
      </c>
      <c r="Q117" s="11" t="n">
        <v>128.57</v>
      </c>
      <c r="R117" s="11" t="n">
        <v>111.774</v>
      </c>
      <c r="S117" s="11" t="n">
        <v>134.542</v>
      </c>
      <c r="T117" s="11" t="n">
        <f aca="false">SUM(N117:S117)</f>
        <v>993.398</v>
      </c>
      <c r="U117" s="11" t="n">
        <v>195.94</v>
      </c>
      <c r="V117" s="11" t="n">
        <v>306.73</v>
      </c>
      <c r="W117" s="11" t="n">
        <v>337.05</v>
      </c>
      <c r="X117" s="11" t="n">
        <v>186.82</v>
      </c>
      <c r="Y117" s="11" t="n">
        <v>150.18</v>
      </c>
      <c r="Z117" s="11" t="n">
        <v>57.86</v>
      </c>
      <c r="AA117" s="11" t="n">
        <f aca="false">SUM(U117:Z117)</f>
        <v>1234.58</v>
      </c>
      <c r="AB117" s="11" t="n">
        <v>160.176</v>
      </c>
      <c r="AC117" s="11" t="n">
        <v>251.71</v>
      </c>
      <c r="AD117" s="11" t="n">
        <v>271.931</v>
      </c>
      <c r="AE117" s="11" t="n">
        <v>147.973</v>
      </c>
      <c r="AF117" s="11" t="n">
        <v>111.406</v>
      </c>
      <c r="AG117" s="11" t="n">
        <v>43.001</v>
      </c>
      <c r="AH117" s="11" t="n">
        <f aca="false">SUM(AB117:AG117)</f>
        <v>986.197</v>
      </c>
    </row>
    <row r="118" customFormat="false" ht="15" hidden="false" customHeight="false" outlineLevel="1" collapsed="false">
      <c r="A118" s="19"/>
      <c r="B118" s="19"/>
      <c r="C118" s="17" t="s">
        <v>1938</v>
      </c>
      <c r="D118" s="19" t="s">
        <v>1320</v>
      </c>
      <c r="E118" s="19"/>
      <c r="F118" s="19"/>
      <c r="G118" s="18" t="n">
        <f aca="false">SUBTOTAL(9,G43:G117)</f>
        <v>7510.666</v>
      </c>
      <c r="H118" s="18" t="n">
        <f aca="false">SUBTOTAL(9,H43:H117)</f>
        <v>4196.93</v>
      </c>
      <c r="I118" s="18" t="n">
        <f aca="false">SUBTOTAL(9,I43:I117)</f>
        <v>2706.666</v>
      </c>
      <c r="J118" s="18" t="n">
        <f aca="false">SUBTOTAL(9,J43:J117)</f>
        <v>3420.63</v>
      </c>
      <c r="K118" s="18" t="n">
        <f aca="false">SUBTOTAL(9,K43:K117)</f>
        <v>1710.847</v>
      </c>
      <c r="L118" s="18" t="n">
        <f aca="false">SUBTOTAL(9,L43:L117)</f>
        <v>2077.47</v>
      </c>
      <c r="M118" s="18" t="n">
        <f aca="false">SUBTOTAL(9,M43:M117)</f>
        <v>21623.209</v>
      </c>
      <c r="N118" s="18" t="n">
        <f aca="false">SUBTOTAL(9,N43:N117)</f>
        <v>4147.866</v>
      </c>
      <c r="O118" s="18" t="n">
        <f aca="false">SUBTOTAL(9,O43:O117)</f>
        <v>2193.599</v>
      </c>
      <c r="P118" s="18" t="n">
        <f aca="false">SUBTOTAL(9,P43:P117)</f>
        <v>1445.179</v>
      </c>
      <c r="Q118" s="18" t="n">
        <f aca="false">SUBTOTAL(9,Q43:Q117)</f>
        <v>1843.419</v>
      </c>
      <c r="R118" s="18" t="n">
        <f aca="false">SUBTOTAL(9,R43:R117)</f>
        <v>977.226</v>
      </c>
      <c r="S118" s="18" t="n">
        <f aca="false">SUBTOTAL(9,S43:S117)</f>
        <v>1073.034</v>
      </c>
      <c r="T118" s="18" t="n">
        <f aca="false">SUBTOTAL(9,T43:T117)</f>
        <v>11680.323</v>
      </c>
      <c r="U118" s="18" t="n">
        <f aca="false">SUBTOTAL(9,U43:U117)</f>
        <v>3887.698</v>
      </c>
      <c r="V118" s="18" t="n">
        <f aca="false">SUBTOTAL(9,V43:V117)</f>
        <v>5182.319</v>
      </c>
      <c r="W118" s="18" t="n">
        <f aca="false">SUBTOTAL(9,W43:W117)</f>
        <v>4832.152</v>
      </c>
      <c r="X118" s="18" t="n">
        <f aca="false">SUBTOTAL(9,X43:X117)</f>
        <v>3685.496</v>
      </c>
      <c r="Y118" s="18" t="n">
        <f aca="false">SUBTOTAL(9,Y43:Y117)</f>
        <v>4126.128</v>
      </c>
      <c r="Z118" s="18" t="n">
        <f aca="false">SUBTOTAL(9,Z43:Z117)</f>
        <v>2928.846</v>
      </c>
      <c r="AA118" s="18" t="n">
        <f aca="false">SUBTOTAL(9,AA43:AA117)</f>
        <v>24642.639</v>
      </c>
      <c r="AB118" s="18" t="n">
        <f aca="false">SUBTOTAL(9,AB43:AB117)</f>
        <v>2165.532</v>
      </c>
      <c r="AC118" s="18" t="n">
        <f aca="false">SUBTOTAL(9,AC43:AC117)</f>
        <v>2918.837</v>
      </c>
      <c r="AD118" s="18" t="n">
        <f aca="false">SUBTOTAL(9,AD43:AD117)</f>
        <v>2556.527</v>
      </c>
      <c r="AE118" s="18" t="n">
        <f aca="false">SUBTOTAL(9,AE43:AE117)</f>
        <v>1943.08</v>
      </c>
      <c r="AF118" s="18" t="n">
        <f aca="false">SUBTOTAL(9,AF43:AF117)</f>
        <v>2120.936</v>
      </c>
      <c r="AG118" s="18" t="n">
        <f aca="false">SUBTOTAL(9,AG43:AG117)</f>
        <v>1502.911</v>
      </c>
      <c r="AH118" s="18" t="n">
        <f aca="false">SUBTOTAL(9,AH43:AH117)</f>
        <v>13207.823</v>
      </c>
    </row>
    <row r="119" customFormat="false" ht="15" hidden="false" customHeight="false" outlineLevel="0" collapsed="false">
      <c r="A119" s="14"/>
      <c r="B119" s="14"/>
      <c r="C119" s="14" t="s">
        <v>1929</v>
      </c>
      <c r="D119" s="14"/>
      <c r="E119" s="14"/>
      <c r="F119" s="14"/>
      <c r="G119" s="15" t="n">
        <f aca="false">SUBTOTAL(9,G2:G118)</f>
        <v>48262.182</v>
      </c>
      <c r="H119" s="15" t="n">
        <f aca="false">SUBTOTAL(9,H2:H118)</f>
        <v>39463.691</v>
      </c>
      <c r="I119" s="15" t="n">
        <f aca="false">SUBTOTAL(9,I2:I118)</f>
        <v>23814.872</v>
      </c>
      <c r="J119" s="15" t="n">
        <f aca="false">SUBTOTAL(9,J2:J118)</f>
        <v>27112.075</v>
      </c>
      <c r="K119" s="15" t="n">
        <f aca="false">SUBTOTAL(9,K2:K118)</f>
        <v>25301.812</v>
      </c>
      <c r="L119" s="15" t="n">
        <f aca="false">SUBTOTAL(9,L2:L118)</f>
        <v>31823.205</v>
      </c>
      <c r="M119" s="15" t="n">
        <f aca="false">SUBTOTAL(9,M2:M118)</f>
        <v>195777.837</v>
      </c>
      <c r="N119" s="15" t="n">
        <f aca="false">SUBTOTAL(9,N2:N118)</f>
        <v>14339.964</v>
      </c>
      <c r="O119" s="15" t="n">
        <f aca="false">SUBTOTAL(9,O2:O118)</f>
        <v>12439.69</v>
      </c>
      <c r="P119" s="15" t="n">
        <f aca="false">SUBTOTAL(9,P2:P118)</f>
        <v>6822.457</v>
      </c>
      <c r="Q119" s="15" t="n">
        <f aca="false">SUBTOTAL(9,Q2:Q118)</f>
        <v>7639.035</v>
      </c>
      <c r="R119" s="15" t="n">
        <f aca="false">SUBTOTAL(9,R2:R118)</f>
        <v>7071.476</v>
      </c>
      <c r="S119" s="15" t="n">
        <f aca="false">SUBTOTAL(9,S2:S118)</f>
        <v>8266.404</v>
      </c>
      <c r="T119" s="15" t="n">
        <f aca="false">SUBTOTAL(9,T2:T118)</f>
        <v>56579.026</v>
      </c>
      <c r="U119" s="15" t="n">
        <f aca="false">SUBTOTAL(9,U2:U118)</f>
        <v>52548.781</v>
      </c>
      <c r="V119" s="15" t="n">
        <f aca="false">SUBTOTAL(9,V2:V118)</f>
        <v>52618.409</v>
      </c>
      <c r="W119" s="15" t="n">
        <f aca="false">SUBTOTAL(9,W2:W118)</f>
        <v>39032.913</v>
      </c>
      <c r="X119" s="15" t="n">
        <f aca="false">SUBTOTAL(9,X2:X118)</f>
        <v>23212.419</v>
      </c>
      <c r="Y119" s="15" t="n">
        <f aca="false">SUBTOTAL(9,Y2:Y118)</f>
        <v>32019.216</v>
      </c>
      <c r="Z119" s="15" t="n">
        <f aca="false">SUBTOTAL(9,Z2:Z118)</f>
        <v>49656.106</v>
      </c>
      <c r="AA119" s="15" t="n">
        <f aca="false">SUBTOTAL(9,AA2:AA118)</f>
        <v>249087.844</v>
      </c>
      <c r="AB119" s="15" t="n">
        <f aca="false">SUBTOTAL(9,AB2:AB118)</f>
        <v>16257.22</v>
      </c>
      <c r="AC119" s="15" t="n">
        <f aca="false">SUBTOTAL(9,AC2:AC118)</f>
        <v>17861.143</v>
      </c>
      <c r="AD119" s="15" t="n">
        <f aca="false">SUBTOTAL(9,AD2:AD118)</f>
        <v>12931.409</v>
      </c>
      <c r="AE119" s="15" t="n">
        <f aca="false">SUBTOTAL(9,AE2:AE118)</f>
        <v>8138.285</v>
      </c>
      <c r="AF119" s="15" t="n">
        <f aca="false">SUBTOTAL(9,AF2:AF118)</f>
        <v>10516.517</v>
      </c>
      <c r="AG119" s="15" t="n">
        <f aca="false">SUBTOTAL(9,AG2:AG118)</f>
        <v>14774.048</v>
      </c>
      <c r="AH119" s="15" t="n">
        <f aca="false">SUBTOTAL(9,AH2:AH118)</f>
        <v>80478.622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15"/>
    <col collapsed="false" customWidth="true" hidden="false" outlineLevel="0" max="2" min="2" style="0" width="26.5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5"/>
    <col collapsed="false" customWidth="true" hidden="false" outlineLevel="0" max="6" min="6" style="0" width="14.75"/>
    <col collapsed="false" customWidth="true" hidden="false" outlineLevel="0" max="12" min="7" style="0" width="11"/>
    <col collapsed="false" customWidth="true" hidden="false" outlineLevel="0" max="13" min="13" style="0" width="12.5"/>
    <col collapsed="false" customWidth="true" hidden="false" outlineLevel="0" max="19" min="14" style="0" width="11"/>
    <col collapsed="false" customWidth="true" hidden="false" outlineLevel="0" max="20" min="20" style="0" width="12.5"/>
    <col collapsed="false" customWidth="true" hidden="false" outlineLevel="0" max="26" min="21" style="0" width="11"/>
    <col collapsed="false" customWidth="true" hidden="false" outlineLevel="0" max="27" min="27" style="0" width="12.5"/>
    <col collapsed="false" customWidth="true" hidden="false" outlineLevel="0" max="33" min="28" style="0" width="11"/>
    <col collapsed="false" customWidth="true" hidden="false" outlineLevel="0" max="34" min="34" style="0" width="12.5"/>
  </cols>
  <sheetData>
    <row r="1" customFormat="false" ht="37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6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6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6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6" t="s">
        <v>54</v>
      </c>
    </row>
    <row r="2" customFormat="false" ht="15" hidden="false" customHeight="false" outlineLevel="2" collapsed="false">
      <c r="A2" s="8" t="s">
        <v>1188</v>
      </c>
      <c r="B2" s="12" t="s">
        <v>1189</v>
      </c>
      <c r="C2" s="8" t="s">
        <v>1190</v>
      </c>
      <c r="D2" s="12" t="s">
        <v>1191</v>
      </c>
      <c r="E2" s="16"/>
      <c r="F2" s="9" t="str">
        <f aca="false">IF($E2="","",IFERROR(INDEX(担当者マスタ!$B$2:$B$101,MATCH($E2,担当者マスタ!$A$2:$A$101,0)),"※マスタ未登録"))</f>
        <v/>
      </c>
      <c r="G2" s="11" t="n">
        <v>1530.202</v>
      </c>
      <c r="H2" s="11" t="n">
        <v>1331.485</v>
      </c>
      <c r="I2" s="11" t="n">
        <v>1865.623</v>
      </c>
      <c r="J2" s="11" t="n">
        <v>394.99</v>
      </c>
      <c r="K2" s="11" t="n">
        <v>1245.073</v>
      </c>
      <c r="L2" s="11" t="n">
        <v>1051.65</v>
      </c>
      <c r="M2" s="11" t="n">
        <f aca="false">SUM(G2:L2)</f>
        <v>7419.023</v>
      </c>
      <c r="N2" s="11" t="n">
        <v>176.074</v>
      </c>
      <c r="O2" s="11" t="n">
        <v>155.217</v>
      </c>
      <c r="P2" s="11" t="n">
        <v>216.279</v>
      </c>
      <c r="Q2" s="11" t="n">
        <v>32.626</v>
      </c>
      <c r="R2" s="11" t="n">
        <v>125.93</v>
      </c>
      <c r="S2" s="11" t="n">
        <v>125.627</v>
      </c>
      <c r="T2" s="11" t="n">
        <f aca="false">SUM(N2:S2)</f>
        <v>831.753</v>
      </c>
      <c r="U2" s="11" t="n">
        <v>889.595</v>
      </c>
      <c r="V2" s="11" t="n">
        <v>897.82</v>
      </c>
      <c r="W2" s="11" t="n">
        <v>1410.589</v>
      </c>
      <c r="X2" s="11" t="n">
        <v>691.51</v>
      </c>
      <c r="Y2" s="11" t="n">
        <v>1010.252</v>
      </c>
      <c r="Z2" s="11" t="n">
        <v>981.539</v>
      </c>
      <c r="AA2" s="11" t="n">
        <f aca="false">SUM(U2:Z2)</f>
        <v>5881.305</v>
      </c>
      <c r="AB2" s="11" t="n">
        <v>58.735</v>
      </c>
      <c r="AC2" s="11" t="n">
        <v>65.553</v>
      </c>
      <c r="AD2" s="11" t="n">
        <v>134.763</v>
      </c>
      <c r="AE2" s="11" t="n">
        <v>77.664</v>
      </c>
      <c r="AF2" s="11" t="n">
        <v>84.594</v>
      </c>
      <c r="AG2" s="11" t="n">
        <v>76.589</v>
      </c>
      <c r="AH2" s="11" t="n">
        <f aca="false">SUM(AB2:AG2)</f>
        <v>497.898</v>
      </c>
    </row>
    <row r="3" customFormat="false" ht="15" hidden="false" customHeight="false" outlineLevel="2" collapsed="false">
      <c r="A3" s="8" t="s">
        <v>1193</v>
      </c>
      <c r="B3" s="12" t="s">
        <v>1194</v>
      </c>
      <c r="C3" s="8" t="s">
        <v>1190</v>
      </c>
      <c r="D3" s="12" t="s">
        <v>1191</v>
      </c>
      <c r="E3" s="16"/>
      <c r="F3" s="9" t="str">
        <f aca="false">IF($E3="","",IFERROR(INDEX(担当者マスタ!$B$2:$B$101,MATCH($E3,担当者マスタ!$A$2:$A$101,0)),"※マスタ未登録"))</f>
        <v/>
      </c>
      <c r="G3" s="11" t="n">
        <v>27357.149</v>
      </c>
      <c r="H3" s="11" t="n">
        <v>29842.14</v>
      </c>
      <c r="I3" s="11" t="n">
        <v>35394.144</v>
      </c>
      <c r="J3" s="11" t="n">
        <v>28095.015</v>
      </c>
      <c r="K3" s="11" t="n">
        <v>29989.885</v>
      </c>
      <c r="L3" s="11" t="n">
        <v>33407.761</v>
      </c>
      <c r="M3" s="11" t="n">
        <f aca="false">SUM(G3:L3)</f>
        <v>184086.094</v>
      </c>
      <c r="N3" s="11" t="n">
        <v>3739.394</v>
      </c>
      <c r="O3" s="11" t="n">
        <v>4189.368</v>
      </c>
      <c r="P3" s="11" t="n">
        <v>5089.205</v>
      </c>
      <c r="Q3" s="11" t="n">
        <v>3916.215</v>
      </c>
      <c r="R3" s="11" t="n">
        <v>4233.37</v>
      </c>
      <c r="S3" s="11" t="n">
        <v>5641.747</v>
      </c>
      <c r="T3" s="11" t="n">
        <f aca="false">SUM(N3:S3)</f>
        <v>26809.299</v>
      </c>
      <c r="U3" s="11" t="n">
        <v>28564.537</v>
      </c>
      <c r="V3" s="11" t="n">
        <v>30135.229</v>
      </c>
      <c r="W3" s="11" t="n">
        <v>37931.299</v>
      </c>
      <c r="X3" s="11" t="n">
        <v>26226.4</v>
      </c>
      <c r="Y3" s="11" t="n">
        <v>27549.329</v>
      </c>
      <c r="Z3" s="11" t="n">
        <v>29111.012</v>
      </c>
      <c r="AA3" s="11" t="n">
        <f aca="false">SUM(U3:Z3)</f>
        <v>179517.806</v>
      </c>
      <c r="AB3" s="11" t="n">
        <v>3889.708</v>
      </c>
      <c r="AC3" s="11" t="n">
        <v>4241.439</v>
      </c>
      <c r="AD3" s="11" t="n">
        <v>5138.571</v>
      </c>
      <c r="AE3" s="11" t="n">
        <v>3462.655</v>
      </c>
      <c r="AF3" s="11" t="n">
        <v>3900.067</v>
      </c>
      <c r="AG3" s="11" t="n">
        <v>5139.252</v>
      </c>
      <c r="AH3" s="11" t="n">
        <f aca="false">SUM(AB3:AG3)</f>
        <v>25771.692</v>
      </c>
    </row>
    <row r="4" customFormat="false" ht="15" hidden="false" customHeight="false" outlineLevel="2" collapsed="false">
      <c r="A4" s="8" t="s">
        <v>1195</v>
      </c>
      <c r="B4" s="12" t="s">
        <v>1194</v>
      </c>
      <c r="C4" s="8" t="s">
        <v>1190</v>
      </c>
      <c r="D4" s="12" t="s">
        <v>1191</v>
      </c>
      <c r="E4" s="16"/>
      <c r="F4" s="9" t="str">
        <f aca="false">IF($E4="","",IFERROR(INDEX(担当者マスタ!$B$2:$B$101,MATCH($E4,担当者マスタ!$A$2:$A$101,0)),"※マスタ未登録"))</f>
        <v/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f aca="false">SUM(G4:L4)</f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f aca="false">SUM(N4:S4)</f>
        <v>0</v>
      </c>
      <c r="U4" s="11" t="n">
        <v>0</v>
      </c>
      <c r="V4" s="11" t="n">
        <v>3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f aca="false">SUM(U4:Z4)</f>
        <v>3</v>
      </c>
      <c r="AB4" s="11" t="n">
        <v>0</v>
      </c>
      <c r="AC4" s="11" t="n">
        <v>1.552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f aca="false">SUM(AB4:AG4)</f>
        <v>1.552</v>
      </c>
    </row>
    <row r="5" customFormat="false" ht="15" hidden="false" customHeight="false" outlineLevel="1" collapsed="false">
      <c r="A5" s="19"/>
      <c r="B5" s="19"/>
      <c r="C5" s="17" t="s">
        <v>1939</v>
      </c>
      <c r="D5" s="19" t="s">
        <v>1191</v>
      </c>
      <c r="E5" s="19"/>
      <c r="F5" s="19"/>
      <c r="G5" s="18" t="n">
        <f aca="false">SUBTOTAL(9,G2:G4)</f>
        <v>28887.351</v>
      </c>
      <c r="H5" s="18" t="n">
        <f aca="false">SUBTOTAL(9,H2:H4)</f>
        <v>31173.625</v>
      </c>
      <c r="I5" s="18" t="n">
        <f aca="false">SUBTOTAL(9,I2:I4)</f>
        <v>37259.767</v>
      </c>
      <c r="J5" s="18" t="n">
        <f aca="false">SUBTOTAL(9,J2:J4)</f>
        <v>28490.005</v>
      </c>
      <c r="K5" s="18" t="n">
        <f aca="false">SUBTOTAL(9,K2:K4)</f>
        <v>31234.958</v>
      </c>
      <c r="L5" s="18" t="n">
        <f aca="false">SUBTOTAL(9,L2:L4)</f>
        <v>34459.411</v>
      </c>
      <c r="M5" s="18" t="n">
        <f aca="false">SUBTOTAL(9,M2:M4)</f>
        <v>191505.117</v>
      </c>
      <c r="N5" s="18" t="n">
        <f aca="false">SUBTOTAL(9,N2:N4)</f>
        <v>3915.468</v>
      </c>
      <c r="O5" s="18" t="n">
        <f aca="false">SUBTOTAL(9,O2:O4)</f>
        <v>4344.585</v>
      </c>
      <c r="P5" s="18" t="n">
        <f aca="false">SUBTOTAL(9,P2:P4)</f>
        <v>5305.484</v>
      </c>
      <c r="Q5" s="18" t="n">
        <f aca="false">SUBTOTAL(9,Q2:Q4)</f>
        <v>3948.841</v>
      </c>
      <c r="R5" s="18" t="n">
        <f aca="false">SUBTOTAL(9,R2:R4)</f>
        <v>4359.3</v>
      </c>
      <c r="S5" s="18" t="n">
        <f aca="false">SUBTOTAL(9,S2:S4)</f>
        <v>5767.374</v>
      </c>
      <c r="T5" s="18" t="n">
        <f aca="false">SUBTOTAL(9,T2:T4)</f>
        <v>27641.052</v>
      </c>
      <c r="U5" s="18" t="n">
        <f aca="false">SUBTOTAL(9,U2:U4)</f>
        <v>29454.132</v>
      </c>
      <c r="V5" s="18" t="n">
        <f aca="false">SUBTOTAL(9,V2:V4)</f>
        <v>31036.049</v>
      </c>
      <c r="W5" s="18" t="n">
        <f aca="false">SUBTOTAL(9,W2:W4)</f>
        <v>39341.888</v>
      </c>
      <c r="X5" s="18" t="n">
        <f aca="false">SUBTOTAL(9,X2:X4)</f>
        <v>26917.91</v>
      </c>
      <c r="Y5" s="18" t="n">
        <f aca="false">SUBTOTAL(9,Y2:Y4)</f>
        <v>28559.581</v>
      </c>
      <c r="Z5" s="18" t="n">
        <f aca="false">SUBTOTAL(9,Z2:Z4)</f>
        <v>30092.551</v>
      </c>
      <c r="AA5" s="18" t="n">
        <f aca="false">SUBTOTAL(9,AA2:AA4)</f>
        <v>185402.111</v>
      </c>
      <c r="AB5" s="18" t="n">
        <f aca="false">SUBTOTAL(9,AB2:AB4)</f>
        <v>3948.443</v>
      </c>
      <c r="AC5" s="18" t="n">
        <f aca="false">SUBTOTAL(9,AC2:AC4)</f>
        <v>4308.544</v>
      </c>
      <c r="AD5" s="18" t="n">
        <f aca="false">SUBTOTAL(9,AD2:AD4)</f>
        <v>5273.334</v>
      </c>
      <c r="AE5" s="18" t="n">
        <f aca="false">SUBTOTAL(9,AE2:AE4)</f>
        <v>3540.319</v>
      </c>
      <c r="AF5" s="18" t="n">
        <f aca="false">SUBTOTAL(9,AF2:AF4)</f>
        <v>3984.661</v>
      </c>
      <c r="AG5" s="18" t="n">
        <f aca="false">SUBTOTAL(9,AG2:AG4)</f>
        <v>5215.841</v>
      </c>
      <c r="AH5" s="18" t="n">
        <f aca="false">SUBTOTAL(9,AH2:AH4)</f>
        <v>26271.142</v>
      </c>
    </row>
    <row r="6" customFormat="false" ht="15" hidden="false" customHeight="false" outlineLevel="2" collapsed="false">
      <c r="A6" s="8" t="s">
        <v>1196</v>
      </c>
      <c r="B6" s="12" t="s">
        <v>1197</v>
      </c>
      <c r="C6" s="8" t="s">
        <v>1198</v>
      </c>
      <c r="D6" s="12" t="s">
        <v>1199</v>
      </c>
      <c r="E6" s="16"/>
      <c r="F6" s="9" t="str">
        <f aca="false">IF($E6="","",IFERROR(INDEX(担当者マスタ!$B$2:$B$101,MATCH($E6,担当者マスタ!$A$2:$A$101,0)),"※マスタ未登録"))</f>
        <v/>
      </c>
      <c r="G6" s="11" t="n">
        <v>926.207</v>
      </c>
      <c r="H6" s="11" t="n">
        <v>759.301</v>
      </c>
      <c r="I6" s="11" t="n">
        <v>1096.286</v>
      </c>
      <c r="J6" s="11" t="n">
        <v>652.599</v>
      </c>
      <c r="K6" s="11" t="n">
        <v>449.989</v>
      </c>
      <c r="L6" s="11" t="n">
        <v>781.715</v>
      </c>
      <c r="M6" s="11" t="n">
        <f aca="false">SUM(G6:L6)</f>
        <v>4666.097</v>
      </c>
      <c r="N6" s="11" t="n">
        <v>228.524</v>
      </c>
      <c r="O6" s="11" t="n">
        <v>194.533</v>
      </c>
      <c r="P6" s="11" t="n">
        <v>245.062</v>
      </c>
      <c r="Q6" s="11" t="n">
        <v>158.8</v>
      </c>
      <c r="R6" s="11" t="n">
        <v>102.124</v>
      </c>
      <c r="S6" s="11" t="n">
        <v>196.424</v>
      </c>
      <c r="T6" s="11" t="n">
        <f aca="false">SUM(N6:S6)</f>
        <v>1125.467</v>
      </c>
      <c r="U6" s="11" t="n">
        <v>506.412</v>
      </c>
      <c r="V6" s="11" t="n">
        <v>663.9</v>
      </c>
      <c r="W6" s="11" t="n">
        <v>1205.97</v>
      </c>
      <c r="X6" s="11" t="n">
        <v>369.917</v>
      </c>
      <c r="Y6" s="11" t="n">
        <v>513.973</v>
      </c>
      <c r="Z6" s="11" t="n">
        <v>847.946</v>
      </c>
      <c r="AA6" s="11" t="n">
        <f aca="false">SUM(U6:Z6)</f>
        <v>4108.118</v>
      </c>
      <c r="AB6" s="11" t="n">
        <v>108.136</v>
      </c>
      <c r="AC6" s="11" t="n">
        <v>151.327</v>
      </c>
      <c r="AD6" s="11" t="n">
        <v>268.297</v>
      </c>
      <c r="AE6" s="11" t="n">
        <v>70.888</v>
      </c>
      <c r="AF6" s="11" t="n">
        <v>114.738</v>
      </c>
      <c r="AG6" s="11" t="n">
        <v>197.093</v>
      </c>
      <c r="AH6" s="11" t="n">
        <f aca="false">SUM(AB6:AG6)</f>
        <v>910.479</v>
      </c>
    </row>
    <row r="7" customFormat="false" ht="15" hidden="false" customHeight="false" outlineLevel="2" collapsed="false">
      <c r="A7" s="8" t="s">
        <v>1200</v>
      </c>
      <c r="B7" s="12" t="s">
        <v>1201</v>
      </c>
      <c r="C7" s="8" t="s">
        <v>1198</v>
      </c>
      <c r="D7" s="12" t="s">
        <v>1199</v>
      </c>
      <c r="E7" s="16"/>
      <c r="F7" s="9" t="str">
        <f aca="false">IF($E7="","",IFERROR(INDEX(担当者マスタ!$B$2:$B$101,MATCH($E7,担当者マスタ!$A$2:$A$101,0)),"※マスタ未登録"))</f>
        <v/>
      </c>
      <c r="G7" s="11" t="n">
        <v>37.375</v>
      </c>
      <c r="H7" s="11" t="n">
        <v>0</v>
      </c>
      <c r="I7" s="11" t="n">
        <v>109.8</v>
      </c>
      <c r="J7" s="11" t="n">
        <v>72</v>
      </c>
      <c r="K7" s="11" t="n">
        <v>97</v>
      </c>
      <c r="L7" s="11" t="n">
        <v>191.696</v>
      </c>
      <c r="M7" s="11" t="n">
        <f aca="false">SUM(G7:L7)</f>
        <v>507.871</v>
      </c>
      <c r="N7" s="11" t="n">
        <v>7.15</v>
      </c>
      <c r="O7" s="11" t="n">
        <v>0</v>
      </c>
      <c r="P7" s="11" t="n">
        <v>19.44</v>
      </c>
      <c r="Q7" s="11" t="n">
        <v>14.4</v>
      </c>
      <c r="R7" s="11" t="n">
        <v>23.4</v>
      </c>
      <c r="S7" s="11" t="n">
        <v>38.61</v>
      </c>
      <c r="T7" s="11" t="n">
        <f aca="false">SUM(N7:S7)</f>
        <v>103</v>
      </c>
      <c r="U7" s="11" t="n">
        <v>204.59</v>
      </c>
      <c r="V7" s="11" t="n">
        <v>37.03</v>
      </c>
      <c r="W7" s="11" t="n">
        <v>0</v>
      </c>
      <c r="X7" s="11" t="n">
        <v>169.3</v>
      </c>
      <c r="Y7" s="11" t="n">
        <v>159.41</v>
      </c>
      <c r="Z7" s="11" t="n">
        <v>123.41</v>
      </c>
      <c r="AA7" s="11" t="n">
        <f aca="false">SUM(U7:Z7)</f>
        <v>693.74</v>
      </c>
      <c r="AB7" s="11" t="n">
        <v>37.688</v>
      </c>
      <c r="AC7" s="11" t="n">
        <v>7.084</v>
      </c>
      <c r="AD7" s="11" t="n">
        <v>0</v>
      </c>
      <c r="AE7" s="11" t="n">
        <v>30.94</v>
      </c>
      <c r="AF7" s="11" t="n">
        <v>31.01</v>
      </c>
      <c r="AG7" s="11" t="n">
        <v>23.81</v>
      </c>
      <c r="AH7" s="11" t="n">
        <f aca="false">SUM(AB7:AG7)</f>
        <v>130.532</v>
      </c>
    </row>
    <row r="8" customFormat="false" ht="15" hidden="false" customHeight="false" outlineLevel="2" collapsed="false">
      <c r="A8" s="8" t="s">
        <v>1202</v>
      </c>
      <c r="B8" s="9" t="s">
        <v>1203</v>
      </c>
      <c r="C8" s="8" t="s">
        <v>1198</v>
      </c>
      <c r="D8" s="12" t="s">
        <v>1199</v>
      </c>
      <c r="E8" s="16"/>
      <c r="F8" s="9" t="str">
        <f aca="false">IF($E8="","",IFERROR(INDEX(担当者マスタ!$B$2:$B$101,MATCH($E8,担当者マスタ!$A$2:$A$101,0)),"※マスタ未登録"))</f>
        <v/>
      </c>
      <c r="G8" s="11" t="n">
        <v>49.09</v>
      </c>
      <c r="H8" s="11" t="n">
        <v>0</v>
      </c>
      <c r="I8" s="11" t="n">
        <v>81.1</v>
      </c>
      <c r="J8" s="11" t="n">
        <v>0</v>
      </c>
      <c r="K8" s="11" t="n">
        <v>44.1</v>
      </c>
      <c r="L8" s="11" t="n">
        <v>37</v>
      </c>
      <c r="M8" s="11" t="n">
        <f aca="false">SUM(G8:L8)</f>
        <v>211.29</v>
      </c>
      <c r="N8" s="11" t="n">
        <v>10.18</v>
      </c>
      <c r="O8" s="11" t="n">
        <v>0</v>
      </c>
      <c r="P8" s="11" t="n">
        <v>7.92</v>
      </c>
      <c r="Q8" s="11" t="n">
        <v>0</v>
      </c>
      <c r="R8" s="11" t="n">
        <v>2.52</v>
      </c>
      <c r="S8" s="11" t="n">
        <v>5.4</v>
      </c>
      <c r="T8" s="11" t="n">
        <f aca="false">SUM(N8:S8)</f>
        <v>26.02</v>
      </c>
      <c r="U8" s="11" t="n">
        <v>80.85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f aca="false">SUM(U8:Z8)</f>
        <v>80.85</v>
      </c>
      <c r="AB8" s="11" t="n">
        <v>11.55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f aca="false">SUM(AB8:AG8)</f>
        <v>11.55</v>
      </c>
    </row>
    <row r="9" customFormat="false" ht="15" hidden="false" customHeight="false" outlineLevel="2" collapsed="false">
      <c r="A9" s="8" t="s">
        <v>1204</v>
      </c>
      <c r="B9" s="12" t="s">
        <v>1205</v>
      </c>
      <c r="C9" s="8" t="s">
        <v>1198</v>
      </c>
      <c r="D9" s="12" t="s">
        <v>1199</v>
      </c>
      <c r="E9" s="16"/>
      <c r="F9" s="9" t="str">
        <f aca="false">IF($E9="","",IFERROR(INDEX(担当者マスタ!$B$2:$B$101,MATCH($E9,担当者マスタ!$A$2:$A$101,0)),"※マスタ未登録"))</f>
        <v/>
      </c>
      <c r="G9" s="11" t="n">
        <v>7.725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f aca="false">SUM(G9:L9)</f>
        <v>7.725</v>
      </c>
      <c r="N9" s="11" t="n">
        <v>0.99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f aca="false">SUM(N9:S9)</f>
        <v>0.99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f aca="false">SUM(U9:Z9)</f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f aca="false">SUM(AB9:AG9)</f>
        <v>0</v>
      </c>
    </row>
    <row r="10" customFormat="false" ht="15" hidden="false" customHeight="false" outlineLevel="2" collapsed="false">
      <c r="A10" s="8" t="s">
        <v>1206</v>
      </c>
      <c r="B10" s="12" t="s">
        <v>1207</v>
      </c>
      <c r="C10" s="8" t="s">
        <v>1198</v>
      </c>
      <c r="D10" s="12" t="s">
        <v>1199</v>
      </c>
      <c r="E10" s="16"/>
      <c r="F10" s="9" t="str">
        <f aca="false">IF($E10="","",IFERROR(INDEX(担当者マスタ!$B$2:$B$101,MATCH($E10,担当者マスタ!$A$2:$A$101,0)),"※マスタ未登録"))</f>
        <v/>
      </c>
      <c r="G10" s="11" t="n">
        <v>0</v>
      </c>
      <c r="H10" s="11" t="n">
        <v>59.968</v>
      </c>
      <c r="I10" s="11" t="n">
        <v>26.51</v>
      </c>
      <c r="J10" s="11" t="n">
        <v>2.88</v>
      </c>
      <c r="K10" s="11" t="n">
        <v>17.119</v>
      </c>
      <c r="L10" s="11" t="n">
        <v>35.247</v>
      </c>
      <c r="M10" s="11" t="n">
        <f aca="false">SUM(G10:L10)</f>
        <v>141.724</v>
      </c>
      <c r="N10" s="11" t="n">
        <v>0</v>
      </c>
      <c r="O10" s="11" t="n">
        <v>15.543</v>
      </c>
      <c r="P10" s="11" t="n">
        <v>5.516</v>
      </c>
      <c r="Q10" s="11" t="n">
        <v>1</v>
      </c>
      <c r="R10" s="11" t="n">
        <v>3.168</v>
      </c>
      <c r="S10" s="11" t="n">
        <v>7.718</v>
      </c>
      <c r="T10" s="11" t="n">
        <f aca="false">SUM(N10:S10)</f>
        <v>32.945</v>
      </c>
      <c r="U10" s="11" t="n">
        <v>29.76</v>
      </c>
      <c r="V10" s="11" t="n">
        <v>18.713</v>
      </c>
      <c r="W10" s="11" t="n">
        <v>22.492</v>
      </c>
      <c r="X10" s="11" t="n">
        <v>22.213</v>
      </c>
      <c r="Y10" s="11" t="n">
        <v>10.748</v>
      </c>
      <c r="Z10" s="11" t="n">
        <v>29.211</v>
      </c>
      <c r="AA10" s="11" t="n">
        <f aca="false">SUM(U10:Z10)</f>
        <v>133.137</v>
      </c>
      <c r="AB10" s="11" t="n">
        <v>8.48</v>
      </c>
      <c r="AC10" s="11" t="n">
        <v>3.481</v>
      </c>
      <c r="AD10" s="11" t="n">
        <v>4.588</v>
      </c>
      <c r="AE10" s="11" t="n">
        <v>4.391</v>
      </c>
      <c r="AF10" s="11" t="n">
        <v>2.261</v>
      </c>
      <c r="AG10" s="11" t="n">
        <v>5.913</v>
      </c>
      <c r="AH10" s="11" t="n">
        <f aca="false">SUM(AB10:AG10)</f>
        <v>29.114</v>
      </c>
    </row>
    <row r="11" customFormat="false" ht="15" hidden="false" customHeight="false" outlineLevel="2" collapsed="false">
      <c r="A11" s="8" t="s">
        <v>1208</v>
      </c>
      <c r="B11" s="12" t="s">
        <v>1209</v>
      </c>
      <c r="C11" s="8" t="s">
        <v>1198</v>
      </c>
      <c r="D11" s="12" t="s">
        <v>1199</v>
      </c>
      <c r="E11" s="16"/>
      <c r="F11" s="9" t="str">
        <f aca="false">IF($E11="","",IFERROR(INDEX(担当者マスタ!$B$2:$B$101,MATCH($E11,担当者マスタ!$A$2:$A$101,0)),"※マスタ未登録"))</f>
        <v/>
      </c>
      <c r="G11" s="11" t="n">
        <v>631.209</v>
      </c>
      <c r="H11" s="11" t="n">
        <v>580.319</v>
      </c>
      <c r="I11" s="11" t="n">
        <v>1276.172</v>
      </c>
      <c r="J11" s="11" t="n">
        <v>523.884</v>
      </c>
      <c r="K11" s="11" t="n">
        <v>569.164</v>
      </c>
      <c r="L11" s="11" t="n">
        <v>1150.085</v>
      </c>
      <c r="M11" s="11" t="n">
        <f aca="false">SUM(G11:L11)</f>
        <v>4730.833</v>
      </c>
      <c r="N11" s="11" t="n">
        <v>151.826</v>
      </c>
      <c r="O11" s="11" t="n">
        <v>140.356</v>
      </c>
      <c r="P11" s="11" t="n">
        <v>193.924</v>
      </c>
      <c r="Q11" s="11" t="n">
        <v>113.591</v>
      </c>
      <c r="R11" s="11" t="n">
        <v>118.768</v>
      </c>
      <c r="S11" s="11" t="n">
        <v>257.024</v>
      </c>
      <c r="T11" s="11" t="n">
        <f aca="false">SUM(N11:S11)</f>
        <v>975.489</v>
      </c>
      <c r="U11" s="11" t="n">
        <v>834.816</v>
      </c>
      <c r="V11" s="11" t="n">
        <v>556.825</v>
      </c>
      <c r="W11" s="11" t="n">
        <v>726.23</v>
      </c>
      <c r="X11" s="11" t="n">
        <v>538.467</v>
      </c>
      <c r="Y11" s="11" t="n">
        <v>631.999</v>
      </c>
      <c r="Z11" s="11" t="n">
        <v>742.886</v>
      </c>
      <c r="AA11" s="11" t="n">
        <f aca="false">SUM(U11:Z11)</f>
        <v>4031.223</v>
      </c>
      <c r="AB11" s="11" t="n">
        <v>170.074</v>
      </c>
      <c r="AC11" s="11" t="n">
        <v>114.111</v>
      </c>
      <c r="AD11" s="11" t="n">
        <v>172.466</v>
      </c>
      <c r="AE11" s="11" t="n">
        <v>104.994</v>
      </c>
      <c r="AF11" s="11" t="n">
        <v>126.37</v>
      </c>
      <c r="AG11" s="11" t="n">
        <v>149.427</v>
      </c>
      <c r="AH11" s="11" t="n">
        <f aca="false">SUM(AB11:AG11)</f>
        <v>837.442</v>
      </c>
    </row>
    <row r="12" customFormat="false" ht="15" hidden="false" customHeight="false" outlineLevel="2" collapsed="false">
      <c r="A12" s="8" t="s">
        <v>1210</v>
      </c>
      <c r="B12" s="12" t="s">
        <v>1211</v>
      </c>
      <c r="C12" s="8" t="s">
        <v>1198</v>
      </c>
      <c r="D12" s="12" t="s">
        <v>1199</v>
      </c>
      <c r="E12" s="16"/>
      <c r="F12" s="9" t="str">
        <f aca="false">IF($E12="","",IFERROR(INDEX(担当者マスタ!$B$2:$B$101,MATCH($E12,担当者マスタ!$A$2:$A$101,0)),"※マスタ未登録"))</f>
        <v/>
      </c>
      <c r="G12" s="11" t="n">
        <v>349.65</v>
      </c>
      <c r="H12" s="11" t="n">
        <v>286.5</v>
      </c>
      <c r="I12" s="11" t="n">
        <v>1646.462</v>
      </c>
      <c r="J12" s="11" t="n">
        <v>1908.85</v>
      </c>
      <c r="K12" s="11" t="n">
        <v>146.45</v>
      </c>
      <c r="L12" s="11" t="n">
        <v>276.1</v>
      </c>
      <c r="M12" s="11" t="n">
        <f aca="false">SUM(G12:L12)</f>
        <v>4614.012</v>
      </c>
      <c r="N12" s="11" t="n">
        <v>44.7</v>
      </c>
      <c r="O12" s="11" t="n">
        <v>37.5</v>
      </c>
      <c r="P12" s="11" t="n">
        <v>306.793</v>
      </c>
      <c r="Q12" s="11" t="n">
        <v>295.3</v>
      </c>
      <c r="R12" s="11" t="n">
        <v>14.1</v>
      </c>
      <c r="S12" s="11" t="n">
        <v>37.2</v>
      </c>
      <c r="T12" s="11" t="n">
        <f aca="false">SUM(N12:S12)</f>
        <v>735.593</v>
      </c>
      <c r="U12" s="11" t="n">
        <v>332.029</v>
      </c>
      <c r="V12" s="11" t="n">
        <v>350.142</v>
      </c>
      <c r="W12" s="11" t="n">
        <v>1916.059</v>
      </c>
      <c r="X12" s="11" t="n">
        <v>1027.65</v>
      </c>
      <c r="Y12" s="11" t="n">
        <v>203.2</v>
      </c>
      <c r="Z12" s="11" t="n">
        <v>357.75</v>
      </c>
      <c r="AA12" s="11" t="n">
        <f aca="false">SUM(U12:Z12)</f>
        <v>4186.83</v>
      </c>
      <c r="AB12" s="11" t="n">
        <v>42.949</v>
      </c>
      <c r="AC12" s="11" t="n">
        <v>49.093</v>
      </c>
      <c r="AD12" s="11" t="n">
        <v>364.779</v>
      </c>
      <c r="AE12" s="11" t="n">
        <v>154.7</v>
      </c>
      <c r="AF12" s="11" t="n">
        <v>30.6</v>
      </c>
      <c r="AG12" s="11" t="n">
        <v>52.25</v>
      </c>
      <c r="AH12" s="11" t="n">
        <f aca="false">SUM(AB12:AG12)</f>
        <v>694.371</v>
      </c>
    </row>
    <row r="13" customFormat="false" ht="15" hidden="false" customHeight="false" outlineLevel="2" collapsed="false">
      <c r="A13" s="8" t="s">
        <v>1212</v>
      </c>
      <c r="B13" s="12" t="s">
        <v>1213</v>
      </c>
      <c r="C13" s="8" t="s">
        <v>1198</v>
      </c>
      <c r="D13" s="12" t="s">
        <v>1199</v>
      </c>
      <c r="E13" s="16"/>
      <c r="F13" s="9" t="str">
        <f aca="false">IF($E13="","",IFERROR(INDEX(担当者マスタ!$B$2:$B$101,MATCH($E13,担当者マスタ!$A$2:$A$101,0)),"※マスタ未登録"))</f>
        <v/>
      </c>
      <c r="G13" s="11" t="n">
        <v>181.147</v>
      </c>
      <c r="H13" s="11" t="n">
        <v>141.154</v>
      </c>
      <c r="I13" s="11" t="n">
        <v>166.796</v>
      </c>
      <c r="J13" s="11" t="n">
        <v>89.283</v>
      </c>
      <c r="K13" s="11" t="n">
        <v>115.844</v>
      </c>
      <c r="L13" s="11" t="n">
        <v>107.151</v>
      </c>
      <c r="M13" s="11" t="n">
        <f aca="false">SUM(G13:L13)</f>
        <v>801.375</v>
      </c>
      <c r="N13" s="11" t="n">
        <v>32.262</v>
      </c>
      <c r="O13" s="11" t="n">
        <v>24.655</v>
      </c>
      <c r="P13" s="11" t="n">
        <v>28.868</v>
      </c>
      <c r="Q13" s="11" t="n">
        <v>16.072</v>
      </c>
      <c r="R13" s="11" t="n">
        <v>19.799</v>
      </c>
      <c r="S13" s="11" t="n">
        <v>18.885</v>
      </c>
      <c r="T13" s="11" t="n">
        <f aca="false">SUM(N13:S13)</f>
        <v>140.541</v>
      </c>
      <c r="U13" s="11" t="n">
        <v>152.698</v>
      </c>
      <c r="V13" s="11" t="n">
        <v>93.917</v>
      </c>
      <c r="W13" s="11" t="n">
        <v>151.24</v>
      </c>
      <c r="X13" s="11" t="n">
        <v>112.514</v>
      </c>
      <c r="Y13" s="11" t="n">
        <v>126.757</v>
      </c>
      <c r="Z13" s="11" t="n">
        <v>127.74</v>
      </c>
      <c r="AA13" s="11" t="n">
        <f aca="false">SUM(U13:Z13)</f>
        <v>764.866</v>
      </c>
      <c r="AB13" s="11" t="n">
        <v>26.155</v>
      </c>
      <c r="AC13" s="11" t="n">
        <v>16.939</v>
      </c>
      <c r="AD13" s="11" t="n">
        <v>25.993</v>
      </c>
      <c r="AE13" s="11" t="n">
        <v>18.658</v>
      </c>
      <c r="AF13" s="11" t="n">
        <v>21.924</v>
      </c>
      <c r="AG13" s="11" t="n">
        <v>21.246</v>
      </c>
      <c r="AH13" s="11" t="n">
        <f aca="false">SUM(AB13:AG13)</f>
        <v>130.915</v>
      </c>
    </row>
    <row r="14" customFormat="false" ht="15" hidden="false" customHeight="false" outlineLevel="2" collapsed="false">
      <c r="A14" s="8" t="s">
        <v>1214</v>
      </c>
      <c r="B14" s="12" t="s">
        <v>1215</v>
      </c>
      <c r="C14" s="8" t="s">
        <v>1198</v>
      </c>
      <c r="D14" s="12" t="s">
        <v>1199</v>
      </c>
      <c r="E14" s="16"/>
      <c r="F14" s="9" t="str">
        <f aca="false">IF($E14="","",IFERROR(INDEX(担当者マスタ!$B$2:$B$101,MATCH($E14,担当者マスタ!$A$2:$A$101,0)),"※マスタ未登録"))</f>
        <v/>
      </c>
      <c r="G14" s="11" t="n">
        <v>0</v>
      </c>
      <c r="H14" s="11" t="n">
        <v>0</v>
      </c>
      <c r="I14" s="11" t="n">
        <v>0</v>
      </c>
      <c r="J14" s="11" t="n">
        <v>11.49</v>
      </c>
      <c r="K14" s="11" t="n">
        <v>19.15</v>
      </c>
      <c r="L14" s="11" t="n">
        <v>0</v>
      </c>
      <c r="M14" s="11" t="n">
        <f aca="false">SUM(G14:L14)</f>
        <v>30.64</v>
      </c>
      <c r="N14" s="11" t="n">
        <v>0</v>
      </c>
      <c r="O14" s="11" t="n">
        <v>0</v>
      </c>
      <c r="P14" s="11" t="n">
        <v>0</v>
      </c>
      <c r="Q14" s="11" t="n">
        <v>3.66</v>
      </c>
      <c r="R14" s="11" t="n">
        <v>6.1</v>
      </c>
      <c r="S14" s="11" t="n">
        <v>0</v>
      </c>
      <c r="T14" s="11" t="n">
        <f aca="false">SUM(N14:S14)</f>
        <v>9.76</v>
      </c>
      <c r="U14" s="11" t="n">
        <v>0</v>
      </c>
      <c r="V14" s="11" t="n">
        <v>61.28</v>
      </c>
      <c r="W14" s="11" t="n">
        <v>30.64</v>
      </c>
      <c r="X14" s="11" t="n">
        <v>0</v>
      </c>
      <c r="Y14" s="11" t="n">
        <v>0</v>
      </c>
      <c r="Z14" s="11" t="n">
        <v>53.62</v>
      </c>
      <c r="AA14" s="11" t="n">
        <f aca="false">SUM(U14:Z14)</f>
        <v>145.54</v>
      </c>
      <c r="AB14" s="11" t="n">
        <v>0</v>
      </c>
      <c r="AC14" s="11" t="n">
        <v>15.344</v>
      </c>
      <c r="AD14" s="11" t="n">
        <v>7.672</v>
      </c>
      <c r="AE14" s="11" t="n">
        <v>0</v>
      </c>
      <c r="AF14" s="11" t="n">
        <v>0</v>
      </c>
      <c r="AG14" s="11" t="n">
        <v>13.426</v>
      </c>
      <c r="AH14" s="11" t="n">
        <f aca="false">SUM(AB14:AG14)</f>
        <v>36.442</v>
      </c>
    </row>
    <row r="15" customFormat="false" ht="15" hidden="false" customHeight="false" outlineLevel="2" collapsed="false">
      <c r="A15" s="8" t="s">
        <v>1216</v>
      </c>
      <c r="B15" s="12" t="s">
        <v>1217</v>
      </c>
      <c r="C15" s="8" t="s">
        <v>1198</v>
      </c>
      <c r="D15" s="12" t="s">
        <v>1199</v>
      </c>
      <c r="E15" s="16"/>
      <c r="F15" s="9" t="str">
        <f aca="false">IF($E15="","",IFERROR(INDEX(担当者マスタ!$B$2:$B$101,MATCH($E15,担当者マスタ!$A$2:$A$101,0)),"※マスタ未登録"))</f>
        <v/>
      </c>
      <c r="G15" s="11" t="n">
        <v>215.808</v>
      </c>
      <c r="H15" s="11" t="n">
        <v>227.776</v>
      </c>
      <c r="I15" s="11" t="n">
        <v>341.622</v>
      </c>
      <c r="J15" s="11" t="n">
        <v>33.752</v>
      </c>
      <c r="K15" s="11" t="n">
        <v>236.224</v>
      </c>
      <c r="L15" s="11" t="n">
        <v>236.224</v>
      </c>
      <c r="M15" s="11" t="n">
        <f aca="false">SUM(G15:L15)</f>
        <v>1291.406</v>
      </c>
      <c r="N15" s="11" t="n">
        <v>79.6</v>
      </c>
      <c r="O15" s="11" t="n">
        <v>83.816</v>
      </c>
      <c r="P15" s="11" t="n">
        <v>126.154</v>
      </c>
      <c r="Q15" s="11" t="n">
        <v>-32.85</v>
      </c>
      <c r="R15" s="11" t="n">
        <v>86.792</v>
      </c>
      <c r="S15" s="11" t="n">
        <v>86.792</v>
      </c>
      <c r="T15" s="11" t="n">
        <f aca="false">SUM(N15:S15)</f>
        <v>430.304</v>
      </c>
      <c r="U15" s="11" t="n">
        <v>229.184</v>
      </c>
      <c r="V15" s="11" t="n">
        <v>228.48</v>
      </c>
      <c r="W15" s="11" t="n">
        <v>340.992</v>
      </c>
      <c r="X15" s="11" t="n">
        <v>112.636</v>
      </c>
      <c r="Y15" s="11" t="n">
        <v>227.072</v>
      </c>
      <c r="Z15" s="11" t="n">
        <v>229.184</v>
      </c>
      <c r="AA15" s="11" t="n">
        <f aca="false">SUM(U15:Z15)</f>
        <v>1367.548</v>
      </c>
      <c r="AB15" s="11" t="n">
        <v>84.312</v>
      </c>
      <c r="AC15" s="11" t="n">
        <v>84.064</v>
      </c>
      <c r="AD15" s="11" t="n">
        <v>125.13</v>
      </c>
      <c r="AE15" s="11" t="n">
        <v>41.445</v>
      </c>
      <c r="AF15" s="11" t="n">
        <v>83.568</v>
      </c>
      <c r="AG15" s="11" t="n">
        <v>84.312</v>
      </c>
      <c r="AH15" s="11" t="n">
        <f aca="false">SUM(AB15:AG15)</f>
        <v>502.831</v>
      </c>
    </row>
    <row r="16" customFormat="false" ht="15" hidden="false" customHeight="false" outlineLevel="2" collapsed="false">
      <c r="A16" s="8" t="s">
        <v>1218</v>
      </c>
      <c r="B16" s="12" t="s">
        <v>1219</v>
      </c>
      <c r="C16" s="8" t="s">
        <v>1198</v>
      </c>
      <c r="D16" s="12" t="s">
        <v>1199</v>
      </c>
      <c r="E16" s="16"/>
      <c r="F16" s="9" t="str">
        <f aca="false">IF($E16="","",IFERROR(INDEX(担当者マスタ!$B$2:$B$101,MATCH($E16,担当者マスタ!$A$2:$A$101,0)),"※マスタ未登録"))</f>
        <v/>
      </c>
      <c r="G16" s="11" t="n">
        <v>0</v>
      </c>
      <c r="H16" s="11" t="n">
        <v>0</v>
      </c>
      <c r="I16" s="11" t="n">
        <v>56.705</v>
      </c>
      <c r="J16" s="11" t="n">
        <v>12</v>
      </c>
      <c r="K16" s="11" t="n">
        <v>0</v>
      </c>
      <c r="L16" s="11" t="n">
        <v>0</v>
      </c>
      <c r="M16" s="11" t="n">
        <f aca="false">SUM(G16:L16)</f>
        <v>68.705</v>
      </c>
      <c r="N16" s="11" t="n">
        <v>0</v>
      </c>
      <c r="O16" s="11" t="n">
        <v>0</v>
      </c>
      <c r="P16" s="11" t="n">
        <v>18.445</v>
      </c>
      <c r="Q16" s="11" t="n">
        <v>2.4</v>
      </c>
      <c r="R16" s="11" t="n">
        <v>0</v>
      </c>
      <c r="S16" s="11" t="n">
        <v>0</v>
      </c>
      <c r="T16" s="11" t="n">
        <f aca="false">SUM(N16:S16)</f>
        <v>20.845</v>
      </c>
      <c r="U16" s="11" t="n">
        <v>34.27</v>
      </c>
      <c r="V16" s="11" t="n">
        <v>56.597</v>
      </c>
      <c r="W16" s="11" t="n">
        <v>18.187</v>
      </c>
      <c r="X16" s="11" t="n">
        <v>44.626</v>
      </c>
      <c r="Y16" s="11" t="n">
        <v>66.159</v>
      </c>
      <c r="Z16" s="11" t="n">
        <v>9.683</v>
      </c>
      <c r="AA16" s="11" t="n">
        <f aca="false">SUM(U16:Z16)</f>
        <v>229.522</v>
      </c>
      <c r="AB16" s="11" t="n">
        <v>6.187</v>
      </c>
      <c r="AC16" s="11" t="n">
        <v>16.516</v>
      </c>
      <c r="AD16" s="11" t="n">
        <v>3.283</v>
      </c>
      <c r="AE16" s="11" t="n">
        <v>8.056</v>
      </c>
      <c r="AF16" s="11" t="n">
        <v>18.266</v>
      </c>
      <c r="AG16" s="11" t="n">
        <v>1.748</v>
      </c>
      <c r="AH16" s="11" t="n">
        <f aca="false">SUM(AB16:AG16)</f>
        <v>54.056</v>
      </c>
    </row>
    <row r="17" customFormat="false" ht="15" hidden="false" customHeight="false" outlineLevel="2" collapsed="false">
      <c r="A17" s="8" t="s">
        <v>1220</v>
      </c>
      <c r="B17" s="12" t="s">
        <v>1221</v>
      </c>
      <c r="C17" s="8" t="s">
        <v>1198</v>
      </c>
      <c r="D17" s="12" t="s">
        <v>1199</v>
      </c>
      <c r="E17" s="16"/>
      <c r="F17" s="9" t="str">
        <f aca="false">IF($E17="","",IFERROR(INDEX(担当者マスタ!$B$2:$B$101,MATCH($E17,担当者マスタ!$A$2:$A$101,0)),"※マスタ未登録"))</f>
        <v/>
      </c>
      <c r="G17" s="11" t="n">
        <v>0</v>
      </c>
      <c r="H17" s="11" t="n">
        <v>18.9</v>
      </c>
      <c r="I17" s="11" t="n">
        <v>20.856</v>
      </c>
      <c r="J17" s="11" t="n">
        <v>7.5</v>
      </c>
      <c r="K17" s="11" t="n">
        <v>9.456</v>
      </c>
      <c r="L17" s="11" t="n">
        <v>11.4</v>
      </c>
      <c r="M17" s="11" t="n">
        <f aca="false">SUM(G17:L17)</f>
        <v>68.112</v>
      </c>
      <c r="N17" s="11" t="n">
        <v>0</v>
      </c>
      <c r="O17" s="11" t="n">
        <v>3</v>
      </c>
      <c r="P17" s="11" t="n">
        <v>2.916</v>
      </c>
      <c r="Q17" s="11" t="n">
        <v>1.5</v>
      </c>
      <c r="R17" s="11" t="n">
        <v>1.656</v>
      </c>
      <c r="S17" s="11" t="n">
        <v>1.5</v>
      </c>
      <c r="T17" s="11" t="n">
        <f aca="false">SUM(N17:S17)</f>
        <v>10.572</v>
      </c>
      <c r="U17" s="11" t="n">
        <v>0</v>
      </c>
      <c r="V17" s="11" t="n">
        <v>25.584</v>
      </c>
      <c r="W17" s="11" t="n">
        <v>7.5</v>
      </c>
      <c r="X17" s="11" t="n">
        <v>11.4</v>
      </c>
      <c r="Y17" s="11" t="n">
        <v>9.456</v>
      </c>
      <c r="Z17" s="11" t="n">
        <v>174.4</v>
      </c>
      <c r="AA17" s="11" t="n">
        <f aca="false">SUM(U17:Z17)</f>
        <v>228.34</v>
      </c>
      <c r="AB17" s="11" t="n">
        <v>0</v>
      </c>
      <c r="AC17" s="11" t="n">
        <v>3.984</v>
      </c>
      <c r="AD17" s="11" t="n">
        <v>1.5</v>
      </c>
      <c r="AE17" s="11" t="n">
        <v>1.5</v>
      </c>
      <c r="AF17" s="11" t="n">
        <v>1.656</v>
      </c>
      <c r="AG17" s="11" t="n">
        <v>17.5</v>
      </c>
      <c r="AH17" s="11" t="n">
        <f aca="false">SUM(AB17:AG17)</f>
        <v>26.14</v>
      </c>
    </row>
    <row r="18" customFormat="false" ht="15" hidden="false" customHeight="false" outlineLevel="2" collapsed="false">
      <c r="A18" s="8" t="s">
        <v>1222</v>
      </c>
      <c r="B18" s="12" t="s">
        <v>1223</v>
      </c>
      <c r="C18" s="8" t="s">
        <v>1198</v>
      </c>
      <c r="D18" s="12" t="s">
        <v>1199</v>
      </c>
      <c r="E18" s="16"/>
      <c r="F18" s="9" t="str">
        <f aca="false">IF($E18="","",IFERROR(INDEX(担当者マスタ!$B$2:$B$101,MATCH($E18,担当者マスタ!$A$2:$A$101,0)),"※マスタ未登録"))</f>
        <v/>
      </c>
      <c r="G18" s="11" t="n">
        <v>18.606</v>
      </c>
      <c r="H18" s="11" t="n">
        <v>0</v>
      </c>
      <c r="I18" s="11" t="n">
        <v>26.672</v>
      </c>
      <c r="J18" s="11" t="n">
        <v>0</v>
      </c>
      <c r="K18" s="11" t="n">
        <v>0</v>
      </c>
      <c r="L18" s="11" t="n">
        <v>14.013</v>
      </c>
      <c r="M18" s="11" t="n">
        <f aca="false">SUM(G18:L18)</f>
        <v>59.291</v>
      </c>
      <c r="N18" s="11" t="n">
        <v>5.668</v>
      </c>
      <c r="O18" s="11" t="n">
        <v>0</v>
      </c>
      <c r="P18" s="11" t="n">
        <v>6.412</v>
      </c>
      <c r="Q18" s="11" t="n">
        <v>0</v>
      </c>
      <c r="R18" s="11" t="n">
        <v>0</v>
      </c>
      <c r="S18" s="11" t="n">
        <v>3.539</v>
      </c>
      <c r="T18" s="11" t="n">
        <f aca="false">SUM(N18:S18)</f>
        <v>15.619</v>
      </c>
      <c r="U18" s="11" t="n">
        <v>0</v>
      </c>
      <c r="V18" s="11" t="n">
        <v>0</v>
      </c>
      <c r="W18" s="11" t="n">
        <v>0</v>
      </c>
      <c r="X18" s="11" t="n">
        <v>8.433</v>
      </c>
      <c r="Y18" s="11" t="n">
        <v>2.77</v>
      </c>
      <c r="Z18" s="11" t="n">
        <v>6.432</v>
      </c>
      <c r="AA18" s="11" t="n">
        <f aca="false">SUM(U18:Z18)</f>
        <v>17.635</v>
      </c>
      <c r="AB18" s="11" t="n">
        <v>0</v>
      </c>
      <c r="AC18" s="11" t="n">
        <v>0</v>
      </c>
      <c r="AD18" s="11" t="n">
        <v>0</v>
      </c>
      <c r="AE18" s="11" t="n">
        <v>2.315</v>
      </c>
      <c r="AF18" s="11" t="n">
        <v>0.89</v>
      </c>
      <c r="AG18" s="11" t="n">
        <v>1.626</v>
      </c>
      <c r="AH18" s="11" t="n">
        <f aca="false">SUM(AB18:AG18)</f>
        <v>4.831</v>
      </c>
    </row>
    <row r="19" customFormat="false" ht="15" hidden="false" customHeight="false" outlineLevel="2" collapsed="false">
      <c r="A19" s="8" t="s">
        <v>1224</v>
      </c>
      <c r="B19" s="12" t="s">
        <v>1225</v>
      </c>
      <c r="C19" s="8" t="s">
        <v>1198</v>
      </c>
      <c r="D19" s="12" t="s">
        <v>1199</v>
      </c>
      <c r="E19" s="16"/>
      <c r="F19" s="9" t="str">
        <f aca="false">IF($E19="","",IFERROR(INDEX(担当者マスタ!$B$2:$B$101,MATCH($E19,担当者マスタ!$A$2:$A$101,0)),"※マスタ未登録"))</f>
        <v/>
      </c>
      <c r="G19" s="11" t="n">
        <v>82.857</v>
      </c>
      <c r="H19" s="11" t="n">
        <v>118.907</v>
      </c>
      <c r="I19" s="11" t="n">
        <v>41.537</v>
      </c>
      <c r="J19" s="11" t="n">
        <v>43.878</v>
      </c>
      <c r="K19" s="11" t="n">
        <v>89.48</v>
      </c>
      <c r="L19" s="11" t="n">
        <v>46.771</v>
      </c>
      <c r="M19" s="11" t="n">
        <f aca="false">SUM(G19:L19)</f>
        <v>423.43</v>
      </c>
      <c r="N19" s="11" t="n">
        <v>26.128</v>
      </c>
      <c r="O19" s="11" t="n">
        <v>37.358</v>
      </c>
      <c r="P19" s="11" t="n">
        <v>18.029</v>
      </c>
      <c r="Q19" s="11" t="n">
        <v>15.043</v>
      </c>
      <c r="R19" s="11" t="n">
        <v>36.398</v>
      </c>
      <c r="S19" s="11" t="n">
        <v>15.19</v>
      </c>
      <c r="T19" s="11" t="n">
        <f aca="false">SUM(N19:S19)</f>
        <v>148.146</v>
      </c>
      <c r="U19" s="11" t="n">
        <v>36.101</v>
      </c>
      <c r="V19" s="11" t="n">
        <v>38.957</v>
      </c>
      <c r="W19" s="11" t="n">
        <v>60.125</v>
      </c>
      <c r="X19" s="11" t="n">
        <v>129.213</v>
      </c>
      <c r="Y19" s="11" t="n">
        <v>0</v>
      </c>
      <c r="Z19" s="11" t="n">
        <v>20.36</v>
      </c>
      <c r="AA19" s="11" t="n">
        <f aca="false">SUM(U19:Z19)</f>
        <v>284.756</v>
      </c>
      <c r="AB19" s="11" t="n">
        <v>7.534</v>
      </c>
      <c r="AC19" s="11" t="n">
        <v>9.842</v>
      </c>
      <c r="AD19" s="11" t="n">
        <v>18.099</v>
      </c>
      <c r="AE19" s="11" t="n">
        <v>39.919</v>
      </c>
      <c r="AF19" s="11" t="n">
        <v>0</v>
      </c>
      <c r="AG19" s="11" t="n">
        <v>9.222</v>
      </c>
      <c r="AH19" s="11" t="n">
        <f aca="false">SUM(AB19:AG19)</f>
        <v>84.616</v>
      </c>
    </row>
    <row r="20" customFormat="false" ht="15" hidden="false" customHeight="false" outlineLevel="2" collapsed="false">
      <c r="A20" s="8" t="s">
        <v>1226</v>
      </c>
      <c r="B20" s="12" t="s">
        <v>1227</v>
      </c>
      <c r="C20" s="8" t="s">
        <v>1198</v>
      </c>
      <c r="D20" s="12" t="s">
        <v>1199</v>
      </c>
      <c r="E20" s="16"/>
      <c r="F20" s="9" t="str">
        <f aca="false">IF($E20="","",IFERROR(INDEX(担当者マスタ!$B$2:$B$101,MATCH($E20,担当者マスタ!$A$2:$A$101,0)),"※マスタ未登録"))</f>
        <v/>
      </c>
      <c r="G20" s="11" t="n">
        <v>0</v>
      </c>
      <c r="H20" s="11" t="n">
        <v>9.627</v>
      </c>
      <c r="I20" s="11" t="n">
        <v>0</v>
      </c>
      <c r="J20" s="11" t="n">
        <v>0</v>
      </c>
      <c r="K20" s="11" t="n">
        <v>0</v>
      </c>
      <c r="L20" s="11" t="n">
        <v>22.125</v>
      </c>
      <c r="M20" s="11" t="n">
        <f aca="false">SUM(G20:L20)</f>
        <v>31.752</v>
      </c>
      <c r="N20" s="11" t="n">
        <v>0</v>
      </c>
      <c r="O20" s="11" t="n">
        <v>2.672</v>
      </c>
      <c r="P20" s="11" t="n">
        <v>0</v>
      </c>
      <c r="Q20" s="11" t="n">
        <v>0</v>
      </c>
      <c r="R20" s="11" t="n">
        <v>0</v>
      </c>
      <c r="S20" s="11" t="n">
        <v>5.288</v>
      </c>
      <c r="T20" s="11" t="n">
        <f aca="false">SUM(N20:S20)</f>
        <v>7.96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f aca="false">SUM(U20:Z20)</f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f aca="false">SUM(AB20:AG20)</f>
        <v>0</v>
      </c>
    </row>
    <row r="21" customFormat="false" ht="15" hidden="false" customHeight="false" outlineLevel="2" collapsed="false">
      <c r="A21" s="8" t="s">
        <v>1228</v>
      </c>
      <c r="B21" s="12" t="s">
        <v>1229</v>
      </c>
      <c r="C21" s="8" t="s">
        <v>1198</v>
      </c>
      <c r="D21" s="12" t="s">
        <v>1199</v>
      </c>
      <c r="E21" s="16"/>
      <c r="F21" s="9" t="str">
        <f aca="false">IF($E21="","",IFERROR(INDEX(担当者マスタ!$B$2:$B$101,MATCH($E21,担当者マスタ!$A$2:$A$101,0)),"※マスタ未登録"))</f>
        <v/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f aca="false">SUM(G21:L21)</f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f aca="false">SUM(N21:S21)</f>
        <v>0</v>
      </c>
      <c r="U21" s="11" t="n">
        <v>250.712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f aca="false">SUM(U21:Z21)</f>
        <v>250.712</v>
      </c>
      <c r="AB21" s="11" t="n">
        <v>0.137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f aca="false">SUM(AB21:AG21)</f>
        <v>0.137</v>
      </c>
    </row>
    <row r="22" customFormat="false" ht="15" hidden="false" customHeight="false" outlineLevel="2" collapsed="false">
      <c r="A22" s="8" t="s">
        <v>1230</v>
      </c>
      <c r="B22" s="12" t="s">
        <v>1231</v>
      </c>
      <c r="C22" s="8" t="s">
        <v>1198</v>
      </c>
      <c r="D22" s="12" t="s">
        <v>1199</v>
      </c>
      <c r="E22" s="16"/>
      <c r="F22" s="9" t="str">
        <f aca="false">IF($E22="","",IFERROR(INDEX(担当者マスタ!$B$2:$B$101,MATCH($E22,担当者マスタ!$A$2:$A$101,0)),"※マスタ未登録"))</f>
        <v/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f aca="false">SUM(G22:L22)</f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f aca="false">SUM(N22:S22)</f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533.2</v>
      </c>
      <c r="AA22" s="11" t="n">
        <f aca="false">SUM(U22:Z22)</f>
        <v>533.2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25.2</v>
      </c>
      <c r="AH22" s="11" t="n">
        <f aca="false">SUM(AB22:AG22)</f>
        <v>25.2</v>
      </c>
    </row>
    <row r="23" customFormat="false" ht="15" hidden="false" customHeight="false" outlineLevel="2" collapsed="false">
      <c r="A23" s="8" t="s">
        <v>1232</v>
      </c>
      <c r="B23" s="12" t="s">
        <v>695</v>
      </c>
      <c r="C23" s="8" t="s">
        <v>1198</v>
      </c>
      <c r="D23" s="12" t="s">
        <v>1199</v>
      </c>
      <c r="E23" s="16"/>
      <c r="F23" s="9" t="str">
        <f aca="false">IF($E23="","",IFERROR(INDEX(担当者マスタ!$B$2:$B$101,MATCH($E23,担当者マスタ!$A$2:$A$101,0)),"※マスタ未登録"))</f>
        <v/>
      </c>
      <c r="G23" s="11" t="n">
        <v>0</v>
      </c>
      <c r="H23" s="11" t="n">
        <v>0</v>
      </c>
      <c r="I23" s="11" t="n">
        <v>0</v>
      </c>
      <c r="J23" s="11" t="n">
        <v>22.3</v>
      </c>
      <c r="K23" s="11" t="n">
        <v>0</v>
      </c>
      <c r="L23" s="11" t="n">
        <v>0</v>
      </c>
      <c r="M23" s="11" t="n">
        <f aca="false">SUM(G23:L23)</f>
        <v>22.3</v>
      </c>
      <c r="N23" s="11" t="n">
        <v>0</v>
      </c>
      <c r="O23" s="11" t="n">
        <v>0</v>
      </c>
      <c r="P23" s="11" t="n">
        <v>0</v>
      </c>
      <c r="Q23" s="11" t="n">
        <v>2</v>
      </c>
      <c r="R23" s="11" t="n">
        <v>0</v>
      </c>
      <c r="S23" s="11" t="n">
        <v>0</v>
      </c>
      <c r="T23" s="11" t="n">
        <f aca="false">SUM(N23:S23)</f>
        <v>2</v>
      </c>
      <c r="U23" s="11" t="n">
        <v>0</v>
      </c>
      <c r="V23" s="11" t="n">
        <v>258.6</v>
      </c>
      <c r="W23" s="11" t="n">
        <v>145.5</v>
      </c>
      <c r="X23" s="11" t="n">
        <v>0</v>
      </c>
      <c r="Y23" s="11" t="n">
        <v>72</v>
      </c>
      <c r="Z23" s="11" t="n">
        <v>53.85</v>
      </c>
      <c r="AA23" s="11" t="n">
        <f aca="false">SUM(U23:Z23)</f>
        <v>529.95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f aca="false">SUM(AB23:AG23)</f>
        <v>0</v>
      </c>
    </row>
    <row r="24" customFormat="false" ht="15" hidden="false" customHeight="false" outlineLevel="2" collapsed="false">
      <c r="A24" s="8" t="s">
        <v>1233</v>
      </c>
      <c r="B24" s="12" t="s">
        <v>1234</v>
      </c>
      <c r="C24" s="8" t="s">
        <v>1198</v>
      </c>
      <c r="D24" s="12" t="s">
        <v>1199</v>
      </c>
      <c r="E24" s="16"/>
      <c r="F24" s="9" t="str">
        <f aca="false">IF($E24="","",IFERROR(INDEX(担当者マスタ!$B$2:$B$101,MATCH($E24,担当者マスタ!$A$2:$A$101,0)),"※マスタ未登録"))</f>
        <v/>
      </c>
      <c r="G24" s="11" t="n">
        <v>0.8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f aca="false">SUM(G24:L24)</f>
        <v>0.8</v>
      </c>
      <c r="N24" s="11" t="n">
        <v>0.09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f aca="false">SUM(N24:S24)</f>
        <v>0.09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f aca="false">SUM(U24:Z24)</f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f aca="false">SUM(AB24:AG24)</f>
        <v>0</v>
      </c>
    </row>
    <row r="25" customFormat="false" ht="15" hidden="false" customHeight="false" outlineLevel="2" collapsed="false">
      <c r="A25" s="8" t="s">
        <v>1235</v>
      </c>
      <c r="B25" s="12" t="s">
        <v>1236</v>
      </c>
      <c r="C25" s="8" t="s">
        <v>1198</v>
      </c>
      <c r="D25" s="12" t="s">
        <v>1199</v>
      </c>
      <c r="E25" s="16"/>
      <c r="F25" s="9" t="str">
        <f aca="false">IF($E25="","",IFERROR(INDEX(担当者マスタ!$B$2:$B$101,MATCH($E25,担当者マスタ!$A$2:$A$101,0)),"※マスタ未登録"))</f>
        <v/>
      </c>
      <c r="G25" s="11" t="n">
        <v>54</v>
      </c>
      <c r="H25" s="11" t="n">
        <v>23.6</v>
      </c>
      <c r="I25" s="11" t="n">
        <v>135.075</v>
      </c>
      <c r="J25" s="11" t="n">
        <v>54</v>
      </c>
      <c r="K25" s="11" t="n">
        <v>77.6</v>
      </c>
      <c r="L25" s="11" t="n">
        <v>200.7</v>
      </c>
      <c r="M25" s="11" t="n">
        <f aca="false">SUM(G25:L25)</f>
        <v>544.975</v>
      </c>
      <c r="N25" s="11" t="n">
        <v>9</v>
      </c>
      <c r="O25" s="11" t="n">
        <v>3.2</v>
      </c>
      <c r="P25" s="11" t="n">
        <v>30.075</v>
      </c>
      <c r="Q25" s="11" t="n">
        <v>9</v>
      </c>
      <c r="R25" s="11" t="n">
        <v>12.2</v>
      </c>
      <c r="S25" s="11" t="n">
        <v>24.525</v>
      </c>
      <c r="T25" s="11" t="n">
        <f aca="false">SUM(N25:S25)</f>
        <v>88</v>
      </c>
      <c r="U25" s="11" t="n">
        <v>66</v>
      </c>
      <c r="V25" s="11" t="n">
        <v>66</v>
      </c>
      <c r="W25" s="11" t="n">
        <v>106.275</v>
      </c>
      <c r="X25" s="11" t="n">
        <v>244.5</v>
      </c>
      <c r="Y25" s="11" t="n">
        <v>0</v>
      </c>
      <c r="Z25" s="11" t="n">
        <v>237.9</v>
      </c>
      <c r="AA25" s="11" t="n">
        <f aca="false">SUM(U25:Z25)</f>
        <v>720.675</v>
      </c>
      <c r="AB25" s="11" t="n">
        <v>15.6</v>
      </c>
      <c r="AC25" s="11" t="n">
        <v>15.6</v>
      </c>
      <c r="AD25" s="11" t="n">
        <v>24.795</v>
      </c>
      <c r="AE25" s="11" t="n">
        <v>25.875</v>
      </c>
      <c r="AF25" s="11" t="n">
        <v>0</v>
      </c>
      <c r="AG25" s="11" t="n">
        <v>34.845</v>
      </c>
      <c r="AH25" s="11" t="n">
        <f aca="false">SUM(AB25:AG25)</f>
        <v>116.715</v>
      </c>
    </row>
    <row r="26" customFormat="false" ht="15" hidden="false" customHeight="false" outlineLevel="2" collapsed="false">
      <c r="A26" s="8" t="s">
        <v>1237</v>
      </c>
      <c r="B26" s="12" t="s">
        <v>1238</v>
      </c>
      <c r="C26" s="8" t="s">
        <v>1198</v>
      </c>
      <c r="D26" s="12" t="s">
        <v>1199</v>
      </c>
      <c r="E26" s="16"/>
      <c r="F26" s="9" t="str">
        <f aca="false">IF($E26="","",IFERROR(INDEX(担当者マスタ!$B$2:$B$101,MATCH($E26,担当者マスタ!$A$2:$A$101,0)),"※マスタ未登録"))</f>
        <v/>
      </c>
      <c r="G26" s="11" t="n">
        <v>0</v>
      </c>
      <c r="H26" s="11" t="n">
        <v>0</v>
      </c>
      <c r="I26" s="11" t="n">
        <v>25</v>
      </c>
      <c r="J26" s="11" t="n">
        <v>0</v>
      </c>
      <c r="K26" s="11" t="n">
        <v>0</v>
      </c>
      <c r="L26" s="11" t="n">
        <v>25</v>
      </c>
      <c r="M26" s="11" t="n">
        <f aca="false">SUM(G26:L26)</f>
        <v>50</v>
      </c>
      <c r="N26" s="11" t="n">
        <v>0</v>
      </c>
      <c r="O26" s="11" t="n">
        <v>0</v>
      </c>
      <c r="P26" s="11" t="n">
        <v>2.875</v>
      </c>
      <c r="Q26" s="11" t="n">
        <v>0</v>
      </c>
      <c r="R26" s="11" t="n">
        <v>0</v>
      </c>
      <c r="S26" s="11" t="n">
        <v>2.875</v>
      </c>
      <c r="T26" s="11" t="n">
        <f aca="false">SUM(N26:S26)</f>
        <v>5.75</v>
      </c>
      <c r="U26" s="11" t="n">
        <v>25</v>
      </c>
      <c r="V26" s="11" t="n">
        <v>0</v>
      </c>
      <c r="W26" s="11" t="n">
        <v>25</v>
      </c>
      <c r="X26" s="11" t="n">
        <v>25</v>
      </c>
      <c r="Y26" s="11" t="n">
        <v>25</v>
      </c>
      <c r="Z26" s="11" t="n">
        <v>0</v>
      </c>
      <c r="AA26" s="11" t="n">
        <f aca="false">SUM(U26:Z26)</f>
        <v>100</v>
      </c>
      <c r="AB26" s="11" t="n">
        <v>2.875</v>
      </c>
      <c r="AC26" s="11" t="n">
        <v>0</v>
      </c>
      <c r="AD26" s="11" t="n">
        <v>2.875</v>
      </c>
      <c r="AE26" s="11" t="n">
        <v>2.875</v>
      </c>
      <c r="AF26" s="11" t="n">
        <v>2.875</v>
      </c>
      <c r="AG26" s="11" t="n">
        <v>0</v>
      </c>
      <c r="AH26" s="11" t="n">
        <f aca="false">SUM(AB26:AG26)</f>
        <v>11.5</v>
      </c>
    </row>
    <row r="27" customFormat="false" ht="15" hidden="false" customHeight="false" outlineLevel="2" collapsed="false">
      <c r="A27" s="8" t="s">
        <v>1239</v>
      </c>
      <c r="B27" s="12" t="s">
        <v>1240</v>
      </c>
      <c r="C27" s="8" t="s">
        <v>1198</v>
      </c>
      <c r="D27" s="12" t="s">
        <v>1199</v>
      </c>
      <c r="E27" s="16"/>
      <c r="F27" s="9" t="str">
        <f aca="false">IF($E27="","",IFERROR(INDEX(担当者マスタ!$B$2:$B$101,MATCH($E27,担当者マスタ!$A$2:$A$101,0)),"※マスタ未登録"))</f>
        <v/>
      </c>
      <c r="G27" s="11" t="n">
        <v>35.7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41.4</v>
      </c>
      <c r="M27" s="11" t="n">
        <f aca="false">SUM(G27:L27)</f>
        <v>77.1</v>
      </c>
      <c r="N27" s="11" t="n">
        <v>8.7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5.29</v>
      </c>
      <c r="T27" s="11" t="n">
        <f aca="false">SUM(N27:S27)</f>
        <v>13.99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f aca="false">SUM(U27:Z27)</f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f aca="false">SUM(AB27:AG27)</f>
        <v>0</v>
      </c>
    </row>
    <row r="28" customFormat="false" ht="15" hidden="false" customHeight="false" outlineLevel="2" collapsed="false">
      <c r="A28" s="8" t="s">
        <v>1241</v>
      </c>
      <c r="B28" s="12" t="s">
        <v>1242</v>
      </c>
      <c r="C28" s="8" t="s">
        <v>1198</v>
      </c>
      <c r="D28" s="12" t="s">
        <v>1199</v>
      </c>
      <c r="E28" s="16"/>
      <c r="F28" s="9" t="str">
        <f aca="false">IF($E28="","",IFERROR(INDEX(担当者マスタ!$B$2:$B$101,MATCH($E28,担当者マスタ!$A$2:$A$101,0)),"※マスタ未登録"))</f>
        <v/>
      </c>
      <c r="G28" s="11" t="n">
        <v>0</v>
      </c>
      <c r="H28" s="11" t="n">
        <v>115.55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f aca="false">SUM(G28:L28)</f>
        <v>115.55</v>
      </c>
      <c r="N28" s="11" t="n">
        <v>0</v>
      </c>
      <c r="O28" s="11" t="n">
        <v>21.27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f aca="false">SUM(N28:S28)</f>
        <v>21.27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307.672</v>
      </c>
      <c r="AA28" s="11" t="n">
        <f aca="false">SUM(U28:Z28)</f>
        <v>307.672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49.314</v>
      </c>
      <c r="AH28" s="11" t="n">
        <f aca="false">SUM(AB28:AG28)</f>
        <v>49.314</v>
      </c>
    </row>
    <row r="29" customFormat="false" ht="15" hidden="false" customHeight="false" outlineLevel="2" collapsed="false">
      <c r="A29" s="8" t="s">
        <v>1243</v>
      </c>
      <c r="B29" s="12" t="s">
        <v>1244</v>
      </c>
      <c r="C29" s="8" t="s">
        <v>1198</v>
      </c>
      <c r="D29" s="12" t="s">
        <v>1199</v>
      </c>
      <c r="E29" s="16"/>
      <c r="F29" s="9" t="str">
        <f aca="false">IF($E29="","",IFERROR(INDEX(担当者マスタ!$B$2:$B$101,MATCH($E29,担当者マスタ!$A$2:$A$101,0)),"※マスタ未登録"))</f>
        <v/>
      </c>
      <c r="G29" s="11" t="n">
        <v>5.753</v>
      </c>
      <c r="H29" s="11" t="n">
        <v>0</v>
      </c>
      <c r="I29" s="11" t="n">
        <v>5.133</v>
      </c>
      <c r="J29" s="11" t="n">
        <v>4.425</v>
      </c>
      <c r="K29" s="11" t="n">
        <v>0</v>
      </c>
      <c r="L29" s="11" t="n">
        <v>5.753</v>
      </c>
      <c r="M29" s="11" t="n">
        <f aca="false">SUM(G29:L29)</f>
        <v>21.064</v>
      </c>
      <c r="N29" s="11" t="n">
        <v>0.878</v>
      </c>
      <c r="O29" s="11" t="n">
        <v>0</v>
      </c>
      <c r="P29" s="11" t="n">
        <v>0.783</v>
      </c>
      <c r="Q29" s="11" t="n">
        <v>0.675</v>
      </c>
      <c r="R29" s="11" t="n">
        <v>0</v>
      </c>
      <c r="S29" s="11" t="n">
        <v>0.878</v>
      </c>
      <c r="T29" s="11" t="n">
        <f aca="false">SUM(N29:S29)</f>
        <v>3.214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f aca="false">SUM(U29:Z29)</f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f aca="false">SUM(AB29:AG29)</f>
        <v>0</v>
      </c>
    </row>
    <row r="30" customFormat="false" ht="15" hidden="false" customHeight="false" outlineLevel="2" collapsed="false">
      <c r="A30" s="8" t="s">
        <v>1245</v>
      </c>
      <c r="B30" s="12" t="s">
        <v>1246</v>
      </c>
      <c r="C30" s="8" t="s">
        <v>1198</v>
      </c>
      <c r="D30" s="12" t="s">
        <v>1199</v>
      </c>
      <c r="E30" s="16"/>
      <c r="F30" s="9" t="str">
        <f aca="false">IF($E30="","",IFERROR(INDEX(担当者マスタ!$B$2:$B$101,MATCH($E30,担当者マスタ!$A$2:$A$101,0)),"※マスタ未登録"))</f>
        <v/>
      </c>
      <c r="G30" s="11" t="n">
        <v>30.672</v>
      </c>
      <c r="H30" s="11" t="n">
        <v>22.239</v>
      </c>
      <c r="I30" s="11" t="n">
        <v>24.04</v>
      </c>
      <c r="J30" s="11" t="n">
        <v>0</v>
      </c>
      <c r="K30" s="11" t="n">
        <v>16.33</v>
      </c>
      <c r="L30" s="11" t="n">
        <v>25.05</v>
      </c>
      <c r="M30" s="11" t="n">
        <f aca="false">SUM(G30:L30)</f>
        <v>118.331</v>
      </c>
      <c r="N30" s="11" t="n">
        <v>10.11</v>
      </c>
      <c r="O30" s="11" t="n">
        <v>6.541</v>
      </c>
      <c r="P30" s="11" t="n">
        <v>6.5</v>
      </c>
      <c r="Q30" s="11" t="n">
        <v>0</v>
      </c>
      <c r="R30" s="11" t="n">
        <v>4.5</v>
      </c>
      <c r="S30" s="11" t="n">
        <v>7.2</v>
      </c>
      <c r="T30" s="11" t="n">
        <f aca="false">SUM(N30:S30)</f>
        <v>34.851</v>
      </c>
      <c r="U30" s="11" t="n">
        <v>0</v>
      </c>
      <c r="V30" s="11" t="n">
        <v>32.34</v>
      </c>
      <c r="W30" s="11" t="n">
        <v>27.206</v>
      </c>
      <c r="X30" s="11" t="n">
        <v>9.93</v>
      </c>
      <c r="Y30" s="11" t="n">
        <v>9.11</v>
      </c>
      <c r="Z30" s="11" t="n">
        <v>36.69</v>
      </c>
      <c r="AA30" s="11" t="n">
        <f aca="false">SUM(U30:Z30)</f>
        <v>115.276</v>
      </c>
      <c r="AB30" s="11" t="n">
        <v>0</v>
      </c>
      <c r="AC30" s="11" t="n">
        <v>9.623</v>
      </c>
      <c r="AD30" s="11" t="n">
        <v>7.354</v>
      </c>
      <c r="AE30" s="11" t="n">
        <v>2.66</v>
      </c>
      <c r="AF30" s="11" t="n">
        <v>2.44</v>
      </c>
      <c r="AG30" s="11" t="n">
        <v>10.58</v>
      </c>
      <c r="AH30" s="11" t="n">
        <f aca="false">SUM(AB30:AG30)</f>
        <v>32.657</v>
      </c>
    </row>
    <row r="31" customFormat="false" ht="15" hidden="false" customHeight="false" outlineLevel="2" collapsed="false">
      <c r="A31" s="8" t="s">
        <v>1247</v>
      </c>
      <c r="B31" s="12" t="s">
        <v>1248</v>
      </c>
      <c r="C31" s="8" t="s">
        <v>1198</v>
      </c>
      <c r="D31" s="12" t="s">
        <v>1199</v>
      </c>
      <c r="E31" s="16"/>
      <c r="F31" s="9" t="str">
        <f aca="false">IF($E31="","",IFERROR(INDEX(担当者マスタ!$B$2:$B$101,MATCH($E31,担当者マスタ!$A$2:$A$101,0)),"※マスタ未登録"))</f>
        <v/>
      </c>
      <c r="G31" s="11" t="n">
        <v>599.18</v>
      </c>
      <c r="H31" s="11" t="n">
        <v>567.516</v>
      </c>
      <c r="I31" s="11" t="n">
        <v>810.441</v>
      </c>
      <c r="J31" s="11" t="n">
        <v>485.103</v>
      </c>
      <c r="K31" s="11" t="n">
        <v>440.872</v>
      </c>
      <c r="L31" s="11" t="n">
        <v>482.777</v>
      </c>
      <c r="M31" s="11" t="n">
        <f aca="false">SUM(G31:L31)</f>
        <v>3385.889</v>
      </c>
      <c r="N31" s="11" t="n">
        <v>135.946</v>
      </c>
      <c r="O31" s="11" t="n">
        <v>134.931</v>
      </c>
      <c r="P31" s="11" t="n">
        <v>193.229</v>
      </c>
      <c r="Q31" s="11" t="n">
        <v>117.589</v>
      </c>
      <c r="R31" s="11" t="n">
        <v>100.822</v>
      </c>
      <c r="S31" s="11" t="n">
        <v>106.799</v>
      </c>
      <c r="T31" s="11" t="n">
        <f aca="false">SUM(N31:S31)</f>
        <v>789.316</v>
      </c>
      <c r="U31" s="11" t="n">
        <v>547.219</v>
      </c>
      <c r="V31" s="11" t="n">
        <v>577.437</v>
      </c>
      <c r="W31" s="11" t="n">
        <v>720.335</v>
      </c>
      <c r="X31" s="11" t="n">
        <v>413.884</v>
      </c>
      <c r="Y31" s="11" t="n">
        <v>698.316</v>
      </c>
      <c r="Z31" s="11" t="n">
        <v>634.947</v>
      </c>
      <c r="AA31" s="11" t="n">
        <f aca="false">SUM(U31:Z31)</f>
        <v>3592.138</v>
      </c>
      <c r="AB31" s="11" t="n">
        <v>131.782</v>
      </c>
      <c r="AC31" s="11" t="n">
        <v>138.904</v>
      </c>
      <c r="AD31" s="11" t="n">
        <v>169.651</v>
      </c>
      <c r="AE31" s="11" t="n">
        <v>89.478</v>
      </c>
      <c r="AF31" s="11" t="n">
        <v>174.866</v>
      </c>
      <c r="AG31" s="11" t="n">
        <v>158.727</v>
      </c>
      <c r="AH31" s="11" t="n">
        <f aca="false">SUM(AB31:AG31)</f>
        <v>863.408</v>
      </c>
    </row>
    <row r="32" customFormat="false" ht="15" hidden="false" customHeight="false" outlineLevel="2" collapsed="false">
      <c r="A32" s="8" t="s">
        <v>1249</v>
      </c>
      <c r="B32" s="12" t="s">
        <v>1250</v>
      </c>
      <c r="C32" s="8" t="s">
        <v>1198</v>
      </c>
      <c r="D32" s="12" t="s">
        <v>1199</v>
      </c>
      <c r="E32" s="16"/>
      <c r="F32" s="9" t="str">
        <f aca="false">IF($E32="","",IFERROR(INDEX(担当者マスタ!$B$2:$B$101,MATCH($E32,担当者マスタ!$A$2:$A$101,0)),"※マスタ未登録"))</f>
        <v/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f aca="false">SUM(G32:L32)</f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f aca="false">SUM(N32:S32)</f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5.345</v>
      </c>
      <c r="Z32" s="11" t="n">
        <v>0</v>
      </c>
      <c r="AA32" s="11" t="n">
        <f aca="false">SUM(U32:Z32)</f>
        <v>5.345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2.848</v>
      </c>
      <c r="AG32" s="11" t="n">
        <v>0</v>
      </c>
      <c r="AH32" s="11" t="n">
        <f aca="false">SUM(AB32:AG32)</f>
        <v>2.848</v>
      </c>
    </row>
    <row r="33" customFormat="false" ht="15" hidden="false" customHeight="false" outlineLevel="2" collapsed="false">
      <c r="A33" s="8" t="s">
        <v>1251</v>
      </c>
      <c r="B33" s="12" t="s">
        <v>1252</v>
      </c>
      <c r="C33" s="8" t="s">
        <v>1198</v>
      </c>
      <c r="D33" s="12" t="s">
        <v>1199</v>
      </c>
      <c r="E33" s="16"/>
      <c r="F33" s="9" t="str">
        <f aca="false">IF($E33="","",IFERROR(INDEX(担当者マスタ!$B$2:$B$101,MATCH($E33,担当者マスタ!$A$2:$A$101,0)),"※マスタ未登録"))</f>
        <v/>
      </c>
      <c r="G33" s="11" t="n">
        <v>0</v>
      </c>
      <c r="H33" s="11" t="n">
        <v>196.475</v>
      </c>
      <c r="I33" s="11" t="n">
        <v>23.98</v>
      </c>
      <c r="J33" s="11" t="n">
        <v>64.684</v>
      </c>
      <c r="K33" s="11" t="n">
        <v>559.355</v>
      </c>
      <c r="L33" s="11" t="n">
        <v>0</v>
      </c>
      <c r="M33" s="11" t="n">
        <f aca="false">SUM(G33:L33)</f>
        <v>844.494</v>
      </c>
      <c r="N33" s="11" t="n">
        <v>0</v>
      </c>
      <c r="O33" s="11" t="n">
        <v>51.583</v>
      </c>
      <c r="P33" s="11" t="n">
        <v>3.699</v>
      </c>
      <c r="Q33" s="11" t="n">
        <v>8.034</v>
      </c>
      <c r="R33" s="11" t="n">
        <v>160.296</v>
      </c>
      <c r="S33" s="11" t="n">
        <v>0</v>
      </c>
      <c r="T33" s="11" t="n">
        <f aca="false">SUM(N33:S33)</f>
        <v>223.612</v>
      </c>
      <c r="U33" s="11" t="n">
        <v>90.36</v>
      </c>
      <c r="V33" s="11" t="n">
        <v>782.02</v>
      </c>
      <c r="W33" s="11" t="n">
        <v>30.12</v>
      </c>
      <c r="X33" s="11" t="n">
        <v>20.4</v>
      </c>
      <c r="Y33" s="11" t="n">
        <v>20.4</v>
      </c>
      <c r="Z33" s="11" t="n">
        <v>24</v>
      </c>
      <c r="AA33" s="11" t="n">
        <f aca="false">SUM(U33:Z33)</f>
        <v>967.3</v>
      </c>
      <c r="AB33" s="11" t="n">
        <v>26.028</v>
      </c>
      <c r="AC33" s="11" t="n">
        <v>201.1</v>
      </c>
      <c r="AD33" s="11" t="n">
        <v>8.676</v>
      </c>
      <c r="AE33" s="11" t="n">
        <v>4.2</v>
      </c>
      <c r="AF33" s="11" t="n">
        <v>4.2</v>
      </c>
      <c r="AG33" s="11" t="n">
        <v>4.8</v>
      </c>
      <c r="AH33" s="11" t="n">
        <f aca="false">SUM(AB33:AG33)</f>
        <v>249.004</v>
      </c>
    </row>
    <row r="34" customFormat="false" ht="15" hidden="false" customHeight="false" outlineLevel="2" collapsed="false">
      <c r="A34" s="8" t="s">
        <v>1253</v>
      </c>
      <c r="B34" s="12" t="s">
        <v>1254</v>
      </c>
      <c r="C34" s="8" t="s">
        <v>1198</v>
      </c>
      <c r="D34" s="12" t="s">
        <v>1199</v>
      </c>
      <c r="E34" s="16"/>
      <c r="F34" s="9" t="str">
        <f aca="false">IF($E34="","",IFERROR(INDEX(担当者マスタ!$B$2:$B$101,MATCH($E34,担当者マスタ!$A$2:$A$101,0)),"※マスタ未登録"))</f>
        <v/>
      </c>
      <c r="G34" s="11" t="n">
        <v>0</v>
      </c>
      <c r="H34" s="11" t="n">
        <v>0</v>
      </c>
      <c r="I34" s="11" t="n">
        <v>0</v>
      </c>
      <c r="J34" s="11" t="n">
        <v>235</v>
      </c>
      <c r="K34" s="11" t="n">
        <v>0</v>
      </c>
      <c r="L34" s="11" t="n">
        <v>0</v>
      </c>
      <c r="M34" s="11" t="n">
        <f aca="false">SUM(G34:L34)</f>
        <v>235</v>
      </c>
      <c r="N34" s="11" t="n">
        <v>0</v>
      </c>
      <c r="O34" s="11" t="n">
        <v>0</v>
      </c>
      <c r="P34" s="11" t="n">
        <v>0</v>
      </c>
      <c r="Q34" s="11" t="n">
        <v>40</v>
      </c>
      <c r="R34" s="11" t="n">
        <v>0</v>
      </c>
      <c r="S34" s="11" t="n">
        <v>0</v>
      </c>
      <c r="T34" s="11" t="n">
        <f aca="false">SUM(N34:S34)</f>
        <v>40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f aca="false">SUM(U34:Z34)</f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f aca="false">SUM(AB34:AG34)</f>
        <v>0</v>
      </c>
    </row>
    <row r="35" customFormat="false" ht="15" hidden="false" customHeight="false" outlineLevel="2" collapsed="false">
      <c r="A35" s="8" t="s">
        <v>1255</v>
      </c>
      <c r="B35" s="12" t="s">
        <v>1256</v>
      </c>
      <c r="C35" s="8" t="s">
        <v>1198</v>
      </c>
      <c r="D35" s="12" t="s">
        <v>1199</v>
      </c>
      <c r="E35" s="16"/>
      <c r="F35" s="9" t="str">
        <f aca="false">IF($E35="","",IFERROR(INDEX(担当者マスタ!$B$2:$B$101,MATCH($E35,担当者マスタ!$A$2:$A$101,0)),"※マスタ未登録"))</f>
        <v/>
      </c>
      <c r="G35" s="11" t="n">
        <v>133.46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9</v>
      </c>
      <c r="M35" s="11" t="n">
        <f aca="false">SUM(G35:L35)</f>
        <v>142.46</v>
      </c>
      <c r="N35" s="11" t="n">
        <v>20.042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1.99</v>
      </c>
      <c r="T35" s="11" t="n">
        <f aca="false">SUM(N35:S35)</f>
        <v>22.032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f aca="false">SUM(U35:Z35)</f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f aca="false">SUM(AB35:AG35)</f>
        <v>0</v>
      </c>
    </row>
    <row r="36" customFormat="false" ht="15" hidden="false" customHeight="false" outlineLevel="2" collapsed="false">
      <c r="A36" s="8" t="s">
        <v>1257</v>
      </c>
      <c r="B36" s="12" t="s">
        <v>1258</v>
      </c>
      <c r="C36" s="8" t="s">
        <v>1198</v>
      </c>
      <c r="D36" s="12" t="s">
        <v>1199</v>
      </c>
      <c r="E36" s="16"/>
      <c r="F36" s="9" t="str">
        <f aca="false">IF($E36="","",IFERROR(INDEX(担当者マスタ!$B$2:$B$101,MATCH($E36,担当者マスタ!$A$2:$A$101,0)),"※マスタ未登録"))</f>
        <v/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f aca="false">SUM(G36:L36)</f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f aca="false">SUM(N36:S36)</f>
        <v>0</v>
      </c>
      <c r="U36" s="11" t="n">
        <v>0</v>
      </c>
      <c r="V36" s="11" t="n">
        <v>0</v>
      </c>
      <c r="W36" s="11" t="n">
        <v>102</v>
      </c>
      <c r="X36" s="11" t="n">
        <v>41.4</v>
      </c>
      <c r="Y36" s="11" t="n">
        <v>0</v>
      </c>
      <c r="Z36" s="11" t="n">
        <v>0</v>
      </c>
      <c r="AA36" s="11" t="n">
        <f aca="false">SUM(U36:Z36)</f>
        <v>143.4</v>
      </c>
      <c r="AB36" s="11" t="n">
        <v>0</v>
      </c>
      <c r="AC36" s="11" t="n">
        <v>0</v>
      </c>
      <c r="AD36" s="11" t="n">
        <v>28.5</v>
      </c>
      <c r="AE36" s="11" t="n">
        <v>5.29</v>
      </c>
      <c r="AF36" s="11" t="n">
        <v>0</v>
      </c>
      <c r="AG36" s="11" t="n">
        <v>0</v>
      </c>
      <c r="AH36" s="11" t="n">
        <f aca="false">SUM(AB36:AG36)</f>
        <v>33.79</v>
      </c>
    </row>
    <row r="37" customFormat="false" ht="15" hidden="false" customHeight="false" outlineLevel="2" collapsed="false">
      <c r="A37" s="8" t="s">
        <v>1259</v>
      </c>
      <c r="B37" s="12" t="s">
        <v>1260</v>
      </c>
      <c r="C37" s="8" t="s">
        <v>1198</v>
      </c>
      <c r="D37" s="12" t="s">
        <v>1199</v>
      </c>
      <c r="E37" s="16"/>
      <c r="F37" s="9" t="str">
        <f aca="false">IF($E37="","",IFERROR(INDEX(担当者マスタ!$B$2:$B$101,MATCH($E37,担当者マスタ!$A$2:$A$101,0)),"※マスタ未登録"))</f>
        <v/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153.6</v>
      </c>
      <c r="M37" s="11" t="n">
        <f aca="false">SUM(G37:L37)</f>
        <v>153.6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29.4</v>
      </c>
      <c r="T37" s="11" t="n">
        <f aca="false">SUM(N37:S37)</f>
        <v>29.4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f aca="false">SUM(U37:Z37)</f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f aca="false">SUM(AB37:AG37)</f>
        <v>0</v>
      </c>
    </row>
    <row r="38" customFormat="false" ht="15" hidden="false" customHeight="false" outlineLevel="2" collapsed="false">
      <c r="A38" s="8" t="s">
        <v>1261</v>
      </c>
      <c r="B38" s="12" t="s">
        <v>1262</v>
      </c>
      <c r="C38" s="8" t="s">
        <v>1198</v>
      </c>
      <c r="D38" s="12" t="s">
        <v>1199</v>
      </c>
      <c r="E38" s="16"/>
      <c r="F38" s="9" t="str">
        <f aca="false">IF($E38="","",IFERROR(INDEX(担当者マスタ!$B$2:$B$101,MATCH($E38,担当者マスタ!$A$2:$A$101,0)),"※マスタ未登録"))</f>
        <v/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-41.4</v>
      </c>
      <c r="M38" s="11" t="n">
        <f aca="false">SUM(G38:L38)</f>
        <v>-41.4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-5.29</v>
      </c>
      <c r="T38" s="11" t="n">
        <f aca="false">SUM(N38:S38)</f>
        <v>-5.29</v>
      </c>
      <c r="U38" s="11" t="n">
        <v>21.65</v>
      </c>
      <c r="V38" s="11" t="n">
        <v>55.15</v>
      </c>
      <c r="W38" s="11" t="n">
        <v>43.15</v>
      </c>
      <c r="X38" s="11" t="n">
        <v>-41.4</v>
      </c>
      <c r="Y38" s="11" t="n">
        <v>30.5</v>
      </c>
      <c r="Z38" s="11" t="n">
        <v>43</v>
      </c>
      <c r="AA38" s="11" t="n">
        <f aca="false">SUM(U38:Z38)</f>
        <v>152.05</v>
      </c>
      <c r="AB38" s="11" t="n">
        <v>4.35</v>
      </c>
      <c r="AC38" s="11" t="n">
        <v>10.242</v>
      </c>
      <c r="AD38" s="11" t="n">
        <v>8.35</v>
      </c>
      <c r="AE38" s="11" t="n">
        <v>-5.29</v>
      </c>
      <c r="AF38" s="11" t="n">
        <v>7.05</v>
      </c>
      <c r="AG38" s="11" t="n">
        <v>8</v>
      </c>
      <c r="AH38" s="11" t="n">
        <f aca="false">SUM(AB38:AG38)</f>
        <v>32.702</v>
      </c>
    </row>
    <row r="39" customFormat="false" ht="15" hidden="false" customHeight="false" outlineLevel="2" collapsed="false">
      <c r="A39" s="8" t="s">
        <v>1263</v>
      </c>
      <c r="B39" s="12" t="s">
        <v>1264</v>
      </c>
      <c r="C39" s="8" t="s">
        <v>1198</v>
      </c>
      <c r="D39" s="12" t="s">
        <v>1199</v>
      </c>
      <c r="E39" s="16"/>
      <c r="F39" s="9" t="str">
        <f aca="false">IF($E39="","",IFERROR(INDEX(担当者マスタ!$B$2:$B$101,MATCH($E39,担当者マスタ!$A$2:$A$101,0)),"※マスタ未登録"))</f>
        <v/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f aca="false">SUM(G39:L39)</f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f aca="false">SUM(N39:S39)</f>
        <v>0</v>
      </c>
      <c r="U39" s="11" t="n">
        <v>0</v>
      </c>
      <c r="V39" s="11" t="n">
        <v>0</v>
      </c>
      <c r="W39" s="11" t="n">
        <v>14</v>
      </c>
      <c r="X39" s="11" t="n">
        <v>0</v>
      </c>
      <c r="Y39" s="11" t="n">
        <v>200</v>
      </c>
      <c r="Z39" s="11" t="n">
        <v>0</v>
      </c>
      <c r="AA39" s="11" t="n">
        <f aca="false">SUM(U39:Z39)</f>
        <v>214</v>
      </c>
      <c r="AB39" s="11" t="n">
        <v>0</v>
      </c>
      <c r="AC39" s="11" t="n">
        <v>0</v>
      </c>
      <c r="AD39" s="11" t="n">
        <v>1.5</v>
      </c>
      <c r="AE39" s="11" t="n">
        <v>0</v>
      </c>
      <c r="AF39" s="11" t="n">
        <v>20</v>
      </c>
      <c r="AG39" s="11" t="n">
        <v>0</v>
      </c>
      <c r="AH39" s="11" t="n">
        <f aca="false">SUM(AB39:AG39)</f>
        <v>21.5</v>
      </c>
    </row>
    <row r="40" customFormat="false" ht="15" hidden="false" customHeight="false" outlineLevel="2" collapsed="false">
      <c r="A40" s="8" t="s">
        <v>1265</v>
      </c>
      <c r="B40" s="12" t="s">
        <v>1266</v>
      </c>
      <c r="C40" s="8" t="s">
        <v>1198</v>
      </c>
      <c r="D40" s="12" t="s">
        <v>1199</v>
      </c>
      <c r="E40" s="16"/>
      <c r="F40" s="9" t="str">
        <f aca="false">IF($E40="","",IFERROR(INDEX(担当者マスタ!$B$2:$B$101,MATCH($E40,担当者マスタ!$A$2:$A$101,0)),"※マスタ未登録"))</f>
        <v/>
      </c>
      <c r="G40" s="11" t="n">
        <v>1312.599</v>
      </c>
      <c r="H40" s="11" t="n">
        <v>1619.747</v>
      </c>
      <c r="I40" s="11" t="n">
        <v>1062.679</v>
      </c>
      <c r="J40" s="11" t="n">
        <v>885.524</v>
      </c>
      <c r="K40" s="11" t="n">
        <v>1179.851</v>
      </c>
      <c r="L40" s="11" t="n">
        <v>938.28</v>
      </c>
      <c r="M40" s="11" t="n">
        <f aca="false">SUM(G40:L40)</f>
        <v>6998.68</v>
      </c>
      <c r="N40" s="11" t="n">
        <v>203.453</v>
      </c>
      <c r="O40" s="11" t="n">
        <v>252.573</v>
      </c>
      <c r="P40" s="11" t="n">
        <v>169.462</v>
      </c>
      <c r="Q40" s="11" t="n">
        <v>117.743</v>
      </c>
      <c r="R40" s="11" t="n">
        <v>168.617</v>
      </c>
      <c r="S40" s="11" t="n">
        <v>128.167</v>
      </c>
      <c r="T40" s="11" t="n">
        <f aca="false">SUM(N40:S40)</f>
        <v>1040.015</v>
      </c>
      <c r="U40" s="11" t="n">
        <v>1118.205</v>
      </c>
      <c r="V40" s="11" t="n">
        <v>1328.735</v>
      </c>
      <c r="W40" s="11" t="n">
        <v>889.826</v>
      </c>
      <c r="X40" s="11" t="n">
        <v>757.255</v>
      </c>
      <c r="Y40" s="11" t="n">
        <v>728.665</v>
      </c>
      <c r="Z40" s="11" t="n">
        <v>798.147</v>
      </c>
      <c r="AA40" s="11" t="n">
        <f aca="false">SUM(U40:Z40)</f>
        <v>5620.833</v>
      </c>
      <c r="AB40" s="11" t="n">
        <v>111.818</v>
      </c>
      <c r="AC40" s="11" t="n">
        <v>181.729</v>
      </c>
      <c r="AD40" s="11" t="n">
        <v>117.28</v>
      </c>
      <c r="AE40" s="11" t="n">
        <v>107.403</v>
      </c>
      <c r="AF40" s="11" t="n">
        <v>93.935</v>
      </c>
      <c r="AG40" s="11" t="n">
        <v>103.49</v>
      </c>
      <c r="AH40" s="11" t="n">
        <f aca="false">SUM(AB40:AG40)</f>
        <v>715.655</v>
      </c>
    </row>
    <row r="41" customFormat="false" ht="15" hidden="false" customHeight="false" outlineLevel="2" collapsed="false">
      <c r="A41" s="8" t="s">
        <v>1267</v>
      </c>
      <c r="B41" s="12" t="s">
        <v>1268</v>
      </c>
      <c r="C41" s="8" t="s">
        <v>1198</v>
      </c>
      <c r="D41" s="12" t="s">
        <v>1199</v>
      </c>
      <c r="E41" s="16"/>
      <c r="F41" s="9" t="str">
        <f aca="false">IF($E41="","",IFERROR(INDEX(担当者マスタ!$B$2:$B$101,MATCH($E41,担当者マスタ!$A$2:$A$101,0)),"※マスタ未登録"))</f>
        <v/>
      </c>
      <c r="G41" s="11" t="n">
        <v>883.57</v>
      </c>
      <c r="H41" s="11" t="n">
        <v>930.036</v>
      </c>
      <c r="I41" s="11" t="n">
        <v>1458.576</v>
      </c>
      <c r="J41" s="11" t="n">
        <v>319.336</v>
      </c>
      <c r="K41" s="11" t="n">
        <v>383.991</v>
      </c>
      <c r="L41" s="11" t="n">
        <v>189.788</v>
      </c>
      <c r="M41" s="11" t="n">
        <f aca="false">SUM(G41:L41)</f>
        <v>4165.297</v>
      </c>
      <c r="N41" s="11" t="n">
        <v>133.69</v>
      </c>
      <c r="O41" s="11" t="n">
        <v>163.063</v>
      </c>
      <c r="P41" s="11" t="n">
        <v>231.505</v>
      </c>
      <c r="Q41" s="11" t="n">
        <v>42.096</v>
      </c>
      <c r="R41" s="11" t="n">
        <v>50.184</v>
      </c>
      <c r="S41" s="11" t="n">
        <v>34.342</v>
      </c>
      <c r="T41" s="11" t="n">
        <f aca="false">SUM(N41:S41)</f>
        <v>654.88</v>
      </c>
      <c r="U41" s="11" t="n">
        <v>824.354</v>
      </c>
      <c r="V41" s="11" t="n">
        <v>482.994</v>
      </c>
      <c r="W41" s="11" t="n">
        <v>1421.256</v>
      </c>
      <c r="X41" s="11" t="n">
        <v>143.308</v>
      </c>
      <c r="Y41" s="11" t="n">
        <v>568.138</v>
      </c>
      <c r="Z41" s="11" t="n">
        <v>307.246</v>
      </c>
      <c r="AA41" s="11" t="n">
        <f aca="false">SUM(U41:Z41)</f>
        <v>3747.296</v>
      </c>
      <c r="AB41" s="11" t="n">
        <v>144.314</v>
      </c>
      <c r="AC41" s="11" t="n">
        <v>83.604</v>
      </c>
      <c r="AD41" s="11" t="n">
        <v>241.593</v>
      </c>
      <c r="AE41" s="11" t="n">
        <v>21.738</v>
      </c>
      <c r="AF41" s="11" t="n">
        <v>96.439</v>
      </c>
      <c r="AG41" s="11" t="n">
        <v>47.786</v>
      </c>
      <c r="AH41" s="11" t="n">
        <f aca="false">SUM(AB41:AG41)</f>
        <v>635.474</v>
      </c>
    </row>
    <row r="42" customFormat="false" ht="15" hidden="false" customHeight="false" outlineLevel="1" collapsed="false">
      <c r="A42" s="19"/>
      <c r="B42" s="19"/>
      <c r="C42" s="17" t="s">
        <v>1940</v>
      </c>
      <c r="D42" s="19" t="s">
        <v>1199</v>
      </c>
      <c r="E42" s="19"/>
      <c r="F42" s="19"/>
      <c r="G42" s="18" t="n">
        <f aca="false">SUBTOTAL(9,G6:G41)</f>
        <v>5555.408</v>
      </c>
      <c r="H42" s="18" t="n">
        <f aca="false">SUBTOTAL(9,H6:H41)</f>
        <v>5677.615</v>
      </c>
      <c r="I42" s="18" t="n">
        <f aca="false">SUBTOTAL(9,I6:I41)</f>
        <v>8435.442</v>
      </c>
      <c r="J42" s="18" t="n">
        <f aca="false">SUBTOTAL(9,J6:J41)</f>
        <v>5428.488</v>
      </c>
      <c r="K42" s="18" t="n">
        <f aca="false">SUBTOTAL(9,K6:K41)</f>
        <v>4451.975</v>
      </c>
      <c r="L42" s="18" t="n">
        <f aca="false">SUBTOTAL(9,L6:L41)</f>
        <v>4939.475</v>
      </c>
      <c r="M42" s="18" t="n">
        <f aca="false">SUBTOTAL(9,M6:M41)</f>
        <v>34488.403</v>
      </c>
      <c r="N42" s="18" t="n">
        <f aca="false">SUBTOTAL(9,N6:N41)</f>
        <v>1108.937</v>
      </c>
      <c r="O42" s="18" t="n">
        <f aca="false">SUBTOTAL(9,O6:O41)</f>
        <v>1172.594</v>
      </c>
      <c r="P42" s="18" t="n">
        <f aca="false">SUBTOTAL(9,P6:P41)</f>
        <v>1617.607</v>
      </c>
      <c r="Q42" s="18" t="n">
        <f aca="false">SUBTOTAL(9,Q6:Q41)</f>
        <v>926.053</v>
      </c>
      <c r="R42" s="18" t="n">
        <f aca="false">SUBTOTAL(9,R6:R41)</f>
        <v>911.444</v>
      </c>
      <c r="S42" s="18" t="n">
        <f aca="false">SUBTOTAL(9,S6:S41)</f>
        <v>1009.746</v>
      </c>
      <c r="T42" s="18" t="n">
        <f aca="false">SUBTOTAL(9,T6:T41)</f>
        <v>6746.381</v>
      </c>
      <c r="U42" s="18" t="n">
        <f aca="false">SUBTOTAL(9,U6:U41)</f>
        <v>5384.21</v>
      </c>
      <c r="V42" s="18" t="n">
        <f aca="false">SUBTOTAL(9,V6:V41)</f>
        <v>5714.701</v>
      </c>
      <c r="W42" s="18" t="n">
        <f aca="false">SUBTOTAL(9,W6:W41)</f>
        <v>8004.103</v>
      </c>
      <c r="X42" s="18" t="n">
        <f aca="false">SUBTOTAL(9,X6:X41)</f>
        <v>4160.646</v>
      </c>
      <c r="Y42" s="18" t="n">
        <f aca="false">SUBTOTAL(9,Y6:Y41)</f>
        <v>4309.018</v>
      </c>
      <c r="Z42" s="18" t="n">
        <f aca="false">SUBTOTAL(9,Z6:Z41)</f>
        <v>5699.274</v>
      </c>
      <c r="AA42" s="18" t="n">
        <f aca="false">SUBTOTAL(9,AA6:AA41)</f>
        <v>33271.952</v>
      </c>
      <c r="AB42" s="18" t="n">
        <f aca="false">SUBTOTAL(9,AB6:AB41)</f>
        <v>939.969</v>
      </c>
      <c r="AC42" s="18" t="n">
        <f aca="false">SUBTOTAL(9,AC6:AC41)</f>
        <v>1112.587</v>
      </c>
      <c r="AD42" s="18" t="n">
        <f aca="false">SUBTOTAL(9,AD6:AD41)</f>
        <v>1602.381</v>
      </c>
      <c r="AE42" s="18" t="n">
        <f aca="false">SUBTOTAL(9,AE6:AE41)</f>
        <v>732.035</v>
      </c>
      <c r="AF42" s="18" t="n">
        <f aca="false">SUBTOTAL(9,AF6:AF41)</f>
        <v>835.936</v>
      </c>
      <c r="AG42" s="18" t="n">
        <f aca="false">SUBTOTAL(9,AG6:AG41)</f>
        <v>1020.315</v>
      </c>
      <c r="AH42" s="18" t="n">
        <f aca="false">SUBTOTAL(9,AH6:AH41)</f>
        <v>6243.223</v>
      </c>
    </row>
    <row r="43" customFormat="false" ht="15" hidden="false" customHeight="false" outlineLevel="2" collapsed="false">
      <c r="A43" s="8" t="s">
        <v>1469</v>
      </c>
      <c r="B43" s="12" t="s">
        <v>1470</v>
      </c>
      <c r="C43" s="8" t="s">
        <v>1471</v>
      </c>
      <c r="D43" s="12" t="s">
        <v>1472</v>
      </c>
      <c r="E43" s="16"/>
      <c r="F43" s="9" t="str">
        <f aca="false">IF($E43="","",IFERROR(INDEX(担当者マスタ!$B$2:$B$101,MATCH($E43,担当者マスタ!$A$2:$A$101,0)),"※マスタ未登録"))</f>
        <v/>
      </c>
      <c r="G43" s="11" t="n">
        <v>369.6</v>
      </c>
      <c r="H43" s="11" t="n">
        <v>369.6</v>
      </c>
      <c r="I43" s="11" t="n">
        <v>369.6</v>
      </c>
      <c r="J43" s="11" t="n">
        <v>369.6</v>
      </c>
      <c r="K43" s="11" t="n">
        <v>369.6</v>
      </c>
      <c r="L43" s="11" t="n">
        <v>369.6</v>
      </c>
      <c r="M43" s="11" t="n">
        <f aca="false">SUM(G43:L43)</f>
        <v>2217.6</v>
      </c>
      <c r="N43" s="11" t="n">
        <v>35.2</v>
      </c>
      <c r="O43" s="11" t="n">
        <v>35.2</v>
      </c>
      <c r="P43" s="11" t="n">
        <v>35.2</v>
      </c>
      <c r="Q43" s="11" t="n">
        <v>35.2</v>
      </c>
      <c r="R43" s="11" t="n">
        <v>35.2</v>
      </c>
      <c r="S43" s="11" t="n">
        <v>35.2</v>
      </c>
      <c r="T43" s="11" t="n">
        <f aca="false">SUM(N43:S43)</f>
        <v>211.2</v>
      </c>
      <c r="U43" s="11" t="n">
        <v>369.6</v>
      </c>
      <c r="V43" s="11" t="n">
        <v>369.6</v>
      </c>
      <c r="W43" s="11" t="n">
        <v>277.2</v>
      </c>
      <c r="X43" s="11" t="n">
        <v>277.2</v>
      </c>
      <c r="Y43" s="11" t="n">
        <v>369.6</v>
      </c>
      <c r="Z43" s="11" t="n">
        <v>462</v>
      </c>
      <c r="AA43" s="11" t="n">
        <f aca="false">SUM(U43:Z43)</f>
        <v>2125.2</v>
      </c>
      <c r="AB43" s="11" t="n">
        <v>35.2</v>
      </c>
      <c r="AC43" s="11" t="n">
        <v>35.2</v>
      </c>
      <c r="AD43" s="11" t="n">
        <v>26.4</v>
      </c>
      <c r="AE43" s="11" t="n">
        <v>26.4</v>
      </c>
      <c r="AF43" s="11" t="n">
        <v>35.2</v>
      </c>
      <c r="AG43" s="11" t="n">
        <v>44</v>
      </c>
      <c r="AH43" s="11" t="n">
        <f aca="false">SUM(AB43:AG43)</f>
        <v>202.4</v>
      </c>
    </row>
    <row r="44" customFormat="false" ht="15" hidden="false" customHeight="false" outlineLevel="2" collapsed="false">
      <c r="A44" s="8" t="s">
        <v>1473</v>
      </c>
      <c r="B44" s="12" t="s">
        <v>1474</v>
      </c>
      <c r="C44" s="8" t="s">
        <v>1471</v>
      </c>
      <c r="D44" s="12" t="s">
        <v>1472</v>
      </c>
      <c r="E44" s="16"/>
      <c r="F44" s="9" t="str">
        <f aca="false">IF($E44="","",IFERROR(INDEX(担当者マスタ!$B$2:$B$101,MATCH($E44,担当者マスタ!$A$2:$A$101,0)),"※マスタ未登録"))</f>
        <v/>
      </c>
      <c r="G44" s="11" t="n">
        <v>0</v>
      </c>
      <c r="H44" s="11" t="n">
        <v>74.4</v>
      </c>
      <c r="I44" s="11" t="n">
        <v>975.883</v>
      </c>
      <c r="J44" s="11" t="n">
        <v>73.16</v>
      </c>
      <c r="K44" s="11" t="n">
        <v>0</v>
      </c>
      <c r="L44" s="11" t="n">
        <v>392.64</v>
      </c>
      <c r="M44" s="11" t="n">
        <f aca="false">SUM(G44:L44)</f>
        <v>1516.083</v>
      </c>
      <c r="N44" s="11" t="n">
        <v>0</v>
      </c>
      <c r="O44" s="11" t="n">
        <v>9.9</v>
      </c>
      <c r="P44" s="11" t="n">
        <v>135.902</v>
      </c>
      <c r="Q44" s="11" t="n">
        <v>9.735</v>
      </c>
      <c r="R44" s="11" t="n">
        <v>0</v>
      </c>
      <c r="S44" s="11" t="n">
        <v>47.04</v>
      </c>
      <c r="T44" s="11" t="n">
        <f aca="false">SUM(N44:S44)</f>
        <v>202.577</v>
      </c>
      <c r="U44" s="11" t="n">
        <v>247.895</v>
      </c>
      <c r="V44" s="11" t="n">
        <v>42.3</v>
      </c>
      <c r="W44" s="11" t="n">
        <v>488.768</v>
      </c>
      <c r="X44" s="11" t="n">
        <v>0</v>
      </c>
      <c r="Y44" s="11" t="n">
        <v>430.268</v>
      </c>
      <c r="Z44" s="11" t="n">
        <v>331.928</v>
      </c>
      <c r="AA44" s="11" t="n">
        <f aca="false">SUM(U44:Z44)</f>
        <v>1541.159</v>
      </c>
      <c r="AB44" s="11" t="n">
        <v>29.67</v>
      </c>
      <c r="AC44" s="11" t="n">
        <v>7.572</v>
      </c>
      <c r="AD44" s="11" t="n">
        <v>59.948</v>
      </c>
      <c r="AE44" s="11" t="n">
        <v>0</v>
      </c>
      <c r="AF44" s="11" t="n">
        <v>51.548</v>
      </c>
      <c r="AG44" s="11" t="n">
        <v>40.713</v>
      </c>
      <c r="AH44" s="11" t="n">
        <f aca="false">SUM(AB44:AG44)</f>
        <v>189.451</v>
      </c>
    </row>
    <row r="45" customFormat="false" ht="15" hidden="false" customHeight="false" outlineLevel="2" collapsed="false">
      <c r="A45" s="8" t="s">
        <v>1475</v>
      </c>
      <c r="B45" s="12" t="s">
        <v>1194</v>
      </c>
      <c r="C45" s="8" t="s">
        <v>1471</v>
      </c>
      <c r="D45" s="12" t="s">
        <v>1472</v>
      </c>
      <c r="E45" s="16"/>
      <c r="F45" s="9" t="str">
        <f aca="false">IF($E45="","",IFERROR(INDEX(担当者マスタ!$B$2:$B$101,MATCH($E45,担当者マスタ!$A$2:$A$101,0)),"※マスタ未登録"))</f>
        <v/>
      </c>
      <c r="G45" s="11" t="n">
        <v>17.475</v>
      </c>
      <c r="H45" s="11" t="n">
        <v>17.475</v>
      </c>
      <c r="I45" s="11" t="n">
        <v>17.475</v>
      </c>
      <c r="J45" s="11" t="n">
        <v>17.475</v>
      </c>
      <c r="K45" s="11" t="n">
        <v>450</v>
      </c>
      <c r="L45" s="11" t="n">
        <v>17.475</v>
      </c>
      <c r="M45" s="11" t="n">
        <f aca="false">SUM(G45:L45)</f>
        <v>537.375</v>
      </c>
      <c r="N45" s="11" t="n">
        <v>3.375</v>
      </c>
      <c r="O45" s="11" t="n">
        <v>3.375</v>
      </c>
      <c r="P45" s="11" t="n">
        <v>3.375</v>
      </c>
      <c r="Q45" s="11" t="n">
        <v>3.375</v>
      </c>
      <c r="R45" s="11" t="n">
        <v>15</v>
      </c>
      <c r="S45" s="11" t="n">
        <v>3.375</v>
      </c>
      <c r="T45" s="11" t="n">
        <f aca="false">SUM(N45:S45)</f>
        <v>31.875</v>
      </c>
      <c r="U45" s="11" t="n">
        <v>17.475</v>
      </c>
      <c r="V45" s="11" t="n">
        <v>17.475</v>
      </c>
      <c r="W45" s="11" t="n">
        <v>17.475</v>
      </c>
      <c r="X45" s="11" t="n">
        <v>0</v>
      </c>
      <c r="Y45" s="11" t="n">
        <v>17.475</v>
      </c>
      <c r="Z45" s="11" t="n">
        <v>17.475</v>
      </c>
      <c r="AA45" s="11" t="n">
        <f aca="false">SUM(U45:Z45)</f>
        <v>87.375</v>
      </c>
      <c r="AB45" s="11" t="n">
        <v>3.375</v>
      </c>
      <c r="AC45" s="11" t="n">
        <v>3.375</v>
      </c>
      <c r="AD45" s="11" t="n">
        <v>3.375</v>
      </c>
      <c r="AE45" s="11" t="n">
        <v>0</v>
      </c>
      <c r="AF45" s="11" t="n">
        <v>3.375</v>
      </c>
      <c r="AG45" s="11" t="n">
        <v>3.375</v>
      </c>
      <c r="AH45" s="11" t="n">
        <f aca="false">SUM(AB45:AG45)</f>
        <v>16.875</v>
      </c>
    </row>
    <row r="46" customFormat="false" ht="15" hidden="false" customHeight="false" outlineLevel="2" collapsed="false">
      <c r="A46" s="8" t="s">
        <v>1476</v>
      </c>
      <c r="B46" s="12" t="s">
        <v>1477</v>
      </c>
      <c r="C46" s="8" t="s">
        <v>1471</v>
      </c>
      <c r="D46" s="12" t="s">
        <v>1472</v>
      </c>
      <c r="E46" s="16"/>
      <c r="F46" s="9" t="str">
        <f aca="false">IF($E46="","",IFERROR(INDEX(担当者マスタ!$B$2:$B$101,MATCH($E46,担当者マスタ!$A$2:$A$101,0)),"※マスタ未登録"))</f>
        <v/>
      </c>
      <c r="G46" s="11" t="n">
        <v>100</v>
      </c>
      <c r="H46" s="11" t="n">
        <v>100</v>
      </c>
      <c r="I46" s="11" t="n">
        <v>100</v>
      </c>
      <c r="J46" s="11" t="n">
        <v>100</v>
      </c>
      <c r="K46" s="11" t="n">
        <v>700</v>
      </c>
      <c r="L46" s="11" t="n">
        <v>100</v>
      </c>
      <c r="M46" s="11" t="n">
        <f aca="false">SUM(G46:L46)</f>
        <v>1200</v>
      </c>
      <c r="N46" s="11" t="n">
        <v>50</v>
      </c>
      <c r="O46" s="11" t="n">
        <v>50</v>
      </c>
      <c r="P46" s="11" t="n">
        <v>50</v>
      </c>
      <c r="Q46" s="11" t="n">
        <v>50</v>
      </c>
      <c r="R46" s="11" t="n">
        <v>120</v>
      </c>
      <c r="S46" s="11" t="n">
        <v>100</v>
      </c>
      <c r="T46" s="11" t="n">
        <f aca="false">SUM(N46:S46)</f>
        <v>420</v>
      </c>
      <c r="U46" s="11" t="n">
        <v>100</v>
      </c>
      <c r="V46" s="11" t="n">
        <v>100</v>
      </c>
      <c r="W46" s="11" t="n">
        <v>100</v>
      </c>
      <c r="X46" s="11" t="n">
        <v>130.002</v>
      </c>
      <c r="Y46" s="11" t="n">
        <v>100</v>
      </c>
      <c r="Z46" s="11" t="n">
        <v>100</v>
      </c>
      <c r="AA46" s="11" t="n">
        <f aca="false">SUM(U46:Z46)</f>
        <v>630.002</v>
      </c>
      <c r="AB46" s="11" t="n">
        <v>100</v>
      </c>
      <c r="AC46" s="11" t="n">
        <v>100</v>
      </c>
      <c r="AD46" s="11" t="n">
        <v>100</v>
      </c>
      <c r="AE46" s="11" t="n">
        <v>109.212</v>
      </c>
      <c r="AF46" s="11" t="n">
        <v>100</v>
      </c>
      <c r="AG46" s="11" t="n">
        <v>100</v>
      </c>
      <c r="AH46" s="11" t="n">
        <f aca="false">SUM(AB46:AG46)</f>
        <v>609.212</v>
      </c>
    </row>
    <row r="47" customFormat="false" ht="15" hidden="false" customHeight="false" outlineLevel="2" collapsed="false">
      <c r="A47" s="8" t="s">
        <v>1478</v>
      </c>
      <c r="B47" s="12" t="s">
        <v>1479</v>
      </c>
      <c r="C47" s="8" t="s">
        <v>1471</v>
      </c>
      <c r="D47" s="12" t="s">
        <v>1472</v>
      </c>
      <c r="E47" s="16"/>
      <c r="F47" s="9" t="str">
        <f aca="false">IF($E47="","",IFERROR(INDEX(担当者マスタ!$B$2:$B$101,MATCH($E47,担当者マスタ!$A$2:$A$101,0)),"※マスタ未登録"))</f>
        <v/>
      </c>
      <c r="G47" s="11" t="n">
        <v>54.5</v>
      </c>
      <c r="H47" s="11" t="n">
        <v>18</v>
      </c>
      <c r="I47" s="11" t="n">
        <v>49</v>
      </c>
      <c r="J47" s="11" t="n">
        <v>83.1</v>
      </c>
      <c r="K47" s="11" t="n">
        <v>42.7</v>
      </c>
      <c r="L47" s="11" t="n">
        <v>18</v>
      </c>
      <c r="M47" s="11" t="n">
        <f aca="false">SUM(G47:L47)</f>
        <v>265.3</v>
      </c>
      <c r="N47" s="11" t="n">
        <v>7</v>
      </c>
      <c r="O47" s="11" t="n">
        <v>3</v>
      </c>
      <c r="P47" s="11" t="n">
        <v>9</v>
      </c>
      <c r="Q47" s="11" t="n">
        <v>9.6</v>
      </c>
      <c r="R47" s="11" t="n">
        <v>7.75</v>
      </c>
      <c r="S47" s="11" t="n">
        <v>3</v>
      </c>
      <c r="T47" s="11" t="n">
        <f aca="false">SUM(N47:S47)</f>
        <v>39.35</v>
      </c>
      <c r="U47" s="11" t="n">
        <v>23.87</v>
      </c>
      <c r="V47" s="11" t="n">
        <v>83.1</v>
      </c>
      <c r="W47" s="11" t="n">
        <v>18</v>
      </c>
      <c r="X47" s="11" t="n">
        <v>43.5</v>
      </c>
      <c r="Y47" s="11" t="n">
        <v>18</v>
      </c>
      <c r="Z47" s="11" t="n">
        <v>18</v>
      </c>
      <c r="AA47" s="11" t="n">
        <f aca="false">SUM(U47:Z47)</f>
        <v>204.47</v>
      </c>
      <c r="AB47" s="11" t="n">
        <v>8.87</v>
      </c>
      <c r="AC47" s="11" t="n">
        <v>9.6</v>
      </c>
      <c r="AD47" s="11" t="n">
        <v>3</v>
      </c>
      <c r="AE47" s="11" t="n">
        <v>14.1</v>
      </c>
      <c r="AF47" s="11" t="n">
        <v>3</v>
      </c>
      <c r="AG47" s="11" t="n">
        <v>3</v>
      </c>
      <c r="AH47" s="11" t="n">
        <f aca="false">SUM(AB47:AG47)</f>
        <v>41.57</v>
      </c>
    </row>
    <row r="48" customFormat="false" ht="15" hidden="false" customHeight="false" outlineLevel="2" collapsed="false">
      <c r="A48" s="8" t="s">
        <v>1480</v>
      </c>
      <c r="B48" s="12" t="s">
        <v>1481</v>
      </c>
      <c r="C48" s="8" t="s">
        <v>1471</v>
      </c>
      <c r="D48" s="12" t="s">
        <v>1472</v>
      </c>
      <c r="E48" s="16"/>
      <c r="F48" s="9" t="str">
        <f aca="false">IF($E48="","",IFERROR(INDEX(担当者マスタ!$B$2:$B$101,MATCH($E48,担当者マスタ!$A$2:$A$101,0)),"※マスタ未登録"))</f>
        <v/>
      </c>
      <c r="G48" s="11" t="n">
        <v>394.41</v>
      </c>
      <c r="H48" s="11" t="n">
        <v>202.183</v>
      </c>
      <c r="I48" s="11" t="n">
        <v>628.526</v>
      </c>
      <c r="J48" s="11" t="n">
        <v>399.146</v>
      </c>
      <c r="K48" s="11" t="n">
        <v>688.847</v>
      </c>
      <c r="L48" s="11" t="n">
        <v>339.586</v>
      </c>
      <c r="M48" s="11" t="n">
        <f aca="false">SUM(G48:L48)</f>
        <v>2652.698</v>
      </c>
      <c r="N48" s="11" t="n">
        <v>42.993</v>
      </c>
      <c r="O48" s="11" t="n">
        <v>21.536</v>
      </c>
      <c r="P48" s="11" t="n">
        <v>56.354</v>
      </c>
      <c r="Q48" s="11" t="n">
        <v>38.912</v>
      </c>
      <c r="R48" s="11" t="n">
        <v>75.835</v>
      </c>
      <c r="S48" s="11" t="n">
        <v>45.418</v>
      </c>
      <c r="T48" s="11" t="n">
        <f aca="false">SUM(N48:S48)</f>
        <v>281.048</v>
      </c>
      <c r="U48" s="11" t="n">
        <v>332.029</v>
      </c>
      <c r="V48" s="11" t="n">
        <v>319.839</v>
      </c>
      <c r="W48" s="11" t="n">
        <v>776.969</v>
      </c>
      <c r="X48" s="11" t="n">
        <v>479.833</v>
      </c>
      <c r="Y48" s="11" t="n">
        <v>246.164</v>
      </c>
      <c r="Z48" s="11" t="n">
        <v>514.108</v>
      </c>
      <c r="AA48" s="11" t="n">
        <f aca="false">SUM(U48:Z48)</f>
        <v>2668.942</v>
      </c>
      <c r="AB48" s="11" t="n">
        <v>36.484</v>
      </c>
      <c r="AC48" s="11" t="n">
        <v>49.707</v>
      </c>
      <c r="AD48" s="11" t="n">
        <v>102.373</v>
      </c>
      <c r="AE48" s="11" t="n">
        <v>66.216</v>
      </c>
      <c r="AF48" s="11" t="n">
        <v>42.94</v>
      </c>
      <c r="AG48" s="11" t="n">
        <v>66.86</v>
      </c>
      <c r="AH48" s="11" t="n">
        <f aca="false">SUM(AB48:AG48)</f>
        <v>364.58</v>
      </c>
    </row>
    <row r="49" customFormat="false" ht="15" hidden="false" customHeight="false" outlineLevel="2" collapsed="false">
      <c r="A49" s="8" t="s">
        <v>1482</v>
      </c>
      <c r="B49" s="12" t="s">
        <v>1483</v>
      </c>
      <c r="C49" s="8" t="s">
        <v>1471</v>
      </c>
      <c r="D49" s="12" t="s">
        <v>1472</v>
      </c>
      <c r="E49" s="16"/>
      <c r="F49" s="9" t="str">
        <f aca="false">IF($E49="","",IFERROR(INDEX(担当者マスタ!$B$2:$B$101,MATCH($E49,担当者マスタ!$A$2:$A$101,0)),"※マスタ未登録"))</f>
        <v/>
      </c>
      <c r="G49" s="11" t="n">
        <v>53.4</v>
      </c>
      <c r="H49" s="11" t="n">
        <v>10.3</v>
      </c>
      <c r="I49" s="11" t="n">
        <v>0</v>
      </c>
      <c r="J49" s="11" t="n">
        <v>0</v>
      </c>
      <c r="K49" s="11" t="n">
        <v>0</v>
      </c>
      <c r="L49" s="11" t="n">
        <v>12.8</v>
      </c>
      <c r="M49" s="11" t="n">
        <f aca="false">SUM(G49:L49)</f>
        <v>76.5</v>
      </c>
      <c r="N49" s="11" t="n">
        <v>20.9</v>
      </c>
      <c r="O49" s="11" t="n">
        <v>1.5</v>
      </c>
      <c r="P49" s="11" t="n">
        <v>0</v>
      </c>
      <c r="Q49" s="11" t="n">
        <v>0</v>
      </c>
      <c r="R49" s="11" t="n">
        <v>0</v>
      </c>
      <c r="S49" s="11" t="n">
        <v>12.8</v>
      </c>
      <c r="T49" s="11" t="n">
        <f aca="false">SUM(N49:S49)</f>
        <v>35.2</v>
      </c>
      <c r="U49" s="11" t="n">
        <v>10.3</v>
      </c>
      <c r="V49" s="11" t="n">
        <v>154.5</v>
      </c>
      <c r="W49" s="11" t="n">
        <v>0</v>
      </c>
      <c r="X49" s="11" t="n">
        <v>10.8</v>
      </c>
      <c r="Y49" s="11" t="n">
        <v>0</v>
      </c>
      <c r="Z49" s="11" t="n">
        <v>0</v>
      </c>
      <c r="AA49" s="11" t="n">
        <f aca="false">SUM(U49:Z49)</f>
        <v>175.6</v>
      </c>
      <c r="AB49" s="11" t="n">
        <v>10.3</v>
      </c>
      <c r="AC49" s="11" t="n">
        <v>154.5</v>
      </c>
      <c r="AD49" s="11" t="n">
        <v>0</v>
      </c>
      <c r="AE49" s="11" t="n">
        <v>10.8</v>
      </c>
      <c r="AF49" s="11" t="n">
        <v>0</v>
      </c>
      <c r="AG49" s="11" t="n">
        <v>0</v>
      </c>
      <c r="AH49" s="11" t="n">
        <f aca="false">SUM(AB49:AG49)</f>
        <v>175.6</v>
      </c>
    </row>
    <row r="50" customFormat="false" ht="15" hidden="false" customHeight="false" outlineLevel="2" collapsed="false">
      <c r="A50" s="8" t="s">
        <v>1484</v>
      </c>
      <c r="B50" s="12" t="s">
        <v>1485</v>
      </c>
      <c r="C50" s="8" t="s">
        <v>1471</v>
      </c>
      <c r="D50" s="12" t="s">
        <v>1472</v>
      </c>
      <c r="E50" s="16"/>
      <c r="F50" s="9" t="str">
        <f aca="false">IF($E50="","",IFERROR(INDEX(担当者マスタ!$B$2:$B$101,MATCH($E50,担当者マスタ!$A$2:$A$101,0)),"※マスタ未登録"))</f>
        <v/>
      </c>
      <c r="G50" s="11" t="n">
        <v>586</v>
      </c>
      <c r="H50" s="11" t="n">
        <v>250</v>
      </c>
      <c r="I50" s="11" t="n">
        <v>1005.6</v>
      </c>
      <c r="J50" s="11" t="n">
        <v>1780</v>
      </c>
      <c r="K50" s="11" t="n">
        <v>2163.2</v>
      </c>
      <c r="L50" s="11" t="n">
        <v>82.5</v>
      </c>
      <c r="M50" s="11" t="n">
        <f aca="false">SUM(G50:L50)</f>
        <v>5867.3</v>
      </c>
      <c r="N50" s="11" t="n">
        <v>63.2</v>
      </c>
      <c r="O50" s="11" t="n">
        <v>25</v>
      </c>
      <c r="P50" s="11" t="n">
        <v>105.6</v>
      </c>
      <c r="Q50" s="11" t="n">
        <v>199.224</v>
      </c>
      <c r="R50" s="11" t="n">
        <v>246.4</v>
      </c>
      <c r="S50" s="11" t="n">
        <v>82.5</v>
      </c>
      <c r="T50" s="11" t="n">
        <f aca="false">SUM(N50:S50)</f>
        <v>721.924</v>
      </c>
      <c r="U50" s="11" t="n">
        <v>873.6</v>
      </c>
      <c r="V50" s="11" t="n">
        <v>689.6</v>
      </c>
      <c r="W50" s="11" t="n">
        <v>0</v>
      </c>
      <c r="X50" s="11" t="n">
        <v>913.6</v>
      </c>
      <c r="Y50" s="11" t="n">
        <v>689.6</v>
      </c>
      <c r="Z50" s="11" t="n">
        <v>873.6</v>
      </c>
      <c r="AA50" s="11" t="n">
        <f aca="false">SUM(U50:Z50)</f>
        <v>4040</v>
      </c>
      <c r="AB50" s="11" t="n">
        <v>100.2</v>
      </c>
      <c r="AC50" s="11" t="n">
        <v>76.4</v>
      </c>
      <c r="AD50" s="11" t="n">
        <v>0</v>
      </c>
      <c r="AE50" s="11" t="n">
        <v>101.4</v>
      </c>
      <c r="AF50" s="11" t="n">
        <v>76.4</v>
      </c>
      <c r="AG50" s="11" t="n">
        <v>100.2</v>
      </c>
      <c r="AH50" s="11" t="n">
        <f aca="false">SUM(AB50:AG50)</f>
        <v>454.6</v>
      </c>
    </row>
    <row r="51" customFormat="false" ht="15" hidden="false" customHeight="false" outlineLevel="2" collapsed="false">
      <c r="A51" s="8" t="s">
        <v>1486</v>
      </c>
      <c r="B51" s="12" t="s">
        <v>1487</v>
      </c>
      <c r="C51" s="8" t="s">
        <v>1471</v>
      </c>
      <c r="D51" s="12" t="s">
        <v>1472</v>
      </c>
      <c r="E51" s="16"/>
      <c r="F51" s="9" t="str">
        <f aca="false">IF($E51="","",IFERROR(INDEX(担当者マスタ!$B$2:$B$101,MATCH($E51,担当者マスタ!$A$2:$A$101,0)),"※マスタ未登録"))</f>
        <v/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7.492</v>
      </c>
      <c r="L51" s="11" t="n">
        <v>0</v>
      </c>
      <c r="M51" s="11" t="n">
        <f aca="false">SUM(G51:L51)</f>
        <v>7.492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0.752</v>
      </c>
      <c r="S51" s="11" t="n">
        <v>0</v>
      </c>
      <c r="T51" s="11" t="n">
        <f aca="false">SUM(N51:S51)</f>
        <v>0.752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f aca="false">SUM(U51:Z51)</f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f aca="false">SUM(AB51:AG51)</f>
        <v>0</v>
      </c>
    </row>
    <row r="52" customFormat="false" ht="15" hidden="false" customHeight="false" outlineLevel="2" collapsed="false">
      <c r="A52" s="8" t="s">
        <v>1488</v>
      </c>
      <c r="B52" s="12" t="s">
        <v>1489</v>
      </c>
      <c r="C52" s="8" t="s">
        <v>1471</v>
      </c>
      <c r="D52" s="12" t="s">
        <v>1472</v>
      </c>
      <c r="E52" s="16"/>
      <c r="F52" s="9" t="str">
        <f aca="false">IF($E52="","",IFERROR(INDEX(担当者マスタ!$B$2:$B$101,MATCH($E52,担当者マスタ!$A$2:$A$101,0)),"※マスタ未登録"))</f>
        <v/>
      </c>
      <c r="G52" s="11" t="n">
        <v>1323.6</v>
      </c>
      <c r="H52" s="11" t="n">
        <v>2273.85</v>
      </c>
      <c r="I52" s="11" t="n">
        <v>0</v>
      </c>
      <c r="J52" s="11" t="n">
        <v>0</v>
      </c>
      <c r="K52" s="11" t="n">
        <v>0</v>
      </c>
      <c r="L52" s="11" t="n">
        <v>1267</v>
      </c>
      <c r="M52" s="11" t="n">
        <f aca="false">SUM(G52:L52)</f>
        <v>4864.45</v>
      </c>
      <c r="N52" s="11" t="n">
        <v>61.6</v>
      </c>
      <c r="O52" s="11" t="n">
        <v>104.5</v>
      </c>
      <c r="P52" s="11" t="n">
        <v>0</v>
      </c>
      <c r="Q52" s="11" t="n">
        <v>0</v>
      </c>
      <c r="R52" s="11" t="n">
        <v>0</v>
      </c>
      <c r="S52" s="11" t="n">
        <v>57.2</v>
      </c>
      <c r="T52" s="11" t="n">
        <f aca="false">SUM(N52:S52)</f>
        <v>223.3</v>
      </c>
      <c r="U52" s="11" t="n">
        <v>0</v>
      </c>
      <c r="V52" s="11" t="n">
        <v>1466.2</v>
      </c>
      <c r="W52" s="11" t="n">
        <v>0</v>
      </c>
      <c r="X52" s="11" t="n">
        <v>3370.35</v>
      </c>
      <c r="Y52" s="11" t="n">
        <v>0</v>
      </c>
      <c r="Z52" s="11" t="n">
        <v>0</v>
      </c>
      <c r="AA52" s="11" t="n">
        <f aca="false">SUM(U52:Z52)</f>
        <v>4836.55</v>
      </c>
      <c r="AB52" s="11" t="n">
        <v>0</v>
      </c>
      <c r="AC52" s="11" t="n">
        <v>66.2</v>
      </c>
      <c r="AD52" s="11" t="n">
        <v>0</v>
      </c>
      <c r="AE52" s="11" t="n">
        <v>154.35</v>
      </c>
      <c r="AF52" s="11" t="n">
        <v>0</v>
      </c>
      <c r="AG52" s="11" t="n">
        <v>0</v>
      </c>
      <c r="AH52" s="11" t="n">
        <f aca="false">SUM(AB52:AG52)</f>
        <v>220.55</v>
      </c>
    </row>
    <row r="53" customFormat="false" ht="15" hidden="false" customHeight="false" outlineLevel="2" collapsed="false">
      <c r="A53" s="8" t="s">
        <v>1490</v>
      </c>
      <c r="B53" s="12" t="s">
        <v>1491</v>
      </c>
      <c r="C53" s="8" t="s">
        <v>1471</v>
      </c>
      <c r="D53" s="12" t="s">
        <v>1472</v>
      </c>
      <c r="E53" s="16"/>
      <c r="F53" s="9" t="str">
        <f aca="false">IF($E53="","",IFERROR(INDEX(担当者マスタ!$B$2:$B$101,MATCH($E53,担当者マスタ!$A$2:$A$101,0)),"※マスタ未登録"))</f>
        <v/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151.92</v>
      </c>
      <c r="L53" s="11" t="n">
        <v>0</v>
      </c>
      <c r="M53" s="11" t="n">
        <f aca="false">SUM(G53:L53)</f>
        <v>151.92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25.32</v>
      </c>
      <c r="S53" s="11" t="n">
        <v>0</v>
      </c>
      <c r="T53" s="11" t="n">
        <f aca="false">SUM(N53:S53)</f>
        <v>25.32</v>
      </c>
      <c r="U53" s="11" t="n">
        <v>0</v>
      </c>
      <c r="V53" s="11" t="n">
        <v>601.36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f aca="false">SUM(U53:Z53)</f>
        <v>601.36</v>
      </c>
      <c r="AB53" s="11" t="n">
        <v>0</v>
      </c>
      <c r="AC53" s="11" t="n">
        <v>100.16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f aca="false">SUM(AB53:AG53)</f>
        <v>100.16</v>
      </c>
    </row>
    <row r="54" customFormat="false" ht="15" hidden="false" customHeight="false" outlineLevel="2" collapsed="false">
      <c r="A54" s="8" t="s">
        <v>1492</v>
      </c>
      <c r="B54" s="12" t="s">
        <v>1493</v>
      </c>
      <c r="C54" s="8" t="s">
        <v>1471</v>
      </c>
      <c r="D54" s="12" t="s">
        <v>1472</v>
      </c>
      <c r="E54" s="16"/>
      <c r="F54" s="9" t="str">
        <f aca="false">IF($E54="","",IFERROR(INDEX(担当者マスタ!$B$2:$B$101,MATCH($E54,担当者マスタ!$A$2:$A$101,0)),"※マスタ未登録"))</f>
        <v/>
      </c>
      <c r="G54" s="11" t="n">
        <v>101.3</v>
      </c>
      <c r="H54" s="11" t="n">
        <v>183.05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f aca="false">SUM(G54:L54)</f>
        <v>284.35</v>
      </c>
      <c r="N54" s="11" t="n">
        <v>15.3</v>
      </c>
      <c r="O54" s="11" t="n">
        <v>21.55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f aca="false">SUM(N54:S54)</f>
        <v>36.85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f aca="false">SUM(U54:Z54)</f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f aca="false">SUM(AB54:AG54)</f>
        <v>0</v>
      </c>
    </row>
    <row r="55" customFormat="false" ht="15" hidden="false" customHeight="false" outlineLevel="2" collapsed="false">
      <c r="A55" s="8" t="s">
        <v>1494</v>
      </c>
      <c r="B55" s="12" t="s">
        <v>1495</v>
      </c>
      <c r="C55" s="8" t="s">
        <v>1471</v>
      </c>
      <c r="D55" s="12" t="s">
        <v>1472</v>
      </c>
      <c r="E55" s="16"/>
      <c r="F55" s="9" t="str">
        <f aca="false">IF($E55="","",IFERROR(INDEX(担当者マスタ!$B$2:$B$101,MATCH($E55,担当者マスタ!$A$2:$A$101,0)),"※マスタ未登録"))</f>
        <v/>
      </c>
      <c r="G55" s="11" t="n">
        <v>459</v>
      </c>
      <c r="H55" s="11" t="n">
        <v>0</v>
      </c>
      <c r="I55" s="11" t="n">
        <v>493.25</v>
      </c>
      <c r="J55" s="11" t="n">
        <v>0</v>
      </c>
      <c r="K55" s="11" t="n">
        <v>0</v>
      </c>
      <c r="L55" s="11" t="n">
        <v>493.25</v>
      </c>
      <c r="M55" s="11" t="n">
        <f aca="false">SUM(G55:L55)</f>
        <v>1445.5</v>
      </c>
      <c r="N55" s="11" t="n">
        <v>78</v>
      </c>
      <c r="O55" s="11" t="n">
        <v>0</v>
      </c>
      <c r="P55" s="11" t="n">
        <v>81</v>
      </c>
      <c r="Q55" s="11" t="n">
        <v>0</v>
      </c>
      <c r="R55" s="11" t="n">
        <v>0</v>
      </c>
      <c r="S55" s="11" t="n">
        <v>78</v>
      </c>
      <c r="T55" s="11" t="n">
        <f aca="false">SUM(N55:S55)</f>
        <v>237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f aca="false">SUM(U55:Z55)</f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f aca="false">SUM(AB55:AG55)</f>
        <v>0</v>
      </c>
    </row>
    <row r="56" customFormat="false" ht="15" hidden="false" customHeight="false" outlineLevel="2" collapsed="false">
      <c r="A56" s="8" t="s">
        <v>1496</v>
      </c>
      <c r="B56" s="12" t="s">
        <v>1497</v>
      </c>
      <c r="C56" s="8" t="s">
        <v>1471</v>
      </c>
      <c r="D56" s="12" t="s">
        <v>1472</v>
      </c>
      <c r="E56" s="16"/>
      <c r="F56" s="9" t="str">
        <f aca="false">IF($E56="","",IFERROR(INDEX(担当者マスタ!$B$2:$B$101,MATCH($E56,担当者マスタ!$A$2:$A$101,0)),"※マスタ未登録"))</f>
        <v/>
      </c>
      <c r="G56" s="11" t="n">
        <v>537.7</v>
      </c>
      <c r="H56" s="11" t="n">
        <v>609.72</v>
      </c>
      <c r="I56" s="11" t="n">
        <v>1141.3</v>
      </c>
      <c r="J56" s="11" t="n">
        <v>264.048</v>
      </c>
      <c r="K56" s="11" t="n">
        <v>607.9</v>
      </c>
      <c r="L56" s="11" t="n">
        <v>878.649</v>
      </c>
      <c r="M56" s="11" t="n">
        <f aca="false">SUM(G56:L56)</f>
        <v>4039.317</v>
      </c>
      <c r="N56" s="11" t="n">
        <v>55.9</v>
      </c>
      <c r="O56" s="11" t="n">
        <v>66.92</v>
      </c>
      <c r="P56" s="11" t="n">
        <v>117.5</v>
      </c>
      <c r="Q56" s="11" t="n">
        <v>31.988</v>
      </c>
      <c r="R56" s="11" t="n">
        <v>72.392</v>
      </c>
      <c r="S56" s="11" t="n">
        <v>77.999</v>
      </c>
      <c r="T56" s="11" t="n">
        <f aca="false">SUM(N56:S56)</f>
        <v>422.699</v>
      </c>
      <c r="U56" s="11" t="n">
        <v>1373.946</v>
      </c>
      <c r="V56" s="11" t="n">
        <v>1040.911</v>
      </c>
      <c r="W56" s="11" t="n">
        <v>1431.297</v>
      </c>
      <c r="X56" s="11" t="n">
        <v>881.889</v>
      </c>
      <c r="Y56" s="11" t="n">
        <v>491.29</v>
      </c>
      <c r="Z56" s="11" t="n">
        <v>1192.58</v>
      </c>
      <c r="AA56" s="11" t="n">
        <f aca="false">SUM(U56:Z56)</f>
        <v>6411.913</v>
      </c>
      <c r="AB56" s="11" t="n">
        <v>142.14</v>
      </c>
      <c r="AC56" s="11" t="n">
        <v>109.905</v>
      </c>
      <c r="AD56" s="11" t="n">
        <v>147.833</v>
      </c>
      <c r="AE56" s="11" t="n">
        <v>90.691</v>
      </c>
      <c r="AF56" s="11" t="n">
        <v>47.678</v>
      </c>
      <c r="AG56" s="11" t="n">
        <v>124.424</v>
      </c>
      <c r="AH56" s="11" t="n">
        <f aca="false">SUM(AB56:AG56)</f>
        <v>662.671</v>
      </c>
    </row>
    <row r="57" customFormat="false" ht="15" hidden="false" customHeight="false" outlineLevel="2" collapsed="false">
      <c r="A57" s="8" t="s">
        <v>1498</v>
      </c>
      <c r="B57" s="12" t="s">
        <v>1499</v>
      </c>
      <c r="C57" s="8" t="s">
        <v>1471</v>
      </c>
      <c r="D57" s="12" t="s">
        <v>1472</v>
      </c>
      <c r="E57" s="16"/>
      <c r="F57" s="9" t="str">
        <f aca="false">IF($E57="","",IFERROR(INDEX(担当者マスタ!$B$2:$B$101,MATCH($E57,担当者マスタ!$A$2:$A$101,0)),"※マスタ未登録"))</f>
        <v/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61.848</v>
      </c>
      <c r="M57" s="11" t="n">
        <f aca="false">SUM(G57:L57)</f>
        <v>61.848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9.288</v>
      </c>
      <c r="T57" s="11" t="n">
        <f aca="false">SUM(N57:S57)</f>
        <v>9.288</v>
      </c>
      <c r="U57" s="11" t="n">
        <v>37.108</v>
      </c>
      <c r="V57" s="11" t="n">
        <v>0</v>
      </c>
      <c r="W57" s="11" t="n">
        <v>37.108</v>
      </c>
      <c r="X57" s="11" t="n">
        <v>0</v>
      </c>
      <c r="Y57" s="11" t="n">
        <v>37.108</v>
      </c>
      <c r="Z57" s="11" t="n">
        <v>0</v>
      </c>
      <c r="AA57" s="11" t="n">
        <f aca="false">SUM(U57:Z57)</f>
        <v>111.324</v>
      </c>
      <c r="AB57" s="11" t="n">
        <v>5.572</v>
      </c>
      <c r="AC57" s="11" t="n">
        <v>0</v>
      </c>
      <c r="AD57" s="11" t="n">
        <v>5.572</v>
      </c>
      <c r="AE57" s="11" t="n">
        <v>0</v>
      </c>
      <c r="AF57" s="11" t="n">
        <v>5.572</v>
      </c>
      <c r="AG57" s="11" t="n">
        <v>0</v>
      </c>
      <c r="AH57" s="11" t="n">
        <f aca="false">SUM(AB57:AG57)</f>
        <v>16.716</v>
      </c>
    </row>
    <row r="58" customFormat="false" ht="15" hidden="false" customHeight="false" outlineLevel="2" collapsed="false">
      <c r="A58" s="8" t="s">
        <v>1500</v>
      </c>
      <c r="B58" s="12" t="s">
        <v>1497</v>
      </c>
      <c r="C58" s="8" t="s">
        <v>1471</v>
      </c>
      <c r="D58" s="12" t="s">
        <v>1472</v>
      </c>
      <c r="E58" s="16"/>
      <c r="F58" s="9" t="str">
        <f aca="false">IF($E58="","",IFERROR(INDEX(担当者マスタ!$B$2:$B$101,MATCH($E58,担当者マスタ!$A$2:$A$101,0)),"※マスタ未登録"))</f>
        <v/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f aca="false">SUM(G58:L58)</f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f aca="false">SUM(N58:S58)</f>
        <v>0</v>
      </c>
      <c r="U58" s="11" t="n">
        <v>0</v>
      </c>
      <c r="V58" s="11" t="n">
        <v>0</v>
      </c>
      <c r="W58" s="11" t="n">
        <v>51.685</v>
      </c>
      <c r="X58" s="11" t="n">
        <v>0</v>
      </c>
      <c r="Y58" s="11" t="n">
        <v>0</v>
      </c>
      <c r="Z58" s="11" t="n">
        <v>0</v>
      </c>
      <c r="AA58" s="11" t="n">
        <f aca="false">SUM(U58:Z58)</f>
        <v>51.685</v>
      </c>
      <c r="AB58" s="11" t="n">
        <v>0</v>
      </c>
      <c r="AC58" s="11" t="n">
        <v>0</v>
      </c>
      <c r="AD58" s="11" t="n">
        <v>4.245</v>
      </c>
      <c r="AE58" s="11" t="n">
        <v>0</v>
      </c>
      <c r="AF58" s="11" t="n">
        <v>0</v>
      </c>
      <c r="AG58" s="11" t="n">
        <v>0</v>
      </c>
      <c r="AH58" s="11" t="n">
        <f aca="false">SUM(AB58:AG58)</f>
        <v>4.245</v>
      </c>
    </row>
    <row r="59" customFormat="false" ht="15" hidden="false" customHeight="false" outlineLevel="2" collapsed="false">
      <c r="A59" s="8" t="s">
        <v>1501</v>
      </c>
      <c r="B59" s="12" t="s">
        <v>1502</v>
      </c>
      <c r="C59" s="8" t="s">
        <v>1471</v>
      </c>
      <c r="D59" s="12" t="s">
        <v>1472</v>
      </c>
      <c r="E59" s="16"/>
      <c r="F59" s="9" t="str">
        <f aca="false">IF($E59="","",IFERROR(INDEX(担当者マスタ!$B$2:$B$101,MATCH($E59,担当者マスタ!$A$2:$A$101,0)),"※マスタ未登録"))</f>
        <v/>
      </c>
      <c r="G59" s="11" t="n">
        <v>115</v>
      </c>
      <c r="H59" s="11" t="n">
        <v>0</v>
      </c>
      <c r="I59" s="11" t="n">
        <v>209.72</v>
      </c>
      <c r="J59" s="11" t="n">
        <v>51.74</v>
      </c>
      <c r="K59" s="11" t="n">
        <v>49.62</v>
      </c>
      <c r="L59" s="11" t="n">
        <v>117.47</v>
      </c>
      <c r="M59" s="11" t="n">
        <f aca="false">SUM(G59:L59)</f>
        <v>543.55</v>
      </c>
      <c r="N59" s="11" t="n">
        <v>20.25</v>
      </c>
      <c r="O59" s="11" t="n">
        <v>0</v>
      </c>
      <c r="P59" s="11" t="n">
        <v>34.24</v>
      </c>
      <c r="Q59" s="11" t="n">
        <v>7.63</v>
      </c>
      <c r="R59" s="11" t="n">
        <v>10.02</v>
      </c>
      <c r="S59" s="11" t="n">
        <v>15.16</v>
      </c>
      <c r="T59" s="11" t="n">
        <f aca="false">SUM(N59:S59)</f>
        <v>87.3</v>
      </c>
      <c r="U59" s="11" t="n">
        <v>0</v>
      </c>
      <c r="V59" s="11" t="n">
        <v>50.54</v>
      </c>
      <c r="W59" s="11" t="n">
        <v>0</v>
      </c>
      <c r="X59" s="11" t="n">
        <v>0</v>
      </c>
      <c r="Y59" s="11" t="n">
        <v>0</v>
      </c>
      <c r="Z59" s="11" t="n">
        <v>193.76</v>
      </c>
      <c r="AA59" s="11" t="n">
        <f aca="false">SUM(U59:Z59)</f>
        <v>244.3</v>
      </c>
      <c r="AB59" s="11" t="n">
        <v>0</v>
      </c>
      <c r="AC59" s="11" t="n">
        <v>7.63</v>
      </c>
      <c r="AD59" s="11" t="n">
        <v>0</v>
      </c>
      <c r="AE59" s="11" t="n">
        <v>0</v>
      </c>
      <c r="AF59" s="11" t="n">
        <v>0</v>
      </c>
      <c r="AG59" s="11" t="n">
        <v>27.19</v>
      </c>
      <c r="AH59" s="11" t="n">
        <f aca="false">SUM(AB59:AG59)</f>
        <v>34.82</v>
      </c>
    </row>
    <row r="60" customFormat="false" ht="15" hidden="false" customHeight="false" outlineLevel="2" collapsed="false">
      <c r="A60" s="8" t="s">
        <v>1503</v>
      </c>
      <c r="B60" s="12" t="s">
        <v>1504</v>
      </c>
      <c r="C60" s="8" t="s">
        <v>1471</v>
      </c>
      <c r="D60" s="12" t="s">
        <v>1472</v>
      </c>
      <c r="E60" s="16"/>
      <c r="F60" s="9" t="str">
        <f aca="false">IF($E60="","",IFERROR(INDEX(担当者マスタ!$B$2:$B$101,MATCH($E60,担当者マスタ!$A$2:$A$101,0)),"※マスタ未登録"))</f>
        <v/>
      </c>
      <c r="G60" s="11" t="n">
        <v>0</v>
      </c>
      <c r="H60" s="11" t="n">
        <v>29.808</v>
      </c>
      <c r="I60" s="11" t="n">
        <v>0</v>
      </c>
      <c r="J60" s="11" t="n">
        <v>0</v>
      </c>
      <c r="K60" s="11" t="n">
        <v>28.94</v>
      </c>
      <c r="L60" s="11" t="n">
        <v>0</v>
      </c>
      <c r="M60" s="11" t="n">
        <f aca="false">SUM(G60:L60)</f>
        <v>58.748</v>
      </c>
      <c r="N60" s="11" t="n">
        <v>0</v>
      </c>
      <c r="O60" s="11" t="n">
        <v>4.548</v>
      </c>
      <c r="P60" s="11" t="n">
        <v>0</v>
      </c>
      <c r="Q60" s="11" t="n">
        <v>0</v>
      </c>
      <c r="R60" s="11" t="n">
        <v>4.34</v>
      </c>
      <c r="S60" s="11" t="n">
        <v>0</v>
      </c>
      <c r="T60" s="11" t="n">
        <f aca="false">SUM(N60:S60)</f>
        <v>8.888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f aca="false">SUM(U60:Z60)</f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f aca="false">SUM(AB60:AG60)</f>
        <v>0</v>
      </c>
    </row>
    <row r="61" customFormat="false" ht="15" hidden="false" customHeight="false" outlineLevel="2" collapsed="false">
      <c r="A61" s="8" t="s">
        <v>1505</v>
      </c>
      <c r="B61" s="12" t="s">
        <v>1506</v>
      </c>
      <c r="C61" s="8" t="s">
        <v>1471</v>
      </c>
      <c r="D61" s="12" t="s">
        <v>1472</v>
      </c>
      <c r="E61" s="16"/>
      <c r="F61" s="9" t="str">
        <f aca="false">IF($E61="","",IFERROR(INDEX(担当者マスタ!$B$2:$B$101,MATCH($E61,担当者マスタ!$A$2:$A$101,0)),"※マスタ未登録"))</f>
        <v/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33.96</v>
      </c>
      <c r="L61" s="11" t="n">
        <v>0</v>
      </c>
      <c r="M61" s="11" t="n">
        <f aca="false">SUM(G61:L61)</f>
        <v>33.96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4.86</v>
      </c>
      <c r="S61" s="11" t="n">
        <v>0</v>
      </c>
      <c r="T61" s="11" t="n">
        <f aca="false">SUM(N61:S61)</f>
        <v>4.86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f aca="false">SUM(U61:Z61)</f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f aca="false">SUM(AB61:AG61)</f>
        <v>0</v>
      </c>
    </row>
    <row r="62" customFormat="false" ht="15" hidden="false" customHeight="false" outlineLevel="2" collapsed="false">
      <c r="A62" s="8" t="s">
        <v>1507</v>
      </c>
      <c r="B62" s="12" t="s">
        <v>1508</v>
      </c>
      <c r="C62" s="8" t="s">
        <v>1471</v>
      </c>
      <c r="D62" s="12" t="s">
        <v>1472</v>
      </c>
      <c r="E62" s="16"/>
      <c r="F62" s="9" t="str">
        <f aca="false">IF($E62="","",IFERROR(INDEX(担当者マスタ!$B$2:$B$101,MATCH($E62,担当者マスタ!$A$2:$A$101,0)),"※マスタ未登録"))</f>
        <v/>
      </c>
      <c r="G62" s="11" t="n">
        <v>29.13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f aca="false">SUM(G62:L62)</f>
        <v>29.13</v>
      </c>
      <c r="N62" s="11" t="n">
        <v>2.925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f aca="false">SUM(N62:S62)</f>
        <v>2.925</v>
      </c>
      <c r="U62" s="11" t="n">
        <v>0</v>
      </c>
      <c r="V62" s="11" t="n">
        <v>0</v>
      </c>
      <c r="W62" s="11" t="n">
        <v>38.61</v>
      </c>
      <c r="X62" s="11" t="n">
        <v>0</v>
      </c>
      <c r="Y62" s="11" t="n">
        <v>0</v>
      </c>
      <c r="Z62" s="11" t="n">
        <v>0</v>
      </c>
      <c r="AA62" s="11" t="n">
        <f aca="false">SUM(U62:Z62)</f>
        <v>38.61</v>
      </c>
      <c r="AB62" s="11" t="n">
        <v>0</v>
      </c>
      <c r="AC62" s="11" t="n">
        <v>0</v>
      </c>
      <c r="AD62" s="11" t="n">
        <v>6.453</v>
      </c>
      <c r="AE62" s="11" t="n">
        <v>0</v>
      </c>
      <c r="AF62" s="11" t="n">
        <v>0</v>
      </c>
      <c r="AG62" s="11" t="n">
        <v>0</v>
      </c>
      <c r="AH62" s="11" t="n">
        <f aca="false">SUM(AB62:AG62)</f>
        <v>6.453</v>
      </c>
    </row>
    <row r="63" customFormat="false" ht="15" hidden="false" customHeight="false" outlineLevel="2" collapsed="false">
      <c r="A63" s="8" t="s">
        <v>1509</v>
      </c>
      <c r="B63" s="12" t="s">
        <v>1510</v>
      </c>
      <c r="C63" s="8" t="s">
        <v>1471</v>
      </c>
      <c r="D63" s="12" t="s">
        <v>1472</v>
      </c>
      <c r="E63" s="16"/>
      <c r="F63" s="9" t="str">
        <f aca="false">IF($E63="","",IFERROR(INDEX(担当者マスタ!$B$2:$B$101,MATCH($E63,担当者マスタ!$A$2:$A$101,0)),"※マスタ未登録"))</f>
        <v/>
      </c>
      <c r="G63" s="11" t="n">
        <v>127.2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23.54</v>
      </c>
      <c r="M63" s="11" t="n">
        <f aca="false">SUM(G63:L63)</f>
        <v>150.74</v>
      </c>
      <c r="N63" s="11" t="n">
        <v>8.34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3.54</v>
      </c>
      <c r="T63" s="11" t="n">
        <f aca="false">SUM(N63:S63)</f>
        <v>11.88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f aca="false">SUM(U63:Z63)</f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f aca="false">SUM(AB63:AG63)</f>
        <v>0</v>
      </c>
    </row>
    <row r="64" customFormat="false" ht="15" hidden="false" customHeight="false" outlineLevel="2" collapsed="false">
      <c r="A64" s="8" t="s">
        <v>1511</v>
      </c>
      <c r="B64" s="12" t="s">
        <v>1512</v>
      </c>
      <c r="C64" s="8" t="s">
        <v>1471</v>
      </c>
      <c r="D64" s="12" t="s">
        <v>1472</v>
      </c>
      <c r="E64" s="16"/>
      <c r="F64" s="9" t="str">
        <f aca="false">IF($E64="","",IFERROR(INDEX(担当者マスタ!$B$2:$B$101,MATCH($E64,担当者マスタ!$A$2:$A$101,0)),"※マスタ未登録"))</f>
        <v/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1312</v>
      </c>
      <c r="M64" s="11" t="n">
        <f aca="false">SUM(G64:L64)</f>
        <v>1312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160</v>
      </c>
      <c r="T64" s="11" t="n">
        <f aca="false">SUM(N64:S64)</f>
        <v>160</v>
      </c>
      <c r="U64" s="11" t="n">
        <v>0</v>
      </c>
      <c r="V64" s="11" t="n">
        <v>0</v>
      </c>
      <c r="W64" s="11" t="n">
        <v>0</v>
      </c>
      <c r="X64" s="11" t="n">
        <v>461.26</v>
      </c>
      <c r="Y64" s="11" t="n">
        <v>1045.5</v>
      </c>
      <c r="Z64" s="11" t="n">
        <v>0</v>
      </c>
      <c r="AA64" s="11" t="n">
        <f aca="false">SUM(U64:Z64)</f>
        <v>1506.76</v>
      </c>
      <c r="AB64" s="11" t="n">
        <v>0</v>
      </c>
      <c r="AC64" s="11" t="n">
        <v>0</v>
      </c>
      <c r="AD64" s="11" t="n">
        <v>0</v>
      </c>
      <c r="AE64" s="11" t="n">
        <v>56.26</v>
      </c>
      <c r="AF64" s="11" t="n">
        <v>127.5</v>
      </c>
      <c r="AG64" s="11" t="n">
        <v>0</v>
      </c>
      <c r="AH64" s="11" t="n">
        <f aca="false">SUM(AB64:AG64)</f>
        <v>183.76</v>
      </c>
    </row>
    <row r="65" customFormat="false" ht="15" hidden="false" customHeight="false" outlineLevel="2" collapsed="false">
      <c r="A65" s="8" t="s">
        <v>1513</v>
      </c>
      <c r="B65" s="12" t="s">
        <v>1514</v>
      </c>
      <c r="C65" s="8" t="s">
        <v>1471</v>
      </c>
      <c r="D65" s="12" t="s">
        <v>1472</v>
      </c>
      <c r="E65" s="16"/>
      <c r="F65" s="9" t="str">
        <f aca="false">IF($E65="","",IFERROR(INDEX(担当者マスタ!$B$2:$B$101,MATCH($E65,担当者マスタ!$A$2:$A$101,0)),"※マスタ未登録"))</f>
        <v/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f aca="false">SUM(G65:L65)</f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f aca="false">SUM(N65:S65)</f>
        <v>0</v>
      </c>
      <c r="U65" s="11" t="n">
        <v>0</v>
      </c>
      <c r="V65" s="11" t="n">
        <v>0</v>
      </c>
      <c r="W65" s="11" t="n">
        <v>0</v>
      </c>
      <c r="X65" s="11" t="n">
        <v>831.54</v>
      </c>
      <c r="Y65" s="11" t="n">
        <v>0</v>
      </c>
      <c r="Z65" s="11" t="n">
        <v>0</v>
      </c>
      <c r="AA65" s="11" t="n">
        <f aca="false">SUM(U65:Z65)</f>
        <v>831.54</v>
      </c>
      <c r="AB65" s="11" t="n">
        <v>0</v>
      </c>
      <c r="AC65" s="11" t="n">
        <v>0</v>
      </c>
      <c r="AD65" s="11" t="n">
        <v>0</v>
      </c>
      <c r="AE65" s="11" t="n">
        <v>101.54</v>
      </c>
      <c r="AF65" s="11" t="n">
        <v>0</v>
      </c>
      <c r="AG65" s="11" t="n">
        <v>0</v>
      </c>
      <c r="AH65" s="11" t="n">
        <f aca="false">SUM(AB65:AG65)</f>
        <v>101.54</v>
      </c>
    </row>
    <row r="66" customFormat="false" ht="15" hidden="false" customHeight="false" outlineLevel="2" collapsed="false">
      <c r="A66" s="8" t="s">
        <v>1515</v>
      </c>
      <c r="B66" s="12" t="s">
        <v>1516</v>
      </c>
      <c r="C66" s="8" t="s">
        <v>1471</v>
      </c>
      <c r="D66" s="12" t="s">
        <v>1472</v>
      </c>
      <c r="E66" s="16"/>
      <c r="F66" s="9" t="str">
        <f aca="false">IF($E66="","",IFERROR(INDEX(担当者マスタ!$B$2:$B$101,MATCH($E66,担当者マスタ!$A$2:$A$101,0)),"※マスタ未登録"))</f>
        <v/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f aca="false">SUM(G66:L66)</f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f aca="false">SUM(N66:S66)</f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246</v>
      </c>
      <c r="Z66" s="11" t="n">
        <v>0</v>
      </c>
      <c r="AA66" s="11" t="n">
        <f aca="false">SUM(U66:Z66)</f>
        <v>246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30</v>
      </c>
      <c r="AG66" s="11" t="n">
        <v>0</v>
      </c>
      <c r="AH66" s="11" t="n">
        <f aca="false">SUM(AB66:AG66)</f>
        <v>30</v>
      </c>
    </row>
    <row r="67" customFormat="false" ht="15" hidden="false" customHeight="false" outlineLevel="2" collapsed="false">
      <c r="A67" s="8" t="s">
        <v>1517</v>
      </c>
      <c r="B67" s="12" t="s">
        <v>1518</v>
      </c>
      <c r="C67" s="8" t="s">
        <v>1471</v>
      </c>
      <c r="D67" s="12" t="s">
        <v>1472</v>
      </c>
      <c r="E67" s="16"/>
      <c r="F67" s="9" t="str">
        <f aca="false">IF($E67="","",IFERROR(INDEX(担当者マスタ!$B$2:$B$101,MATCH($E67,担当者マスタ!$A$2:$A$101,0)),"※マスタ未登録"))</f>
        <v/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f aca="false">SUM(G67:L67)</f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f aca="false">SUM(N67:S67)</f>
        <v>0</v>
      </c>
      <c r="U67" s="11" t="n">
        <v>0</v>
      </c>
      <c r="V67" s="11" t="n">
        <v>0</v>
      </c>
      <c r="W67" s="11" t="n">
        <v>387.296</v>
      </c>
      <c r="X67" s="11" t="n">
        <v>0</v>
      </c>
      <c r="Y67" s="11" t="n">
        <v>0</v>
      </c>
      <c r="Z67" s="11" t="n">
        <v>0</v>
      </c>
      <c r="AA67" s="11" t="n">
        <f aca="false">SUM(U67:Z67)</f>
        <v>387.296</v>
      </c>
      <c r="AB67" s="11" t="n">
        <v>0</v>
      </c>
      <c r="AC67" s="11" t="n">
        <v>0</v>
      </c>
      <c r="AD67" s="11" t="n">
        <v>45.5</v>
      </c>
      <c r="AE67" s="11" t="n">
        <v>0</v>
      </c>
      <c r="AF67" s="11" t="n">
        <v>0</v>
      </c>
      <c r="AG67" s="11" t="n">
        <v>0</v>
      </c>
      <c r="AH67" s="11" t="n">
        <f aca="false">SUM(AB67:AG67)</f>
        <v>45.5</v>
      </c>
    </row>
    <row r="68" customFormat="false" ht="15" hidden="false" customHeight="false" outlineLevel="2" collapsed="false">
      <c r="A68" s="8" t="s">
        <v>1519</v>
      </c>
      <c r="B68" s="12" t="s">
        <v>1520</v>
      </c>
      <c r="C68" s="8" t="s">
        <v>1471</v>
      </c>
      <c r="D68" s="12" t="s">
        <v>1472</v>
      </c>
      <c r="E68" s="16"/>
      <c r="F68" s="9" t="str">
        <f aca="false">IF($E68="","",IFERROR(INDEX(担当者マスタ!$B$2:$B$101,MATCH($E68,担当者マスタ!$A$2:$A$101,0)),"※マスタ未登録"))</f>
        <v/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f aca="false">SUM(G68:L68)</f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f aca="false">SUM(N68:S68)</f>
        <v>0</v>
      </c>
      <c r="U68" s="11" t="n">
        <v>0</v>
      </c>
      <c r="V68" s="11" t="n">
        <v>0</v>
      </c>
      <c r="W68" s="11" t="n">
        <v>33.9</v>
      </c>
      <c r="X68" s="11" t="n">
        <v>0</v>
      </c>
      <c r="Y68" s="11" t="n">
        <v>0</v>
      </c>
      <c r="Z68" s="11" t="n">
        <v>0</v>
      </c>
      <c r="AA68" s="11" t="n">
        <f aca="false">SUM(U68:Z68)</f>
        <v>33.9</v>
      </c>
      <c r="AB68" s="11" t="n">
        <v>0</v>
      </c>
      <c r="AC68" s="11" t="n">
        <v>0</v>
      </c>
      <c r="AD68" s="11" t="n">
        <v>6.9</v>
      </c>
      <c r="AE68" s="11" t="n">
        <v>0</v>
      </c>
      <c r="AF68" s="11" t="n">
        <v>0</v>
      </c>
      <c r="AG68" s="11" t="n">
        <v>0</v>
      </c>
      <c r="AH68" s="11" t="n">
        <f aca="false">SUM(AB68:AG68)</f>
        <v>6.9</v>
      </c>
    </row>
    <row r="69" customFormat="false" ht="15" hidden="false" customHeight="false" outlineLevel="2" collapsed="false">
      <c r="A69" s="8" t="s">
        <v>1521</v>
      </c>
      <c r="B69" s="12" t="s">
        <v>1477</v>
      </c>
      <c r="C69" s="8" t="s">
        <v>1471</v>
      </c>
      <c r="D69" s="12" t="s">
        <v>1472</v>
      </c>
      <c r="E69" s="16"/>
      <c r="F69" s="9" t="str">
        <f aca="false">IF($E69="","",IFERROR(INDEX(担当者マスタ!$B$2:$B$101,MATCH($E69,担当者マスタ!$A$2:$A$101,0)),"※マスタ未登録"))</f>
        <v/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f aca="false">SUM(G69:L69)</f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f aca="false">SUM(N69:S69)</f>
        <v>0</v>
      </c>
      <c r="U69" s="11" t="n">
        <v>0</v>
      </c>
      <c r="V69" s="11" t="n">
        <v>-366.102</v>
      </c>
      <c r="W69" s="11" t="n">
        <v>95</v>
      </c>
      <c r="X69" s="11" t="n">
        <v>0</v>
      </c>
      <c r="Y69" s="11" t="n">
        <v>198</v>
      </c>
      <c r="Z69" s="11" t="n">
        <v>16</v>
      </c>
      <c r="AA69" s="11" t="n">
        <f aca="false">SUM(U69:Z69)</f>
        <v>-57.102</v>
      </c>
      <c r="AB69" s="11" t="n">
        <v>0</v>
      </c>
      <c r="AC69" s="11" t="n">
        <v>-43.602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f aca="false">SUM(AB69:AG69)</f>
        <v>-43.602</v>
      </c>
    </row>
    <row r="70" customFormat="false" ht="15" hidden="false" customHeight="false" outlineLevel="2" collapsed="false">
      <c r="A70" s="8" t="s">
        <v>1522</v>
      </c>
      <c r="B70" s="12" t="s">
        <v>1477</v>
      </c>
      <c r="C70" s="8" t="s">
        <v>1471</v>
      </c>
      <c r="D70" s="12" t="s">
        <v>1472</v>
      </c>
      <c r="E70" s="16"/>
      <c r="F70" s="9" t="str">
        <f aca="false">IF($E70="","",IFERROR(INDEX(担当者マスタ!$B$2:$B$101,MATCH($E70,担当者マスタ!$A$2:$A$101,0)),"※マスタ未登録"))</f>
        <v/>
      </c>
      <c r="G70" s="11" t="n">
        <v>0</v>
      </c>
      <c r="H70" s="11" t="n">
        <v>0</v>
      </c>
      <c r="I70" s="11" t="n">
        <v>0</v>
      </c>
      <c r="J70" s="11" t="n">
        <v>1274</v>
      </c>
      <c r="K70" s="11" t="n">
        <v>0</v>
      </c>
      <c r="L70" s="11" t="n">
        <v>30</v>
      </c>
      <c r="M70" s="11" t="n">
        <f aca="false">SUM(G70:L70)</f>
        <v>1304</v>
      </c>
      <c r="N70" s="11" t="n">
        <v>0</v>
      </c>
      <c r="O70" s="11" t="n">
        <v>0</v>
      </c>
      <c r="P70" s="11" t="n">
        <v>0</v>
      </c>
      <c r="Q70" s="11" t="n">
        <v>110.049</v>
      </c>
      <c r="R70" s="11" t="n">
        <v>0</v>
      </c>
      <c r="S70" s="11" t="n">
        <v>0</v>
      </c>
      <c r="T70" s="11" t="n">
        <f aca="false">SUM(N70:S70)</f>
        <v>110.049</v>
      </c>
      <c r="U70" s="11" t="n">
        <v>175</v>
      </c>
      <c r="V70" s="11" t="n">
        <v>0</v>
      </c>
      <c r="W70" s="11" t="n">
        <v>0</v>
      </c>
      <c r="X70" s="11" t="n">
        <v>5068.736</v>
      </c>
      <c r="Y70" s="11" t="n">
        <v>0</v>
      </c>
      <c r="Z70" s="11" t="n">
        <v>0</v>
      </c>
      <c r="AA70" s="11" t="n">
        <f aca="false">SUM(U70:Z70)</f>
        <v>5243.736</v>
      </c>
      <c r="AB70" s="11" t="n">
        <v>0</v>
      </c>
      <c r="AC70" s="11" t="n">
        <v>0</v>
      </c>
      <c r="AD70" s="11" t="n">
        <v>0</v>
      </c>
      <c r="AE70" s="11" t="n">
        <v>523.437</v>
      </c>
      <c r="AF70" s="11" t="n">
        <v>0</v>
      </c>
      <c r="AG70" s="11" t="n">
        <v>0</v>
      </c>
      <c r="AH70" s="11" t="n">
        <f aca="false">SUM(AB70:AG70)</f>
        <v>523.437</v>
      </c>
    </row>
    <row r="71" customFormat="false" ht="15" hidden="false" customHeight="false" outlineLevel="1" collapsed="false">
      <c r="A71" s="19"/>
      <c r="B71" s="19"/>
      <c r="C71" s="17" t="s">
        <v>1941</v>
      </c>
      <c r="D71" s="19" t="s">
        <v>1942</v>
      </c>
      <c r="E71" s="19"/>
      <c r="F71" s="19"/>
      <c r="G71" s="18" t="n">
        <f aca="false">SUBTOTAL(9,G43:G70)</f>
        <v>4268.315</v>
      </c>
      <c r="H71" s="18" t="n">
        <f aca="false">SUBTOTAL(9,H43:H70)</f>
        <v>4138.386</v>
      </c>
      <c r="I71" s="18" t="n">
        <f aca="false">SUBTOTAL(9,I43:I70)</f>
        <v>4990.354</v>
      </c>
      <c r="J71" s="18" t="n">
        <f aca="false">SUBTOTAL(9,J43:J70)</f>
        <v>4412.269</v>
      </c>
      <c r="K71" s="18" t="n">
        <f aca="false">SUBTOTAL(9,K43:K70)</f>
        <v>5294.179</v>
      </c>
      <c r="L71" s="18" t="n">
        <f aca="false">SUBTOTAL(9,L43:L70)</f>
        <v>5516.358</v>
      </c>
      <c r="M71" s="18" t="n">
        <f aca="false">SUBTOTAL(9,M43:M70)</f>
        <v>28619.861</v>
      </c>
      <c r="N71" s="18" t="n">
        <f aca="false">SUBTOTAL(9,N43:N70)</f>
        <v>464.983</v>
      </c>
      <c r="O71" s="18" t="n">
        <f aca="false">SUBTOTAL(9,O43:O70)</f>
        <v>347.029</v>
      </c>
      <c r="P71" s="18" t="n">
        <f aca="false">SUBTOTAL(9,P43:P70)</f>
        <v>628.171</v>
      </c>
      <c r="Q71" s="18" t="n">
        <f aca="false">SUBTOTAL(9,Q43:Q70)</f>
        <v>495.713</v>
      </c>
      <c r="R71" s="18" t="n">
        <f aca="false">SUBTOTAL(9,R43:R70)</f>
        <v>617.869</v>
      </c>
      <c r="S71" s="18" t="n">
        <f aca="false">SUBTOTAL(9,S43:S70)</f>
        <v>730.52</v>
      </c>
      <c r="T71" s="18" t="n">
        <f aca="false">SUBTOTAL(9,T43:T70)</f>
        <v>3284.285</v>
      </c>
      <c r="U71" s="18" t="n">
        <f aca="false">SUBTOTAL(9,U43:U70)</f>
        <v>3560.823</v>
      </c>
      <c r="V71" s="18" t="n">
        <f aca="false">SUBTOTAL(9,V43:V70)</f>
        <v>4569.323</v>
      </c>
      <c r="W71" s="18" t="n">
        <f aca="false">SUBTOTAL(9,W43:W70)</f>
        <v>3753.308</v>
      </c>
      <c r="X71" s="18" t="n">
        <f aca="false">SUBTOTAL(9,X43:X70)</f>
        <v>12468.71</v>
      </c>
      <c r="Y71" s="18" t="n">
        <f aca="false">SUBTOTAL(9,Y43:Y70)</f>
        <v>3889.005</v>
      </c>
      <c r="Z71" s="18" t="n">
        <f aca="false">SUBTOTAL(9,Z43:Z70)</f>
        <v>3719.451</v>
      </c>
      <c r="AA71" s="18" t="n">
        <f aca="false">SUBTOTAL(9,AA43:AA70)</f>
        <v>31960.62</v>
      </c>
      <c r="AB71" s="18" t="n">
        <f aca="false">SUBTOTAL(9,AB43:AB70)</f>
        <v>471.811</v>
      </c>
      <c r="AC71" s="18" t="n">
        <f aca="false">SUBTOTAL(9,AC43:AC70)</f>
        <v>676.647</v>
      </c>
      <c r="AD71" s="18" t="n">
        <f aca="false">SUBTOTAL(9,AD43:AD70)</f>
        <v>511.599</v>
      </c>
      <c r="AE71" s="18" t="n">
        <f aca="false">SUBTOTAL(9,AE43:AE70)</f>
        <v>1254.406</v>
      </c>
      <c r="AF71" s="18" t="n">
        <f aca="false">SUBTOTAL(9,AF43:AF70)</f>
        <v>523.213</v>
      </c>
      <c r="AG71" s="18" t="n">
        <f aca="false">SUBTOTAL(9,AG43:AG70)</f>
        <v>509.762</v>
      </c>
      <c r="AH71" s="18" t="n">
        <f aca="false">SUBTOTAL(9,AH43:AH70)</f>
        <v>3947.438</v>
      </c>
    </row>
    <row r="72" customFormat="false" ht="15" hidden="false" customHeight="false" outlineLevel="0" collapsed="false">
      <c r="A72" s="14"/>
      <c r="B72" s="14"/>
      <c r="C72" s="14" t="s">
        <v>1929</v>
      </c>
      <c r="D72" s="14"/>
      <c r="E72" s="14"/>
      <c r="F72" s="14"/>
      <c r="G72" s="15" t="n">
        <f aca="false">SUBTOTAL(9,G2:G71)</f>
        <v>38711.074</v>
      </c>
      <c r="H72" s="15" t="n">
        <f aca="false">SUBTOTAL(9,H2:H71)</f>
        <v>40989.626</v>
      </c>
      <c r="I72" s="15" t="n">
        <f aca="false">SUBTOTAL(9,I2:I71)</f>
        <v>50685.563</v>
      </c>
      <c r="J72" s="15" t="n">
        <f aca="false">SUBTOTAL(9,J2:J71)</f>
        <v>38330.762</v>
      </c>
      <c r="K72" s="15" t="n">
        <f aca="false">SUBTOTAL(9,K2:K71)</f>
        <v>40981.112</v>
      </c>
      <c r="L72" s="15" t="n">
        <f aca="false">SUBTOTAL(9,L2:L71)</f>
        <v>44915.244</v>
      </c>
      <c r="M72" s="15" t="n">
        <f aca="false">SUBTOTAL(9,M2:M71)</f>
        <v>254613.381</v>
      </c>
      <c r="N72" s="15" t="n">
        <f aca="false">SUBTOTAL(9,N2:N71)</f>
        <v>5489.388</v>
      </c>
      <c r="O72" s="15" t="n">
        <f aca="false">SUBTOTAL(9,O2:O71)</f>
        <v>5864.208</v>
      </c>
      <c r="P72" s="15" t="n">
        <f aca="false">SUBTOTAL(9,P2:P71)</f>
        <v>7551.262</v>
      </c>
      <c r="Q72" s="15" t="n">
        <f aca="false">SUBTOTAL(9,Q2:Q71)</f>
        <v>5370.607</v>
      </c>
      <c r="R72" s="15" t="n">
        <f aca="false">SUBTOTAL(9,R2:R71)</f>
        <v>5888.613</v>
      </c>
      <c r="S72" s="15" t="n">
        <f aca="false">SUBTOTAL(9,S2:S71)</f>
        <v>7507.64</v>
      </c>
      <c r="T72" s="15" t="n">
        <f aca="false">SUBTOTAL(9,T2:T71)</f>
        <v>37671.718</v>
      </c>
      <c r="U72" s="15" t="n">
        <f aca="false">SUBTOTAL(9,U2:U71)</f>
        <v>38399.165</v>
      </c>
      <c r="V72" s="15" t="n">
        <f aca="false">SUBTOTAL(9,V2:V71)</f>
        <v>41320.073</v>
      </c>
      <c r="W72" s="15" t="n">
        <f aca="false">SUBTOTAL(9,W2:W71)</f>
        <v>51099.299</v>
      </c>
      <c r="X72" s="15" t="n">
        <f aca="false">SUBTOTAL(9,X2:X71)</f>
        <v>43547.266</v>
      </c>
      <c r="Y72" s="15" t="n">
        <f aca="false">SUBTOTAL(9,Y2:Y71)</f>
        <v>36757.604</v>
      </c>
      <c r="Z72" s="15" t="n">
        <f aca="false">SUBTOTAL(9,Z2:Z71)</f>
        <v>39511.276</v>
      </c>
      <c r="AA72" s="15" t="n">
        <f aca="false">SUBTOTAL(9,AA2:AA71)</f>
        <v>250634.683</v>
      </c>
      <c r="AB72" s="15" t="n">
        <f aca="false">SUBTOTAL(9,AB2:AB71)</f>
        <v>5360.223</v>
      </c>
      <c r="AC72" s="15" t="n">
        <f aca="false">SUBTOTAL(9,AC2:AC71)</f>
        <v>6097.778</v>
      </c>
      <c r="AD72" s="15" t="n">
        <f aca="false">SUBTOTAL(9,AD2:AD71)</f>
        <v>7387.314</v>
      </c>
      <c r="AE72" s="15" t="n">
        <f aca="false">SUBTOTAL(9,AE2:AE71)</f>
        <v>5526.76</v>
      </c>
      <c r="AF72" s="15" t="n">
        <f aca="false">SUBTOTAL(9,AF2:AF71)</f>
        <v>5343.81</v>
      </c>
      <c r="AG72" s="15" t="n">
        <f aca="false">SUBTOTAL(9,AG2:AG71)</f>
        <v>6745.918</v>
      </c>
      <c r="AH72" s="15" t="n">
        <f aca="false">SUBTOTAL(9,AH2:AH71)</f>
        <v>36461.803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15"/>
    <col collapsed="false" customWidth="true" hidden="false" outlineLevel="0" max="2" min="2" style="0" width="26.5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5"/>
    <col collapsed="false" customWidth="true" hidden="false" outlineLevel="0" max="6" min="6" style="0" width="14.75"/>
    <col collapsed="false" customWidth="true" hidden="false" outlineLevel="0" max="12" min="7" style="0" width="11"/>
    <col collapsed="false" customWidth="true" hidden="false" outlineLevel="0" max="13" min="13" style="0" width="12.5"/>
    <col collapsed="false" customWidth="true" hidden="false" outlineLevel="0" max="19" min="14" style="0" width="11"/>
    <col collapsed="false" customWidth="true" hidden="false" outlineLevel="0" max="20" min="20" style="0" width="12.5"/>
    <col collapsed="false" customWidth="true" hidden="false" outlineLevel="0" max="26" min="21" style="0" width="11"/>
    <col collapsed="false" customWidth="true" hidden="false" outlineLevel="0" max="27" min="27" style="0" width="12.5"/>
    <col collapsed="false" customWidth="true" hidden="false" outlineLevel="0" max="33" min="28" style="0" width="11"/>
    <col collapsed="false" customWidth="true" hidden="false" outlineLevel="0" max="34" min="34" style="0" width="12.5"/>
  </cols>
  <sheetData>
    <row r="1" customFormat="false" ht="37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6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6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6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6" t="s">
        <v>54</v>
      </c>
    </row>
    <row r="2" customFormat="false" ht="15" hidden="false" customHeight="false" outlineLevel="2" collapsed="false">
      <c r="A2" s="8" t="s">
        <v>951</v>
      </c>
      <c r="B2" s="12" t="s">
        <v>952</v>
      </c>
      <c r="C2" s="8" t="s">
        <v>953</v>
      </c>
      <c r="D2" s="12" t="s">
        <v>954</v>
      </c>
      <c r="E2" s="16"/>
      <c r="F2" s="9" t="str">
        <f aca="false">IF($E2="","",IFERROR(INDEX(担当者マスタ!$B$2:$B$101,MATCH($E2,担当者マスタ!$A$2:$A$101,0)),"※マスタ未登録"))</f>
        <v/>
      </c>
      <c r="G2" s="11" t="n">
        <v>7.225</v>
      </c>
      <c r="H2" s="11" t="n">
        <v>23.4</v>
      </c>
      <c r="I2" s="11" t="n">
        <v>23.4</v>
      </c>
      <c r="J2" s="11" t="n">
        <v>0</v>
      </c>
      <c r="K2" s="11" t="n">
        <v>18.925</v>
      </c>
      <c r="L2" s="11" t="n">
        <v>23.4</v>
      </c>
      <c r="M2" s="11" t="n">
        <f aca="false">SUM(G2:L2)</f>
        <v>96.35</v>
      </c>
      <c r="N2" s="11" t="n">
        <v>1.015</v>
      </c>
      <c r="O2" s="11" t="n">
        <v>3.24</v>
      </c>
      <c r="P2" s="11" t="n">
        <v>1.44</v>
      </c>
      <c r="Q2" s="11" t="n">
        <v>0</v>
      </c>
      <c r="R2" s="11" t="n">
        <v>1.735</v>
      </c>
      <c r="S2" s="11" t="n">
        <v>1.44</v>
      </c>
      <c r="T2" s="11" t="n">
        <f aca="false">SUM(N2:S2)</f>
        <v>8.87</v>
      </c>
      <c r="U2" s="11" t="n">
        <v>11.7</v>
      </c>
      <c r="V2" s="11" t="n">
        <v>22.11</v>
      </c>
      <c r="W2" s="11" t="n">
        <v>42.325</v>
      </c>
      <c r="X2" s="11" t="n">
        <v>0</v>
      </c>
      <c r="Y2" s="11" t="n">
        <v>18.925</v>
      </c>
      <c r="Z2" s="11" t="n">
        <v>35.1</v>
      </c>
      <c r="AA2" s="11" t="n">
        <f aca="false">SUM(U2:Z2)</f>
        <v>130.16</v>
      </c>
      <c r="AB2" s="11" t="n">
        <v>0.72</v>
      </c>
      <c r="AC2" s="11" t="n">
        <v>2.49</v>
      </c>
      <c r="AD2" s="11" t="n">
        <v>3.175</v>
      </c>
      <c r="AE2" s="11" t="n">
        <v>0</v>
      </c>
      <c r="AF2" s="11" t="n">
        <v>1.735</v>
      </c>
      <c r="AG2" s="11" t="n">
        <v>2.16</v>
      </c>
      <c r="AH2" s="11" t="n">
        <f aca="false">SUM(AB2:AG2)</f>
        <v>10.28</v>
      </c>
    </row>
    <row r="3" customFormat="false" ht="15" hidden="false" customHeight="false" outlineLevel="2" collapsed="false">
      <c r="A3" s="8" t="s">
        <v>956</v>
      </c>
      <c r="B3" s="9" t="s">
        <v>957</v>
      </c>
      <c r="C3" s="8" t="s">
        <v>953</v>
      </c>
      <c r="D3" s="12" t="s">
        <v>954</v>
      </c>
      <c r="E3" s="16"/>
      <c r="F3" s="9" t="str">
        <f aca="false">IF($E3="","",IFERROR(INDEX(担当者マスタ!$B$2:$B$101,MATCH($E3,担当者マスタ!$A$2:$A$101,0)),"※マスタ未登録"))</f>
        <v/>
      </c>
      <c r="G3" s="11" t="n">
        <v>20.64</v>
      </c>
      <c r="H3" s="11" t="n">
        <v>39.6</v>
      </c>
      <c r="I3" s="11" t="n">
        <v>78</v>
      </c>
      <c r="J3" s="11" t="n">
        <v>16.6</v>
      </c>
      <c r="K3" s="11" t="n">
        <v>57.55</v>
      </c>
      <c r="L3" s="11" t="n">
        <v>73</v>
      </c>
      <c r="M3" s="11" t="n">
        <f aca="false">SUM(G3:L3)</f>
        <v>285.39</v>
      </c>
      <c r="N3" s="11" t="n">
        <v>4.28</v>
      </c>
      <c r="O3" s="11" t="n">
        <v>9.585</v>
      </c>
      <c r="P3" s="11" t="n">
        <v>16.53</v>
      </c>
      <c r="Q3" s="11" t="n">
        <v>3.786</v>
      </c>
      <c r="R3" s="11" t="n">
        <v>12.6</v>
      </c>
      <c r="S3" s="11" t="n">
        <v>15.824</v>
      </c>
      <c r="T3" s="11" t="n">
        <f aca="false">SUM(N3:S3)</f>
        <v>62.605</v>
      </c>
      <c r="U3" s="11" t="n">
        <v>18.45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f aca="false">SUM(U3:Z3)</f>
        <v>18.45</v>
      </c>
      <c r="AB3" s="11" t="n">
        <v>4.238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f aca="false">SUM(AB3:AG3)</f>
        <v>4.238</v>
      </c>
    </row>
    <row r="4" customFormat="false" ht="15" hidden="false" customHeight="false" outlineLevel="2" collapsed="false">
      <c r="A4" s="8" t="s">
        <v>958</v>
      </c>
      <c r="B4" s="12" t="s">
        <v>959</v>
      </c>
      <c r="C4" s="8" t="s">
        <v>953</v>
      </c>
      <c r="D4" s="12" t="s">
        <v>954</v>
      </c>
      <c r="E4" s="16"/>
      <c r="F4" s="9" t="str">
        <f aca="false">IF($E4="","",IFERROR(INDEX(担当者マスタ!$B$2:$B$101,MATCH($E4,担当者マスタ!$A$2:$A$101,0)),"※マスタ未登録"))</f>
        <v/>
      </c>
      <c r="G4" s="11" t="n">
        <v>0</v>
      </c>
      <c r="H4" s="11" t="n">
        <v>0</v>
      </c>
      <c r="I4" s="11" t="n">
        <v>4.8</v>
      </c>
      <c r="J4" s="11" t="n">
        <v>0</v>
      </c>
      <c r="K4" s="11" t="n">
        <v>3.63</v>
      </c>
      <c r="L4" s="11" t="n">
        <v>3.63</v>
      </c>
      <c r="M4" s="11" t="n">
        <f aca="false">SUM(G4:L4)</f>
        <v>12.06</v>
      </c>
      <c r="N4" s="11" t="n">
        <v>0</v>
      </c>
      <c r="O4" s="11" t="n">
        <v>0</v>
      </c>
      <c r="P4" s="11" t="n">
        <v>0.45</v>
      </c>
      <c r="Q4" s="11" t="n">
        <v>0</v>
      </c>
      <c r="R4" s="11" t="n">
        <v>0.73</v>
      </c>
      <c r="S4" s="11" t="n">
        <v>0.73</v>
      </c>
      <c r="T4" s="11" t="n">
        <f aca="false">SUM(N4:S4)</f>
        <v>1.91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3.3</v>
      </c>
      <c r="AA4" s="11" t="n">
        <f aca="false">SUM(U4:Z4)</f>
        <v>3.3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0.66</v>
      </c>
      <c r="AH4" s="11" t="n">
        <f aca="false">SUM(AB4:AG4)</f>
        <v>0.66</v>
      </c>
    </row>
    <row r="5" customFormat="false" ht="15" hidden="false" customHeight="false" outlineLevel="2" collapsed="false">
      <c r="A5" s="8" t="s">
        <v>960</v>
      </c>
      <c r="B5" s="12" t="s">
        <v>961</v>
      </c>
      <c r="C5" s="8" t="s">
        <v>953</v>
      </c>
      <c r="D5" s="12" t="s">
        <v>954</v>
      </c>
      <c r="E5" s="16"/>
      <c r="F5" s="9" t="str">
        <f aca="false">IF($E5="","",IFERROR(INDEX(担当者マスタ!$B$2:$B$101,MATCH($E5,担当者マスタ!$A$2:$A$101,0)),"※マスタ未登録"))</f>
        <v/>
      </c>
      <c r="G5" s="11" t="n">
        <v>9.6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f aca="false">SUM(G5:L5)</f>
        <v>9.6</v>
      </c>
      <c r="N5" s="11" t="n">
        <v>0.9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f aca="false">SUM(N5:S5)</f>
        <v>0.9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f aca="false">SUM(U5:Z5)</f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f aca="false">SUM(AB5:AG5)</f>
        <v>0</v>
      </c>
    </row>
    <row r="6" customFormat="false" ht="15" hidden="false" customHeight="false" outlineLevel="2" collapsed="false">
      <c r="A6" s="8" t="s">
        <v>962</v>
      </c>
      <c r="B6" s="9" t="s">
        <v>963</v>
      </c>
      <c r="C6" s="8" t="s">
        <v>953</v>
      </c>
      <c r="D6" s="12" t="s">
        <v>954</v>
      </c>
      <c r="E6" s="16"/>
      <c r="F6" s="9" t="str">
        <f aca="false">IF($E6="","",IFERROR(INDEX(担当者マスタ!$B$2:$B$101,MATCH($E6,担当者マスタ!$A$2:$A$101,0)),"※マスタ未登録"))</f>
        <v/>
      </c>
      <c r="G6" s="11" t="n">
        <v>1371.91</v>
      </c>
      <c r="H6" s="11" t="n">
        <v>1256.094</v>
      </c>
      <c r="I6" s="11" t="n">
        <v>1626.56</v>
      </c>
      <c r="J6" s="11" t="n">
        <v>1406.29</v>
      </c>
      <c r="K6" s="11" t="n">
        <v>576.98</v>
      </c>
      <c r="L6" s="11" t="n">
        <v>1431.969</v>
      </c>
      <c r="M6" s="11" t="n">
        <f aca="false">SUM(G6:L6)</f>
        <v>7669.803</v>
      </c>
      <c r="N6" s="11" t="n">
        <v>421.462</v>
      </c>
      <c r="O6" s="11" t="n">
        <v>442.378</v>
      </c>
      <c r="P6" s="11" t="n">
        <v>566.97</v>
      </c>
      <c r="Q6" s="11" t="n">
        <v>462.864</v>
      </c>
      <c r="R6" s="11" t="n">
        <v>181.711</v>
      </c>
      <c r="S6" s="11" t="n">
        <v>465.614</v>
      </c>
      <c r="T6" s="11" t="n">
        <f aca="false">SUM(N6:S6)</f>
        <v>2540.999</v>
      </c>
      <c r="U6" s="11" t="n">
        <v>1341.002</v>
      </c>
      <c r="V6" s="11" t="n">
        <v>589.964</v>
      </c>
      <c r="W6" s="11" t="n">
        <v>1582.672</v>
      </c>
      <c r="X6" s="11" t="n">
        <v>1421.844</v>
      </c>
      <c r="Y6" s="11" t="n">
        <v>652.276</v>
      </c>
      <c r="Z6" s="11" t="n">
        <v>582.644</v>
      </c>
      <c r="AA6" s="11" t="n">
        <f aca="false">SUM(U6:Z6)</f>
        <v>6170.402</v>
      </c>
      <c r="AB6" s="11" t="n">
        <v>416.824</v>
      </c>
      <c r="AC6" s="11" t="n">
        <v>193.7</v>
      </c>
      <c r="AD6" s="11" t="n">
        <v>492.898</v>
      </c>
      <c r="AE6" s="11" t="n">
        <v>375.356</v>
      </c>
      <c r="AF6" s="11" t="n">
        <v>207.898</v>
      </c>
      <c r="AG6" s="11" t="n">
        <v>193.028</v>
      </c>
      <c r="AH6" s="11" t="n">
        <f aca="false">SUM(AB6:AG6)</f>
        <v>1879.704</v>
      </c>
    </row>
    <row r="7" customFormat="false" ht="15" hidden="false" customHeight="false" outlineLevel="2" collapsed="false">
      <c r="A7" s="8" t="s">
        <v>964</v>
      </c>
      <c r="B7" s="12" t="s">
        <v>965</v>
      </c>
      <c r="C7" s="8" t="s">
        <v>953</v>
      </c>
      <c r="D7" s="12" t="s">
        <v>954</v>
      </c>
      <c r="E7" s="16"/>
      <c r="F7" s="9" t="str">
        <f aca="false">IF($E7="","",IFERROR(INDEX(担当者マスタ!$B$2:$B$101,MATCH($E7,担当者マスタ!$A$2:$A$101,0)),"※マスタ未登録"))</f>
        <v/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f aca="false">SUM(G7:L7)</f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f aca="false">SUM(N7:S7)</f>
        <v>0</v>
      </c>
      <c r="U7" s="11" t="n">
        <v>7.08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f aca="false">SUM(U7:Z7)</f>
        <v>7.08</v>
      </c>
      <c r="AB7" s="11" t="n">
        <v>3.312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f aca="false">SUM(AB7:AG7)</f>
        <v>3.312</v>
      </c>
    </row>
    <row r="8" customFormat="false" ht="15" hidden="false" customHeight="false" outlineLevel="2" collapsed="false">
      <c r="A8" s="8" t="s">
        <v>966</v>
      </c>
      <c r="B8" s="12" t="s">
        <v>967</v>
      </c>
      <c r="C8" s="8" t="s">
        <v>953</v>
      </c>
      <c r="D8" s="12" t="s">
        <v>954</v>
      </c>
      <c r="E8" s="16"/>
      <c r="F8" s="9" t="str">
        <f aca="false">IF($E8="","",IFERROR(INDEX(担当者マスタ!$B$2:$B$101,MATCH($E8,担当者マスタ!$A$2:$A$101,0)),"※マスタ未登録"))</f>
        <v/>
      </c>
      <c r="G8" s="11" t="n">
        <v>0</v>
      </c>
      <c r="H8" s="11" t="n">
        <v>20.7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f aca="false">SUM(G8:L8)</f>
        <v>20.7</v>
      </c>
      <c r="N8" s="11" t="n">
        <v>0</v>
      </c>
      <c r="O8" s="11" t="n">
        <v>3.75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f aca="false">SUM(N8:S8)</f>
        <v>3.75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20.7</v>
      </c>
      <c r="AA8" s="11" t="n">
        <f aca="false">SUM(U8:Z8)</f>
        <v>20.7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3.75</v>
      </c>
      <c r="AH8" s="11" t="n">
        <f aca="false">SUM(AB8:AG8)</f>
        <v>3.75</v>
      </c>
    </row>
    <row r="9" customFormat="false" ht="15" hidden="false" customHeight="false" outlineLevel="2" collapsed="false">
      <c r="A9" s="8" t="s">
        <v>968</v>
      </c>
      <c r="B9" s="12" t="s">
        <v>969</v>
      </c>
      <c r="C9" s="8" t="s">
        <v>953</v>
      </c>
      <c r="D9" s="12" t="s">
        <v>954</v>
      </c>
      <c r="E9" s="16"/>
      <c r="F9" s="9" t="str">
        <f aca="false">IF($E9="","",IFERROR(INDEX(担当者マスタ!$B$2:$B$101,MATCH($E9,担当者マスタ!$A$2:$A$101,0)),"※マスタ未登録"))</f>
        <v/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f aca="false">SUM(G9:L9)</f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f aca="false">SUM(N9:S9)</f>
        <v>0</v>
      </c>
      <c r="U9" s="11" t="n">
        <v>0</v>
      </c>
      <c r="V9" s="11" t="n">
        <v>40.5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f aca="false">SUM(U9:Z9)</f>
        <v>40.5</v>
      </c>
      <c r="AB9" s="11" t="n">
        <v>0</v>
      </c>
      <c r="AC9" s="11" t="n">
        <v>12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f aca="false">SUM(AB9:AG9)</f>
        <v>12</v>
      </c>
    </row>
    <row r="10" customFormat="false" ht="15" hidden="false" customHeight="false" outlineLevel="2" collapsed="false">
      <c r="A10" s="8" t="s">
        <v>970</v>
      </c>
      <c r="B10" s="12" t="s">
        <v>971</v>
      </c>
      <c r="C10" s="8" t="s">
        <v>953</v>
      </c>
      <c r="D10" s="12" t="s">
        <v>954</v>
      </c>
      <c r="E10" s="16"/>
      <c r="F10" s="9" t="str">
        <f aca="false">IF($E10="","",IFERROR(INDEX(担当者マスタ!$B$2:$B$101,MATCH($E10,担当者マスタ!$A$2:$A$101,0)),"※マスタ未登録"))</f>
        <v/>
      </c>
      <c r="G10" s="11" t="n">
        <v>128.58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f aca="false">SUM(G10:L10)</f>
        <v>128.58</v>
      </c>
      <c r="N10" s="11" t="n">
        <v>37.28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f aca="false">SUM(N10:S10)</f>
        <v>37.28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f aca="false">SUM(U10:Z10)</f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f aca="false">SUM(AB10:AG10)</f>
        <v>0</v>
      </c>
    </row>
    <row r="11" customFormat="false" ht="15" hidden="false" customHeight="false" outlineLevel="2" collapsed="false">
      <c r="A11" s="8" t="s">
        <v>972</v>
      </c>
      <c r="B11" s="12" t="s">
        <v>973</v>
      </c>
      <c r="C11" s="8" t="s">
        <v>953</v>
      </c>
      <c r="D11" s="12" t="s">
        <v>954</v>
      </c>
      <c r="E11" s="16"/>
      <c r="F11" s="9" t="str">
        <f aca="false">IF($E11="","",IFERROR(INDEX(担当者マスタ!$B$2:$B$101,MATCH($E11,担当者マスタ!$A$2:$A$101,0)),"※マスタ未登録"))</f>
        <v/>
      </c>
      <c r="G11" s="11" t="n">
        <v>1547.564</v>
      </c>
      <c r="H11" s="11" t="n">
        <v>1406</v>
      </c>
      <c r="I11" s="11" t="n">
        <v>1615.548</v>
      </c>
      <c r="J11" s="11" t="n">
        <v>863.426</v>
      </c>
      <c r="K11" s="11" t="n">
        <v>1042.139</v>
      </c>
      <c r="L11" s="11" t="n">
        <v>1264.186</v>
      </c>
      <c r="M11" s="11" t="n">
        <f aca="false">SUM(G11:L11)</f>
        <v>7738.863</v>
      </c>
      <c r="N11" s="11" t="n">
        <v>623.457</v>
      </c>
      <c r="O11" s="11" t="n">
        <v>527.519</v>
      </c>
      <c r="P11" s="11" t="n">
        <v>603.989</v>
      </c>
      <c r="Q11" s="11" t="n">
        <v>321.099</v>
      </c>
      <c r="R11" s="11" t="n">
        <v>387.532</v>
      </c>
      <c r="S11" s="11" t="n">
        <v>470.47</v>
      </c>
      <c r="T11" s="11" t="n">
        <f aca="false">SUM(N11:S11)</f>
        <v>2934.066</v>
      </c>
      <c r="U11" s="11" t="n">
        <v>1326.714</v>
      </c>
      <c r="V11" s="11" t="n">
        <v>2443.521</v>
      </c>
      <c r="W11" s="11" t="n">
        <v>3792.533</v>
      </c>
      <c r="X11" s="11" t="n">
        <v>1392.358</v>
      </c>
      <c r="Y11" s="11" t="n">
        <v>1962.283</v>
      </c>
      <c r="Z11" s="11" t="n">
        <v>2334.544</v>
      </c>
      <c r="AA11" s="11" t="n">
        <f aca="false">SUM(U11:Z11)</f>
        <v>13251.953</v>
      </c>
      <c r="AB11" s="11" t="n">
        <v>506.714</v>
      </c>
      <c r="AC11" s="11" t="n">
        <v>903.301</v>
      </c>
      <c r="AD11" s="11" t="n">
        <v>1382.363</v>
      </c>
      <c r="AE11" s="11" t="n">
        <v>517.465</v>
      </c>
      <c r="AF11" s="11" t="n">
        <v>731.053</v>
      </c>
      <c r="AG11" s="11" t="n">
        <v>867.793</v>
      </c>
      <c r="AH11" s="11" t="n">
        <f aca="false">SUM(AB11:AG11)</f>
        <v>4908.689</v>
      </c>
    </row>
    <row r="12" customFormat="false" ht="15" hidden="false" customHeight="false" outlineLevel="2" collapsed="false">
      <c r="A12" s="8" t="s">
        <v>974</v>
      </c>
      <c r="B12" s="12" t="s">
        <v>975</v>
      </c>
      <c r="C12" s="8" t="s">
        <v>953</v>
      </c>
      <c r="D12" s="12" t="s">
        <v>954</v>
      </c>
      <c r="E12" s="16"/>
      <c r="F12" s="9" t="str">
        <f aca="false">IF($E12="","",IFERROR(INDEX(担当者マスタ!$B$2:$B$101,MATCH($E12,担当者マスタ!$A$2:$A$101,0)),"※マスタ未登録"))</f>
        <v/>
      </c>
      <c r="G12" s="11" t="n">
        <v>1191.935</v>
      </c>
      <c r="H12" s="11" t="n">
        <v>1112.696</v>
      </c>
      <c r="I12" s="11" t="n">
        <v>2205.124</v>
      </c>
      <c r="J12" s="11" t="n">
        <v>890.156</v>
      </c>
      <c r="K12" s="11" t="n">
        <v>648.212</v>
      </c>
      <c r="L12" s="11" t="n">
        <v>857.469</v>
      </c>
      <c r="M12" s="11" t="n">
        <f aca="false">SUM(G12:L12)</f>
        <v>6905.592</v>
      </c>
      <c r="N12" s="11" t="n">
        <v>376.384</v>
      </c>
      <c r="O12" s="11" t="n">
        <v>342.913</v>
      </c>
      <c r="P12" s="11" t="n">
        <v>654.786</v>
      </c>
      <c r="Q12" s="11" t="n">
        <v>263.309</v>
      </c>
      <c r="R12" s="11" t="n">
        <v>199.727</v>
      </c>
      <c r="S12" s="11" t="n">
        <v>252.433</v>
      </c>
      <c r="T12" s="11" t="n">
        <f aca="false">SUM(N12:S12)</f>
        <v>2089.552</v>
      </c>
      <c r="U12" s="11" t="n">
        <v>1173.37</v>
      </c>
      <c r="V12" s="11" t="n">
        <v>805.49</v>
      </c>
      <c r="W12" s="11" t="n">
        <v>1487.927</v>
      </c>
      <c r="X12" s="11" t="n">
        <v>626.609</v>
      </c>
      <c r="Y12" s="11" t="n">
        <v>661.329</v>
      </c>
      <c r="Z12" s="11" t="n">
        <v>916.771</v>
      </c>
      <c r="AA12" s="11" t="n">
        <f aca="false">SUM(U12:Z12)</f>
        <v>5671.496</v>
      </c>
      <c r="AB12" s="11" t="n">
        <v>339.855</v>
      </c>
      <c r="AC12" s="11" t="n">
        <v>240.608</v>
      </c>
      <c r="AD12" s="11" t="n">
        <v>471.405</v>
      </c>
      <c r="AE12" s="11" t="n">
        <v>193.717</v>
      </c>
      <c r="AF12" s="11" t="n">
        <v>200.79</v>
      </c>
      <c r="AG12" s="11" t="n">
        <v>266.247</v>
      </c>
      <c r="AH12" s="11" t="n">
        <f aca="false">SUM(AB12:AG12)</f>
        <v>1712.622</v>
      </c>
    </row>
    <row r="13" customFormat="false" ht="15" hidden="false" customHeight="false" outlineLevel="2" collapsed="false">
      <c r="A13" s="8" t="s">
        <v>976</v>
      </c>
      <c r="B13" s="12" t="s">
        <v>977</v>
      </c>
      <c r="C13" s="8" t="s">
        <v>953</v>
      </c>
      <c r="D13" s="12" t="s">
        <v>954</v>
      </c>
      <c r="E13" s="16"/>
      <c r="F13" s="9" t="str">
        <f aca="false">IF($E13="","",IFERROR(INDEX(担当者マスタ!$B$2:$B$101,MATCH($E13,担当者マスタ!$A$2:$A$101,0)),"※マスタ未登録"))</f>
        <v/>
      </c>
      <c r="G13" s="11" t="n">
        <v>384.783</v>
      </c>
      <c r="H13" s="11" t="n">
        <v>336.247</v>
      </c>
      <c r="I13" s="11" t="n">
        <v>390.402</v>
      </c>
      <c r="J13" s="11" t="n">
        <v>239.207</v>
      </c>
      <c r="K13" s="11" t="n">
        <v>248.551</v>
      </c>
      <c r="L13" s="11" t="n">
        <v>379.936</v>
      </c>
      <c r="M13" s="11" t="n">
        <f aca="false">SUM(G13:L13)</f>
        <v>1979.126</v>
      </c>
      <c r="N13" s="11" t="n">
        <v>102.827</v>
      </c>
      <c r="O13" s="11" t="n">
        <v>84.486</v>
      </c>
      <c r="P13" s="11" t="n">
        <v>98.692</v>
      </c>
      <c r="Q13" s="11" t="n">
        <v>63.066</v>
      </c>
      <c r="R13" s="11" t="n">
        <v>61.868</v>
      </c>
      <c r="S13" s="11" t="n">
        <v>86.348</v>
      </c>
      <c r="T13" s="11" t="n">
        <f aca="false">SUM(N13:S13)</f>
        <v>497.287</v>
      </c>
      <c r="U13" s="11" t="n">
        <v>294.317</v>
      </c>
      <c r="V13" s="11" t="n">
        <v>305.119</v>
      </c>
      <c r="W13" s="11" t="n">
        <v>362.849</v>
      </c>
      <c r="X13" s="11" t="n">
        <v>188.841</v>
      </c>
      <c r="Y13" s="11" t="n">
        <v>176.299</v>
      </c>
      <c r="Z13" s="11" t="n">
        <v>255.538</v>
      </c>
      <c r="AA13" s="11" t="n">
        <f aca="false">SUM(U13:Z13)</f>
        <v>1582.963</v>
      </c>
      <c r="AB13" s="11" t="n">
        <v>68.426</v>
      </c>
      <c r="AC13" s="11" t="n">
        <v>75.103</v>
      </c>
      <c r="AD13" s="11" t="n">
        <v>87.018</v>
      </c>
      <c r="AE13" s="11" t="n">
        <v>39.573</v>
      </c>
      <c r="AF13" s="11" t="n">
        <v>37.862</v>
      </c>
      <c r="AG13" s="11" t="n">
        <v>56.028</v>
      </c>
      <c r="AH13" s="11" t="n">
        <f aca="false">SUM(AB13:AG13)</f>
        <v>364.01</v>
      </c>
    </row>
    <row r="14" customFormat="false" ht="15" hidden="false" customHeight="false" outlineLevel="2" collapsed="false">
      <c r="A14" s="8" t="s">
        <v>978</v>
      </c>
      <c r="B14" s="12" t="s">
        <v>979</v>
      </c>
      <c r="C14" s="8" t="s">
        <v>953</v>
      </c>
      <c r="D14" s="12" t="s">
        <v>954</v>
      </c>
      <c r="E14" s="16"/>
      <c r="F14" s="9" t="str">
        <f aca="false">IF($E14="","",IFERROR(INDEX(担当者マスタ!$B$2:$B$101,MATCH($E14,担当者マスタ!$A$2:$A$101,0)),"※マスタ未登録"))</f>
        <v/>
      </c>
      <c r="G14" s="11" t="n">
        <v>0</v>
      </c>
      <c r="H14" s="11" t="n">
        <v>22</v>
      </c>
      <c r="I14" s="11" t="n">
        <v>0</v>
      </c>
      <c r="J14" s="11" t="n">
        <v>0</v>
      </c>
      <c r="K14" s="11" t="n">
        <v>0</v>
      </c>
      <c r="L14" s="11" t="n">
        <v>11.72</v>
      </c>
      <c r="M14" s="11" t="n">
        <f aca="false">SUM(G14:L14)</f>
        <v>33.72</v>
      </c>
      <c r="N14" s="11" t="n">
        <v>0</v>
      </c>
      <c r="O14" s="11" t="n">
        <v>8.752</v>
      </c>
      <c r="P14" s="11" t="n">
        <v>0</v>
      </c>
      <c r="Q14" s="11" t="n">
        <v>0</v>
      </c>
      <c r="R14" s="11" t="n">
        <v>0</v>
      </c>
      <c r="S14" s="11" t="n">
        <v>5.62</v>
      </c>
      <c r="T14" s="11" t="n">
        <f aca="false">SUM(N14:S14)</f>
        <v>14.372</v>
      </c>
      <c r="U14" s="11" t="n">
        <v>0</v>
      </c>
      <c r="V14" s="11" t="n">
        <v>57.439</v>
      </c>
      <c r="W14" s="11" t="n">
        <v>0</v>
      </c>
      <c r="X14" s="11" t="n">
        <v>0</v>
      </c>
      <c r="Y14" s="11" t="n">
        <v>0</v>
      </c>
      <c r="Z14" s="11" t="n">
        <v>6.81</v>
      </c>
      <c r="AA14" s="11" t="n">
        <f aca="false">SUM(U14:Z14)</f>
        <v>64.249</v>
      </c>
      <c r="AB14" s="11" t="n">
        <v>0</v>
      </c>
      <c r="AC14" s="11" t="n">
        <v>20.201</v>
      </c>
      <c r="AD14" s="11" t="n">
        <v>0</v>
      </c>
      <c r="AE14" s="11" t="n">
        <v>0</v>
      </c>
      <c r="AF14" s="11" t="n">
        <v>0</v>
      </c>
      <c r="AG14" s="11" t="n">
        <v>3.59</v>
      </c>
      <c r="AH14" s="11" t="n">
        <f aca="false">SUM(AB14:AG14)</f>
        <v>23.791</v>
      </c>
    </row>
    <row r="15" customFormat="false" ht="15" hidden="false" customHeight="false" outlineLevel="2" collapsed="false">
      <c r="A15" s="8" t="s">
        <v>980</v>
      </c>
      <c r="B15" s="12" t="s">
        <v>981</v>
      </c>
      <c r="C15" s="8" t="s">
        <v>953</v>
      </c>
      <c r="D15" s="12" t="s">
        <v>954</v>
      </c>
      <c r="E15" s="16"/>
      <c r="F15" s="9" t="str">
        <f aca="false">IF($E15="","",IFERROR(INDEX(担当者マスタ!$B$2:$B$101,MATCH($E15,担当者マスタ!$A$2:$A$101,0)),"※マスタ未登録"))</f>
        <v/>
      </c>
      <c r="G15" s="11" t="n">
        <v>20.472</v>
      </c>
      <c r="H15" s="11" t="n">
        <v>112.39</v>
      </c>
      <c r="I15" s="11" t="n">
        <v>47.26</v>
      </c>
      <c r="J15" s="11" t="n">
        <v>11.3</v>
      </c>
      <c r="K15" s="11" t="n">
        <v>62.28</v>
      </c>
      <c r="L15" s="11" t="n">
        <v>0</v>
      </c>
      <c r="M15" s="11" t="n">
        <f aca="false">SUM(G15:L15)</f>
        <v>253.702</v>
      </c>
      <c r="N15" s="11" t="n">
        <v>8.292</v>
      </c>
      <c r="O15" s="11" t="n">
        <v>24.412</v>
      </c>
      <c r="P15" s="11" t="n">
        <v>12.58</v>
      </c>
      <c r="Q15" s="11" t="n">
        <v>1.75</v>
      </c>
      <c r="R15" s="11" t="n">
        <v>12.48</v>
      </c>
      <c r="S15" s="11" t="n">
        <v>0</v>
      </c>
      <c r="T15" s="11" t="n">
        <f aca="false">SUM(N15:S15)</f>
        <v>59.514</v>
      </c>
      <c r="U15" s="11" t="n">
        <v>46.6</v>
      </c>
      <c r="V15" s="11" t="n">
        <v>35.37</v>
      </c>
      <c r="W15" s="11" t="n">
        <v>0</v>
      </c>
      <c r="X15" s="11" t="n">
        <v>62.28</v>
      </c>
      <c r="Y15" s="11" t="n">
        <v>9.861</v>
      </c>
      <c r="Z15" s="11" t="n">
        <v>6.1</v>
      </c>
      <c r="AA15" s="11" t="n">
        <f aca="false">SUM(U15:Z15)</f>
        <v>160.211</v>
      </c>
      <c r="AB15" s="11" t="n">
        <v>11.1</v>
      </c>
      <c r="AC15" s="11" t="n">
        <v>11.13</v>
      </c>
      <c r="AD15" s="11" t="n">
        <v>0</v>
      </c>
      <c r="AE15" s="11" t="n">
        <v>12.48</v>
      </c>
      <c r="AF15" s="11" t="n">
        <v>3.171</v>
      </c>
      <c r="AG15" s="11" t="n">
        <v>2.37</v>
      </c>
      <c r="AH15" s="11" t="n">
        <f aca="false">SUM(AB15:AG15)</f>
        <v>40.251</v>
      </c>
    </row>
    <row r="16" customFormat="false" ht="15" hidden="false" customHeight="false" outlineLevel="2" collapsed="false">
      <c r="A16" s="8" t="s">
        <v>982</v>
      </c>
      <c r="B16" s="9" t="s">
        <v>983</v>
      </c>
      <c r="C16" s="8" t="s">
        <v>953</v>
      </c>
      <c r="D16" s="12" t="s">
        <v>954</v>
      </c>
      <c r="E16" s="16"/>
      <c r="F16" s="9" t="str">
        <f aca="false">IF($E16="","",IFERROR(INDEX(担当者マスタ!$B$2:$B$101,MATCH($E16,担当者マスタ!$A$2:$A$101,0)),"※マスタ未登録"))</f>
        <v/>
      </c>
      <c r="G16" s="11" t="n">
        <v>265.401</v>
      </c>
      <c r="H16" s="11" t="n">
        <v>211.854</v>
      </c>
      <c r="I16" s="11" t="n">
        <v>311.512</v>
      </c>
      <c r="J16" s="11" t="n">
        <v>122.486</v>
      </c>
      <c r="K16" s="11" t="n">
        <v>180.246</v>
      </c>
      <c r="L16" s="11" t="n">
        <v>221.597</v>
      </c>
      <c r="M16" s="11" t="n">
        <f aca="false">SUM(G16:L16)</f>
        <v>1313.096</v>
      </c>
      <c r="N16" s="11" t="n">
        <v>118.394</v>
      </c>
      <c r="O16" s="11" t="n">
        <v>84.555</v>
      </c>
      <c r="P16" s="11" t="n">
        <v>142.486</v>
      </c>
      <c r="Q16" s="11" t="n">
        <v>48.921</v>
      </c>
      <c r="R16" s="11" t="n">
        <v>71.683</v>
      </c>
      <c r="S16" s="11" t="n">
        <v>89.117</v>
      </c>
      <c r="T16" s="11" t="n">
        <f aca="false">SUM(N16:S16)</f>
        <v>555.156</v>
      </c>
      <c r="U16" s="11" t="n">
        <v>237.801</v>
      </c>
      <c r="V16" s="11" t="n">
        <v>165.622</v>
      </c>
      <c r="W16" s="11" t="n">
        <v>303.125</v>
      </c>
      <c r="X16" s="11" t="n">
        <v>104.459</v>
      </c>
      <c r="Y16" s="11" t="n">
        <v>150.063</v>
      </c>
      <c r="Z16" s="11" t="n">
        <v>225.907</v>
      </c>
      <c r="AA16" s="11" t="n">
        <f aca="false">SUM(U16:Z16)</f>
        <v>1186.977</v>
      </c>
      <c r="AB16" s="11" t="n">
        <v>97.19</v>
      </c>
      <c r="AC16" s="11" t="n">
        <v>70.165</v>
      </c>
      <c r="AD16" s="11" t="n">
        <v>132.679</v>
      </c>
      <c r="AE16" s="11" t="n">
        <v>40.531</v>
      </c>
      <c r="AF16" s="11" t="n">
        <v>57.168</v>
      </c>
      <c r="AG16" s="11" t="n">
        <v>93.852</v>
      </c>
      <c r="AH16" s="11" t="n">
        <f aca="false">SUM(AB16:AG16)</f>
        <v>491.585</v>
      </c>
    </row>
    <row r="17" customFormat="false" ht="15" hidden="false" customHeight="false" outlineLevel="2" collapsed="false">
      <c r="A17" s="8" t="s">
        <v>984</v>
      </c>
      <c r="B17" s="12" t="s">
        <v>730</v>
      </c>
      <c r="C17" s="8" t="s">
        <v>953</v>
      </c>
      <c r="D17" s="12" t="s">
        <v>954</v>
      </c>
      <c r="E17" s="16"/>
      <c r="F17" s="9" t="str">
        <f aca="false">IF($E17="","",IFERROR(INDEX(担当者マスタ!$B$2:$B$101,MATCH($E17,担当者マスタ!$A$2:$A$101,0)),"※マスタ未登録"))</f>
        <v/>
      </c>
      <c r="G17" s="11" t="n">
        <v>44.12</v>
      </c>
      <c r="H17" s="11" t="n">
        <v>65.3</v>
      </c>
      <c r="I17" s="11" t="n">
        <v>60.34</v>
      </c>
      <c r="J17" s="11" t="n">
        <v>29.68</v>
      </c>
      <c r="K17" s="11" t="n">
        <v>47.6</v>
      </c>
      <c r="L17" s="11" t="n">
        <v>40.33</v>
      </c>
      <c r="M17" s="11" t="n">
        <f aca="false">SUM(G17:L17)</f>
        <v>287.37</v>
      </c>
      <c r="N17" s="11" t="n">
        <v>13.94</v>
      </c>
      <c r="O17" s="11" t="n">
        <v>19.625</v>
      </c>
      <c r="P17" s="11" t="n">
        <v>21.07</v>
      </c>
      <c r="Q17" s="11" t="n">
        <v>9.28</v>
      </c>
      <c r="R17" s="11" t="n">
        <v>14.095</v>
      </c>
      <c r="S17" s="11" t="n">
        <v>13.955</v>
      </c>
      <c r="T17" s="11" t="n">
        <f aca="false">SUM(N17:S17)</f>
        <v>91.965</v>
      </c>
      <c r="U17" s="11" t="n">
        <v>91.65</v>
      </c>
      <c r="V17" s="11" t="n">
        <v>102.55</v>
      </c>
      <c r="W17" s="11" t="n">
        <v>44.12</v>
      </c>
      <c r="X17" s="11" t="n">
        <v>62.67</v>
      </c>
      <c r="Y17" s="11" t="n">
        <v>93.99</v>
      </c>
      <c r="Z17" s="11" t="n">
        <v>92.42</v>
      </c>
      <c r="AA17" s="11" t="n">
        <f aca="false">SUM(U17:Z17)</f>
        <v>487.4</v>
      </c>
      <c r="AB17" s="11" t="n">
        <v>37.45</v>
      </c>
      <c r="AC17" s="11" t="n">
        <v>39.925</v>
      </c>
      <c r="AD17" s="11" t="n">
        <v>18.69</v>
      </c>
      <c r="AE17" s="11" t="n">
        <v>26.49</v>
      </c>
      <c r="AF17" s="11" t="n">
        <v>38.48</v>
      </c>
      <c r="AG17" s="11" t="n">
        <v>33.34</v>
      </c>
      <c r="AH17" s="11" t="n">
        <f aca="false">SUM(AB17:AG17)</f>
        <v>194.375</v>
      </c>
    </row>
    <row r="18" customFormat="false" ht="15" hidden="false" customHeight="false" outlineLevel="2" collapsed="false">
      <c r="A18" s="8" t="s">
        <v>985</v>
      </c>
      <c r="B18" s="12" t="s">
        <v>986</v>
      </c>
      <c r="C18" s="8" t="s">
        <v>953</v>
      </c>
      <c r="D18" s="12" t="s">
        <v>954</v>
      </c>
      <c r="E18" s="16"/>
      <c r="F18" s="9" t="str">
        <f aca="false">IF($E18="","",IFERROR(INDEX(担当者マスタ!$B$2:$B$101,MATCH($E18,担当者マスタ!$A$2:$A$101,0)),"※マスタ未登録"))</f>
        <v/>
      </c>
      <c r="G18" s="11" t="n">
        <v>1296.541</v>
      </c>
      <c r="H18" s="11" t="n">
        <v>1306.347</v>
      </c>
      <c r="I18" s="11" t="n">
        <v>2441.148</v>
      </c>
      <c r="J18" s="11" t="n">
        <v>991.548</v>
      </c>
      <c r="K18" s="11" t="n">
        <v>903.243</v>
      </c>
      <c r="L18" s="11" t="n">
        <v>1262.929</v>
      </c>
      <c r="M18" s="11" t="n">
        <f aca="false">SUM(G18:L18)</f>
        <v>8201.756</v>
      </c>
      <c r="N18" s="11" t="n">
        <v>410.13</v>
      </c>
      <c r="O18" s="11" t="n">
        <v>393.243</v>
      </c>
      <c r="P18" s="11" t="n">
        <v>729.331</v>
      </c>
      <c r="Q18" s="11" t="n">
        <v>274.108</v>
      </c>
      <c r="R18" s="11" t="n">
        <v>242.078</v>
      </c>
      <c r="S18" s="11" t="n">
        <v>342.409</v>
      </c>
      <c r="T18" s="11" t="n">
        <f aca="false">SUM(N18:S18)</f>
        <v>2391.299</v>
      </c>
      <c r="U18" s="11" t="n">
        <v>1388.321</v>
      </c>
      <c r="V18" s="11" t="n">
        <v>994.632</v>
      </c>
      <c r="W18" s="11" t="n">
        <v>1976.759</v>
      </c>
      <c r="X18" s="11" t="n">
        <v>1014.156</v>
      </c>
      <c r="Y18" s="11" t="n">
        <v>1068.355</v>
      </c>
      <c r="Z18" s="11" t="n">
        <v>1310.903</v>
      </c>
      <c r="AA18" s="11" t="n">
        <f aca="false">SUM(U18:Z18)</f>
        <v>7753.126</v>
      </c>
      <c r="AB18" s="11" t="n">
        <v>364.021</v>
      </c>
      <c r="AC18" s="11" t="n">
        <v>255.667</v>
      </c>
      <c r="AD18" s="11" t="n">
        <v>536.661</v>
      </c>
      <c r="AE18" s="11" t="n">
        <v>260.328</v>
      </c>
      <c r="AF18" s="11" t="n">
        <v>278.487</v>
      </c>
      <c r="AG18" s="11" t="n">
        <v>341.632</v>
      </c>
      <c r="AH18" s="11" t="n">
        <f aca="false">SUM(AB18:AG18)</f>
        <v>2036.796</v>
      </c>
    </row>
    <row r="19" customFormat="false" ht="15" hidden="false" customHeight="false" outlineLevel="2" collapsed="false">
      <c r="A19" s="8" t="s">
        <v>987</v>
      </c>
      <c r="B19" s="12" t="s">
        <v>988</v>
      </c>
      <c r="C19" s="8" t="s">
        <v>953</v>
      </c>
      <c r="D19" s="12" t="s">
        <v>954</v>
      </c>
      <c r="E19" s="16"/>
      <c r="F19" s="9" t="str">
        <f aca="false">IF($E19="","",IFERROR(INDEX(担当者マスタ!$B$2:$B$101,MATCH($E19,担当者マスタ!$A$2:$A$101,0)),"※マスタ未登録"))</f>
        <v/>
      </c>
      <c r="G19" s="11" t="n">
        <v>0</v>
      </c>
      <c r="H19" s="11" t="n">
        <v>32.625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f aca="false">SUM(G19:L19)</f>
        <v>32.625</v>
      </c>
      <c r="N19" s="11" t="n">
        <v>0</v>
      </c>
      <c r="O19" s="11" t="n">
        <v>7.917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f aca="false">SUM(N19:S19)</f>
        <v>7.917</v>
      </c>
      <c r="U19" s="11" t="n">
        <v>33.728</v>
      </c>
      <c r="V19" s="11" t="n">
        <v>0</v>
      </c>
      <c r="W19" s="11" t="n">
        <v>18.352</v>
      </c>
      <c r="X19" s="11" t="n">
        <v>0</v>
      </c>
      <c r="Y19" s="11" t="n">
        <v>0</v>
      </c>
      <c r="Z19" s="11" t="n">
        <v>0</v>
      </c>
      <c r="AA19" s="11" t="n">
        <f aca="false">SUM(U19:Z19)</f>
        <v>52.08</v>
      </c>
      <c r="AB19" s="11" t="n">
        <v>8.935</v>
      </c>
      <c r="AC19" s="11" t="n">
        <v>0</v>
      </c>
      <c r="AD19" s="11" t="n">
        <v>4.862</v>
      </c>
      <c r="AE19" s="11" t="n">
        <v>0</v>
      </c>
      <c r="AF19" s="11" t="n">
        <v>0</v>
      </c>
      <c r="AG19" s="11" t="n">
        <v>0</v>
      </c>
      <c r="AH19" s="11" t="n">
        <f aca="false">SUM(AB19:AG19)</f>
        <v>13.797</v>
      </c>
    </row>
    <row r="20" customFormat="false" ht="15" hidden="false" customHeight="false" outlineLevel="2" collapsed="false">
      <c r="A20" s="8" t="s">
        <v>989</v>
      </c>
      <c r="B20" s="12" t="s">
        <v>990</v>
      </c>
      <c r="C20" s="8" t="s">
        <v>953</v>
      </c>
      <c r="D20" s="12" t="s">
        <v>954</v>
      </c>
      <c r="E20" s="16"/>
      <c r="F20" s="9" t="str">
        <f aca="false">IF($E20="","",IFERROR(INDEX(担当者マスタ!$B$2:$B$101,MATCH($E20,担当者マスタ!$A$2:$A$101,0)),"※マスタ未登録"))</f>
        <v/>
      </c>
      <c r="G20" s="11" t="n">
        <v>191.4</v>
      </c>
      <c r="H20" s="11" t="n">
        <v>273.044</v>
      </c>
      <c r="I20" s="11" t="n">
        <v>147.576</v>
      </c>
      <c r="J20" s="11" t="n">
        <v>201.03</v>
      </c>
      <c r="K20" s="11" t="n">
        <v>172.518</v>
      </c>
      <c r="L20" s="11" t="n">
        <v>157.16</v>
      </c>
      <c r="M20" s="11" t="n">
        <f aca="false">SUM(G20:L20)</f>
        <v>1142.728</v>
      </c>
      <c r="N20" s="11" t="n">
        <v>28.1</v>
      </c>
      <c r="O20" s="11" t="n">
        <v>45.292</v>
      </c>
      <c r="P20" s="11" t="n">
        <v>23.704</v>
      </c>
      <c r="Q20" s="11" t="n">
        <v>38.01</v>
      </c>
      <c r="R20" s="11" t="n">
        <v>28.473</v>
      </c>
      <c r="S20" s="11" t="n">
        <v>24.74</v>
      </c>
      <c r="T20" s="11" t="n">
        <f aca="false">SUM(N20:S20)</f>
        <v>188.319</v>
      </c>
      <c r="U20" s="11" t="n">
        <v>294.276</v>
      </c>
      <c r="V20" s="11" t="n">
        <v>303.53</v>
      </c>
      <c r="W20" s="11" t="n">
        <v>286.261</v>
      </c>
      <c r="X20" s="11" t="n">
        <v>114.644</v>
      </c>
      <c r="Y20" s="11" t="n">
        <v>248.686</v>
      </c>
      <c r="Z20" s="11" t="n">
        <v>243.36</v>
      </c>
      <c r="AA20" s="11" t="n">
        <f aca="false">SUM(U20:Z20)</f>
        <v>1490.757</v>
      </c>
      <c r="AB20" s="11" t="n">
        <v>50.204</v>
      </c>
      <c r="AC20" s="11" t="n">
        <v>50.798</v>
      </c>
      <c r="AD20" s="11" t="n">
        <v>48.249</v>
      </c>
      <c r="AE20" s="11" t="n">
        <v>18.242</v>
      </c>
      <c r="AF20" s="11" t="n">
        <v>47.01</v>
      </c>
      <c r="AG20" s="11" t="n">
        <v>41.456</v>
      </c>
      <c r="AH20" s="11" t="n">
        <f aca="false">SUM(AB20:AG20)</f>
        <v>255.959</v>
      </c>
    </row>
    <row r="21" customFormat="false" ht="15" hidden="false" customHeight="false" outlineLevel="2" collapsed="false">
      <c r="A21" s="8" t="s">
        <v>991</v>
      </c>
      <c r="B21" s="9" t="s">
        <v>992</v>
      </c>
      <c r="C21" s="8" t="s">
        <v>953</v>
      </c>
      <c r="D21" s="12" t="s">
        <v>954</v>
      </c>
      <c r="E21" s="16"/>
      <c r="F21" s="9" t="str">
        <f aca="false">IF($E21="","",IFERROR(INDEX(担当者マスタ!$B$2:$B$101,MATCH($E21,担当者マスタ!$A$2:$A$101,0)),"※マスタ未登録"))</f>
        <v/>
      </c>
      <c r="G21" s="11" t="n">
        <v>188.927</v>
      </c>
      <c r="H21" s="11" t="n">
        <v>185.72</v>
      </c>
      <c r="I21" s="11" t="n">
        <v>221.194</v>
      </c>
      <c r="J21" s="11" t="n">
        <v>99.129</v>
      </c>
      <c r="K21" s="11" t="n">
        <v>130.946</v>
      </c>
      <c r="L21" s="11" t="n">
        <v>210.101</v>
      </c>
      <c r="M21" s="11" t="n">
        <f aca="false">SUM(G21:L21)</f>
        <v>1036.017</v>
      </c>
      <c r="N21" s="11" t="n">
        <v>70.146</v>
      </c>
      <c r="O21" s="11" t="n">
        <v>67.098</v>
      </c>
      <c r="P21" s="11" t="n">
        <v>74.367</v>
      </c>
      <c r="Q21" s="11" t="n">
        <v>34.655</v>
      </c>
      <c r="R21" s="11" t="n">
        <v>44.337</v>
      </c>
      <c r="S21" s="11" t="n">
        <v>73.461</v>
      </c>
      <c r="T21" s="11" t="n">
        <f aca="false">SUM(N21:S21)</f>
        <v>364.064</v>
      </c>
      <c r="U21" s="11" t="n">
        <v>145.395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f aca="false">SUM(U21:Z21)</f>
        <v>145.395</v>
      </c>
      <c r="AB21" s="11" t="n">
        <v>53.522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f aca="false">SUM(AB21:AG21)</f>
        <v>53.522</v>
      </c>
    </row>
    <row r="22" customFormat="false" ht="15" hidden="false" customHeight="false" outlineLevel="2" collapsed="false">
      <c r="A22" s="8" t="s">
        <v>993</v>
      </c>
      <c r="B22" s="9" t="s">
        <v>994</v>
      </c>
      <c r="C22" s="8" t="s">
        <v>953</v>
      </c>
      <c r="D22" s="12" t="s">
        <v>954</v>
      </c>
      <c r="E22" s="16"/>
      <c r="F22" s="9" t="str">
        <f aca="false">IF($E22="","",IFERROR(INDEX(担当者マスタ!$B$2:$B$101,MATCH($E22,担当者マスタ!$A$2:$A$101,0)),"※マスタ未登録"))</f>
        <v/>
      </c>
      <c r="G22" s="11" t="n">
        <v>412.377</v>
      </c>
      <c r="H22" s="11" t="n">
        <v>321.857</v>
      </c>
      <c r="I22" s="11" t="n">
        <v>574.565</v>
      </c>
      <c r="J22" s="11" t="n">
        <v>198.444</v>
      </c>
      <c r="K22" s="11" t="n">
        <v>279.705</v>
      </c>
      <c r="L22" s="11" t="n">
        <v>319.721</v>
      </c>
      <c r="M22" s="11" t="n">
        <f aca="false">SUM(G22:L22)</f>
        <v>2106.669</v>
      </c>
      <c r="N22" s="11" t="n">
        <v>157.821</v>
      </c>
      <c r="O22" s="11" t="n">
        <v>123.976</v>
      </c>
      <c r="P22" s="11" t="n">
        <v>212.145</v>
      </c>
      <c r="Q22" s="11" t="n">
        <v>64.333</v>
      </c>
      <c r="R22" s="11" t="n">
        <v>106.518</v>
      </c>
      <c r="S22" s="11" t="n">
        <v>117.386</v>
      </c>
      <c r="T22" s="11" t="n">
        <f aca="false">SUM(N22:S22)</f>
        <v>782.179</v>
      </c>
      <c r="U22" s="11" t="n">
        <v>380.941</v>
      </c>
      <c r="V22" s="11" t="n">
        <v>313.126</v>
      </c>
      <c r="W22" s="11" t="n">
        <v>489.1</v>
      </c>
      <c r="X22" s="11" t="n">
        <v>199.995</v>
      </c>
      <c r="Y22" s="11" t="n">
        <v>229.389</v>
      </c>
      <c r="Z22" s="11" t="n">
        <v>265.753</v>
      </c>
      <c r="AA22" s="11" t="n">
        <f aca="false">SUM(U22:Z22)</f>
        <v>1878.304</v>
      </c>
      <c r="AB22" s="11" t="n">
        <v>146.682</v>
      </c>
      <c r="AC22" s="11" t="n">
        <v>118.767</v>
      </c>
      <c r="AD22" s="11" t="n">
        <v>182.394</v>
      </c>
      <c r="AE22" s="11" t="n">
        <v>77.148</v>
      </c>
      <c r="AF22" s="11" t="n">
        <v>82.903</v>
      </c>
      <c r="AG22" s="11" t="n">
        <v>98.95</v>
      </c>
      <c r="AH22" s="11" t="n">
        <f aca="false">SUM(AB22:AG22)</f>
        <v>706.844</v>
      </c>
    </row>
    <row r="23" customFormat="false" ht="15" hidden="false" customHeight="false" outlineLevel="2" collapsed="false">
      <c r="A23" s="8" t="s">
        <v>995</v>
      </c>
      <c r="B23" s="9" t="s">
        <v>996</v>
      </c>
      <c r="C23" s="8" t="s">
        <v>953</v>
      </c>
      <c r="D23" s="12" t="s">
        <v>954</v>
      </c>
      <c r="E23" s="16"/>
      <c r="F23" s="9" t="str">
        <f aca="false">IF($E23="","",IFERROR(INDEX(担当者マスタ!$B$2:$B$101,MATCH($E23,担当者マスタ!$A$2:$A$101,0)),"※マスタ未登録"))</f>
        <v/>
      </c>
      <c r="G23" s="11" t="n">
        <v>407.844</v>
      </c>
      <c r="H23" s="11" t="n">
        <v>425.422</v>
      </c>
      <c r="I23" s="11" t="n">
        <v>825.854</v>
      </c>
      <c r="J23" s="11" t="n">
        <v>194.29</v>
      </c>
      <c r="K23" s="11" t="n">
        <v>345.69</v>
      </c>
      <c r="L23" s="11" t="n">
        <v>433.354</v>
      </c>
      <c r="M23" s="11" t="n">
        <f aca="false">SUM(G23:L23)</f>
        <v>2632.454</v>
      </c>
      <c r="N23" s="11" t="n">
        <v>152.137</v>
      </c>
      <c r="O23" s="11" t="n">
        <v>143.833</v>
      </c>
      <c r="P23" s="11" t="n">
        <v>300.413</v>
      </c>
      <c r="Q23" s="11" t="n">
        <v>57.712</v>
      </c>
      <c r="R23" s="11" t="n">
        <v>112.483</v>
      </c>
      <c r="S23" s="11" t="n">
        <v>144.637</v>
      </c>
      <c r="T23" s="11" t="n">
        <f aca="false">SUM(N23:S23)</f>
        <v>911.215</v>
      </c>
      <c r="U23" s="11" t="n">
        <v>553.736</v>
      </c>
      <c r="V23" s="11" t="n">
        <v>332.423</v>
      </c>
      <c r="W23" s="11" t="n">
        <v>631.785</v>
      </c>
      <c r="X23" s="11" t="n">
        <v>214.175</v>
      </c>
      <c r="Y23" s="11" t="n">
        <v>368.819</v>
      </c>
      <c r="Z23" s="11" t="n">
        <v>422.313</v>
      </c>
      <c r="AA23" s="11" t="n">
        <f aca="false">SUM(U23:Z23)</f>
        <v>2523.251</v>
      </c>
      <c r="AB23" s="11" t="n">
        <v>188.705</v>
      </c>
      <c r="AC23" s="11" t="n">
        <v>112.862</v>
      </c>
      <c r="AD23" s="11" t="n">
        <v>225.252</v>
      </c>
      <c r="AE23" s="11" t="n">
        <v>70.335</v>
      </c>
      <c r="AF23" s="11" t="n">
        <v>123.508</v>
      </c>
      <c r="AG23" s="11" t="n">
        <v>146.337</v>
      </c>
      <c r="AH23" s="11" t="n">
        <f aca="false">SUM(AB23:AG23)</f>
        <v>866.999</v>
      </c>
    </row>
    <row r="24" customFormat="false" ht="15" hidden="false" customHeight="false" outlineLevel="2" collapsed="false">
      <c r="A24" s="8" t="s">
        <v>997</v>
      </c>
      <c r="B24" s="9" t="s">
        <v>998</v>
      </c>
      <c r="C24" s="8" t="s">
        <v>953</v>
      </c>
      <c r="D24" s="12" t="s">
        <v>954</v>
      </c>
      <c r="E24" s="16"/>
      <c r="F24" s="9" t="str">
        <f aca="false">IF($E24="","",IFERROR(INDEX(担当者マスタ!$B$2:$B$101,MATCH($E24,担当者マスタ!$A$2:$A$101,0)),"※マスタ未登録"))</f>
        <v/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f aca="false">SUM(G24:L24)</f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f aca="false">SUM(N24:S24)</f>
        <v>0</v>
      </c>
      <c r="U24" s="11" t="n">
        <v>139.8</v>
      </c>
      <c r="V24" s="11" t="n">
        <v>122.5</v>
      </c>
      <c r="W24" s="11" t="n">
        <v>605.135</v>
      </c>
      <c r="X24" s="11" t="n">
        <v>77.11</v>
      </c>
      <c r="Y24" s="11" t="n">
        <v>128.825</v>
      </c>
      <c r="Z24" s="11" t="n">
        <v>197.714</v>
      </c>
      <c r="AA24" s="11" t="n">
        <f aca="false">SUM(U24:Z24)</f>
        <v>1271.084</v>
      </c>
      <c r="AB24" s="11" t="n">
        <v>31.72</v>
      </c>
      <c r="AC24" s="11" t="n">
        <v>44.015</v>
      </c>
      <c r="AD24" s="11" t="n">
        <v>184.52</v>
      </c>
      <c r="AE24" s="11" t="n">
        <v>23.739</v>
      </c>
      <c r="AF24" s="11" t="n">
        <v>41.999</v>
      </c>
      <c r="AG24" s="11" t="n">
        <v>64.968</v>
      </c>
      <c r="AH24" s="11" t="n">
        <f aca="false">SUM(AB24:AG24)</f>
        <v>390.961</v>
      </c>
    </row>
    <row r="25" customFormat="false" ht="15" hidden="false" customHeight="false" outlineLevel="2" collapsed="false">
      <c r="A25" s="8" t="s">
        <v>999</v>
      </c>
      <c r="B25" s="9" t="s">
        <v>1000</v>
      </c>
      <c r="C25" s="8" t="s">
        <v>953</v>
      </c>
      <c r="D25" s="12" t="s">
        <v>954</v>
      </c>
      <c r="E25" s="16"/>
      <c r="F25" s="9" t="str">
        <f aca="false">IF($E25="","",IFERROR(INDEX(担当者マスタ!$B$2:$B$101,MATCH($E25,担当者マスタ!$A$2:$A$101,0)),"※マスタ未登録"))</f>
        <v/>
      </c>
      <c r="G25" s="11" t="n">
        <v>151.846</v>
      </c>
      <c r="H25" s="11" t="n">
        <v>158.849</v>
      </c>
      <c r="I25" s="11" t="n">
        <v>255.652</v>
      </c>
      <c r="J25" s="11" t="n">
        <v>72.441</v>
      </c>
      <c r="K25" s="11" t="n">
        <v>126.472</v>
      </c>
      <c r="L25" s="11" t="n">
        <v>208.1</v>
      </c>
      <c r="M25" s="11" t="n">
        <f aca="false">SUM(G25:L25)</f>
        <v>973.36</v>
      </c>
      <c r="N25" s="11" t="n">
        <v>56.845</v>
      </c>
      <c r="O25" s="11" t="n">
        <v>54.882</v>
      </c>
      <c r="P25" s="11" t="n">
        <v>86.801</v>
      </c>
      <c r="Q25" s="11" t="n">
        <v>24.978</v>
      </c>
      <c r="R25" s="11" t="n">
        <v>44.396</v>
      </c>
      <c r="S25" s="11" t="n">
        <v>68.906</v>
      </c>
      <c r="T25" s="11" t="n">
        <f aca="false">SUM(N25:S25)</f>
        <v>336.808</v>
      </c>
      <c r="U25" s="11" t="n">
        <v>200.554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f aca="false">SUM(U25:Z25)</f>
        <v>200.554</v>
      </c>
      <c r="AB25" s="11" t="n">
        <v>76.958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f aca="false">SUM(AB25:AG25)</f>
        <v>76.958</v>
      </c>
    </row>
    <row r="26" customFormat="false" ht="15" hidden="false" customHeight="false" outlineLevel="2" collapsed="false">
      <c r="A26" s="8" t="s">
        <v>1001</v>
      </c>
      <c r="B26" s="12" t="s">
        <v>1002</v>
      </c>
      <c r="C26" s="8" t="s">
        <v>953</v>
      </c>
      <c r="D26" s="12" t="s">
        <v>954</v>
      </c>
      <c r="E26" s="16"/>
      <c r="F26" s="9" t="str">
        <f aca="false">IF($E26="","",IFERROR(INDEX(担当者マスタ!$B$2:$B$101,MATCH($E26,担当者マスタ!$A$2:$A$101,0)),"※マスタ未登録"))</f>
        <v/>
      </c>
      <c r="G26" s="11" t="n">
        <v>1125.412</v>
      </c>
      <c r="H26" s="11" t="n">
        <v>972.148</v>
      </c>
      <c r="I26" s="11" t="n">
        <v>1842.656</v>
      </c>
      <c r="J26" s="11" t="n">
        <v>847.181</v>
      </c>
      <c r="K26" s="11" t="n">
        <v>654.894</v>
      </c>
      <c r="L26" s="11" t="n">
        <v>692.149</v>
      </c>
      <c r="M26" s="11" t="n">
        <f aca="false">SUM(G26:L26)</f>
        <v>6134.44</v>
      </c>
      <c r="N26" s="11" t="n">
        <v>228.169</v>
      </c>
      <c r="O26" s="11" t="n">
        <v>212.65</v>
      </c>
      <c r="P26" s="11" t="n">
        <v>405.229</v>
      </c>
      <c r="Q26" s="11" t="n">
        <v>200.955</v>
      </c>
      <c r="R26" s="11" t="n">
        <v>140.876</v>
      </c>
      <c r="S26" s="11" t="n">
        <v>150.273</v>
      </c>
      <c r="T26" s="11" t="n">
        <f aca="false">SUM(N26:S26)</f>
        <v>1338.152</v>
      </c>
      <c r="U26" s="11" t="n">
        <v>1367.103</v>
      </c>
      <c r="V26" s="11" t="n">
        <v>959.491</v>
      </c>
      <c r="W26" s="11" t="n">
        <v>1812.051</v>
      </c>
      <c r="X26" s="11" t="n">
        <v>713.896</v>
      </c>
      <c r="Y26" s="11" t="n">
        <v>1209.097</v>
      </c>
      <c r="Z26" s="11" t="n">
        <v>986.094</v>
      </c>
      <c r="AA26" s="11" t="n">
        <f aca="false">SUM(U26:Z26)</f>
        <v>7047.732</v>
      </c>
      <c r="AB26" s="11" t="n">
        <v>310.696</v>
      </c>
      <c r="AC26" s="11" t="n">
        <v>219.11</v>
      </c>
      <c r="AD26" s="11" t="n">
        <v>428.294</v>
      </c>
      <c r="AE26" s="11" t="n">
        <v>166.9322</v>
      </c>
      <c r="AF26" s="11" t="n">
        <v>291.642</v>
      </c>
      <c r="AG26" s="11" t="n">
        <v>243.016</v>
      </c>
      <c r="AH26" s="11" t="n">
        <f aca="false">SUM(AB26:AG26)</f>
        <v>1659.6902</v>
      </c>
    </row>
    <row r="27" customFormat="false" ht="15" hidden="false" customHeight="false" outlineLevel="2" collapsed="false">
      <c r="A27" s="8" t="s">
        <v>1003</v>
      </c>
      <c r="B27" s="12" t="s">
        <v>1004</v>
      </c>
      <c r="C27" s="8" t="s">
        <v>953</v>
      </c>
      <c r="D27" s="12" t="s">
        <v>954</v>
      </c>
      <c r="E27" s="16"/>
      <c r="F27" s="9" t="str">
        <f aca="false">IF($E27="","",IFERROR(INDEX(担当者マスタ!$B$2:$B$101,MATCH($E27,担当者マスタ!$A$2:$A$101,0)),"※マスタ未登録"))</f>
        <v/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908.2</v>
      </c>
      <c r="M27" s="11" t="n">
        <f aca="false">SUM(G27:L27)</f>
        <v>908.2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272.81</v>
      </c>
      <c r="T27" s="11" t="n">
        <f aca="false">SUM(N27:S27)</f>
        <v>272.81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f aca="false">SUM(U27:Z27)</f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f aca="false">SUM(AB27:AG27)</f>
        <v>0</v>
      </c>
    </row>
    <row r="28" customFormat="false" ht="15" hidden="false" customHeight="false" outlineLevel="2" collapsed="false">
      <c r="A28" s="8" t="s">
        <v>1005</v>
      </c>
      <c r="B28" s="12" t="s">
        <v>1006</v>
      </c>
      <c r="C28" s="8" t="s">
        <v>953</v>
      </c>
      <c r="D28" s="12" t="s">
        <v>954</v>
      </c>
      <c r="E28" s="16"/>
      <c r="F28" s="9" t="str">
        <f aca="false">IF($E28="","",IFERROR(INDEX(担当者マスタ!$B$2:$B$101,MATCH($E28,担当者マスタ!$A$2:$A$101,0)),"※マスタ未登録"))</f>
        <v/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65.2</v>
      </c>
      <c r="L28" s="11" t="n">
        <v>0</v>
      </c>
      <c r="M28" s="11" t="n">
        <f aca="false">SUM(G28:L28)</f>
        <v>65.2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17</v>
      </c>
      <c r="S28" s="11" t="n">
        <v>0</v>
      </c>
      <c r="T28" s="11" t="n">
        <f aca="false">SUM(N28:S28)</f>
        <v>17</v>
      </c>
      <c r="U28" s="11" t="n">
        <v>0</v>
      </c>
      <c r="V28" s="11" t="n">
        <v>0</v>
      </c>
      <c r="W28" s="11" t="n">
        <v>0</v>
      </c>
      <c r="X28" s="11" t="n">
        <v>22.82</v>
      </c>
      <c r="Y28" s="11" t="n">
        <v>0</v>
      </c>
      <c r="Z28" s="11" t="n">
        <v>0</v>
      </c>
      <c r="AA28" s="11" t="n">
        <f aca="false">SUM(U28:Z28)</f>
        <v>22.82</v>
      </c>
      <c r="AB28" s="11" t="n">
        <v>0</v>
      </c>
      <c r="AC28" s="11" t="n">
        <v>0</v>
      </c>
      <c r="AD28" s="11" t="n">
        <v>0</v>
      </c>
      <c r="AE28" s="11" t="n">
        <v>5.95</v>
      </c>
      <c r="AF28" s="11" t="n">
        <v>0</v>
      </c>
      <c r="AG28" s="11" t="n">
        <v>0</v>
      </c>
      <c r="AH28" s="11" t="n">
        <f aca="false">SUM(AB28:AG28)</f>
        <v>5.95</v>
      </c>
    </row>
    <row r="29" customFormat="false" ht="15" hidden="false" customHeight="false" outlineLevel="2" collapsed="false">
      <c r="A29" s="8" t="s">
        <v>1007</v>
      </c>
      <c r="B29" s="9" t="s">
        <v>1008</v>
      </c>
      <c r="C29" s="8" t="s">
        <v>953</v>
      </c>
      <c r="D29" s="12" t="s">
        <v>954</v>
      </c>
      <c r="E29" s="16"/>
      <c r="F29" s="9" t="str">
        <f aca="false">IF($E29="","",IFERROR(INDEX(担当者マスタ!$B$2:$B$101,MATCH($E29,担当者マスタ!$A$2:$A$101,0)),"※マスタ未登録"))</f>
        <v/>
      </c>
      <c r="G29" s="11" t="n">
        <v>306.953</v>
      </c>
      <c r="H29" s="11" t="n">
        <v>238.291</v>
      </c>
      <c r="I29" s="11" t="n">
        <v>284.161</v>
      </c>
      <c r="J29" s="11" t="n">
        <v>161.792</v>
      </c>
      <c r="K29" s="11" t="n">
        <v>243.868</v>
      </c>
      <c r="L29" s="11" t="n">
        <v>249.665</v>
      </c>
      <c r="M29" s="11" t="n">
        <f aca="false">SUM(G29:L29)</f>
        <v>1484.73</v>
      </c>
      <c r="N29" s="11" t="n">
        <v>115.706</v>
      </c>
      <c r="O29" s="11" t="n">
        <v>86.424</v>
      </c>
      <c r="P29" s="11" t="n">
        <v>100.617</v>
      </c>
      <c r="Q29" s="11" t="n">
        <v>57.326</v>
      </c>
      <c r="R29" s="11" t="n">
        <v>87.632</v>
      </c>
      <c r="S29" s="11" t="n">
        <v>96.685</v>
      </c>
      <c r="T29" s="11" t="n">
        <f aca="false">SUM(N29:S29)</f>
        <v>544.39</v>
      </c>
      <c r="U29" s="11" t="n">
        <v>376.767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f aca="false">SUM(U29:Z29)</f>
        <v>376.767</v>
      </c>
      <c r="AB29" s="11" t="n">
        <v>140.631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f aca="false">SUM(AB29:AG29)</f>
        <v>140.631</v>
      </c>
    </row>
    <row r="30" customFormat="false" ht="15" hidden="false" customHeight="false" outlineLevel="2" collapsed="false">
      <c r="A30" s="8" t="s">
        <v>1009</v>
      </c>
      <c r="B30" s="9" t="s">
        <v>1010</v>
      </c>
      <c r="C30" s="8" t="s">
        <v>953</v>
      </c>
      <c r="D30" s="12" t="s">
        <v>954</v>
      </c>
      <c r="E30" s="16"/>
      <c r="F30" s="9" t="str">
        <f aca="false">IF($E30="","",IFERROR(INDEX(担当者マスタ!$B$2:$B$101,MATCH($E30,担当者マスタ!$A$2:$A$101,0)),"※マスタ未登録"))</f>
        <v/>
      </c>
      <c r="G30" s="11" t="n">
        <v>67.479</v>
      </c>
      <c r="H30" s="11" t="n">
        <v>75.377</v>
      </c>
      <c r="I30" s="11" t="n">
        <v>212.164</v>
      </c>
      <c r="J30" s="11" t="n">
        <v>8.444</v>
      </c>
      <c r="K30" s="11" t="n">
        <v>36.22</v>
      </c>
      <c r="L30" s="11" t="n">
        <v>126.064</v>
      </c>
      <c r="M30" s="11" t="n">
        <f aca="false">SUM(G30:L30)</f>
        <v>525.748</v>
      </c>
      <c r="N30" s="11" t="n">
        <v>25.783</v>
      </c>
      <c r="O30" s="11" t="n">
        <v>23.298</v>
      </c>
      <c r="P30" s="11" t="n">
        <v>64.622</v>
      </c>
      <c r="Q30" s="11" t="n">
        <v>2.524</v>
      </c>
      <c r="R30" s="11" t="n">
        <v>10.21</v>
      </c>
      <c r="S30" s="11" t="n">
        <v>39.668</v>
      </c>
      <c r="T30" s="11" t="n">
        <f aca="false">SUM(N30:S30)</f>
        <v>166.105</v>
      </c>
      <c r="U30" s="11" t="n">
        <v>148.43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f aca="false">SUM(U30:Z30)</f>
        <v>148.43</v>
      </c>
      <c r="AB30" s="11" t="n">
        <v>45.86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f aca="false">SUM(AB30:AG30)</f>
        <v>45.86</v>
      </c>
    </row>
    <row r="31" customFormat="false" ht="15" hidden="false" customHeight="false" outlineLevel="2" collapsed="false">
      <c r="A31" s="8" t="s">
        <v>1011</v>
      </c>
      <c r="B31" s="9" t="s">
        <v>1012</v>
      </c>
      <c r="C31" s="8" t="s">
        <v>953</v>
      </c>
      <c r="D31" s="12" t="s">
        <v>954</v>
      </c>
      <c r="E31" s="16"/>
      <c r="F31" s="9" t="str">
        <f aca="false">IF($E31="","",IFERROR(INDEX(担当者マスタ!$B$2:$B$101,MATCH($E31,担当者マスタ!$A$2:$A$101,0)),"※マスタ未登録"))</f>
        <v/>
      </c>
      <c r="G31" s="11" t="n">
        <v>41.701</v>
      </c>
      <c r="H31" s="11" t="n">
        <v>74.721</v>
      </c>
      <c r="I31" s="11" t="n">
        <v>77.797</v>
      </c>
      <c r="J31" s="11" t="n">
        <v>39.088</v>
      </c>
      <c r="K31" s="11" t="n">
        <v>40.381</v>
      </c>
      <c r="L31" s="11" t="n">
        <v>44.073</v>
      </c>
      <c r="M31" s="11" t="n">
        <f aca="false">SUM(G31:L31)</f>
        <v>317.761</v>
      </c>
      <c r="N31" s="11" t="n">
        <v>15.959</v>
      </c>
      <c r="O31" s="11" t="n">
        <v>26.615</v>
      </c>
      <c r="P31" s="11" t="n">
        <v>27.878</v>
      </c>
      <c r="Q31" s="11" t="n">
        <v>14.706</v>
      </c>
      <c r="R31" s="11" t="n">
        <v>16.592</v>
      </c>
      <c r="S31" s="11" t="n">
        <v>15.28</v>
      </c>
      <c r="T31" s="11" t="n">
        <f aca="false">SUM(N31:S31)</f>
        <v>117.03</v>
      </c>
      <c r="U31" s="11" t="n">
        <v>49.257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f aca="false">SUM(U31:Z31)</f>
        <v>49.257</v>
      </c>
      <c r="AB31" s="11" t="n">
        <v>18.186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f aca="false">SUM(AB31:AG31)</f>
        <v>18.186</v>
      </c>
    </row>
    <row r="32" customFormat="false" ht="15" hidden="false" customHeight="false" outlineLevel="2" collapsed="false">
      <c r="A32" s="8" t="s">
        <v>1013</v>
      </c>
      <c r="B32" s="9" t="s">
        <v>1014</v>
      </c>
      <c r="C32" s="8" t="s">
        <v>953</v>
      </c>
      <c r="D32" s="12" t="s">
        <v>954</v>
      </c>
      <c r="E32" s="16"/>
      <c r="F32" s="9" t="str">
        <f aca="false">IF($E32="","",IFERROR(INDEX(担当者マスタ!$B$2:$B$101,MATCH($E32,担当者マスタ!$A$2:$A$101,0)),"※マスタ未登録"))</f>
        <v/>
      </c>
      <c r="G32" s="11" t="n">
        <v>400.075</v>
      </c>
      <c r="H32" s="11" t="n">
        <v>412.362</v>
      </c>
      <c r="I32" s="11" t="n">
        <v>521.325</v>
      </c>
      <c r="J32" s="11" t="n">
        <v>295.525</v>
      </c>
      <c r="K32" s="11" t="n">
        <v>365.114</v>
      </c>
      <c r="L32" s="11" t="n">
        <v>406.766</v>
      </c>
      <c r="M32" s="11" t="n">
        <f aca="false">SUM(G32:L32)</f>
        <v>2401.167</v>
      </c>
      <c r="N32" s="11" t="n">
        <v>140.722</v>
      </c>
      <c r="O32" s="11" t="n">
        <v>139.356</v>
      </c>
      <c r="P32" s="11" t="n">
        <v>175.571</v>
      </c>
      <c r="Q32" s="11" t="n">
        <v>98.181</v>
      </c>
      <c r="R32" s="11" t="n">
        <v>124.447</v>
      </c>
      <c r="S32" s="11" t="n">
        <v>136.675</v>
      </c>
      <c r="T32" s="11" t="n">
        <f aca="false">SUM(N32:S32)</f>
        <v>814.952</v>
      </c>
      <c r="U32" s="11" t="n">
        <v>393.368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f aca="false">SUM(U32:Z32)</f>
        <v>393.368</v>
      </c>
      <c r="AB32" s="11" t="n">
        <v>132.281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f aca="false">SUM(AB32:AG32)</f>
        <v>132.281</v>
      </c>
    </row>
    <row r="33" customFormat="false" ht="15" hidden="false" customHeight="false" outlineLevel="2" collapsed="false">
      <c r="A33" s="8" t="s">
        <v>1015</v>
      </c>
      <c r="B33" s="9" t="s">
        <v>1016</v>
      </c>
      <c r="C33" s="8" t="s">
        <v>953</v>
      </c>
      <c r="D33" s="12" t="s">
        <v>954</v>
      </c>
      <c r="E33" s="16"/>
      <c r="F33" s="9" t="str">
        <f aca="false">IF($E33="","",IFERROR(INDEX(担当者マスタ!$B$2:$B$101,MATCH($E33,担当者マスタ!$A$2:$A$101,0)),"※マスタ未登録"))</f>
        <v/>
      </c>
      <c r="G33" s="11" t="n">
        <v>317.11</v>
      </c>
      <c r="H33" s="11" t="n">
        <v>378.856</v>
      </c>
      <c r="I33" s="11" t="n">
        <v>497.821</v>
      </c>
      <c r="J33" s="11" t="n">
        <v>327.996</v>
      </c>
      <c r="K33" s="11" t="n">
        <v>301.605</v>
      </c>
      <c r="L33" s="11" t="n">
        <v>357.139</v>
      </c>
      <c r="M33" s="11" t="n">
        <f aca="false">SUM(G33:L33)</f>
        <v>2180.527</v>
      </c>
      <c r="N33" s="11" t="n">
        <v>123.406</v>
      </c>
      <c r="O33" s="11" t="n">
        <v>138.088</v>
      </c>
      <c r="P33" s="11" t="n">
        <v>178.883</v>
      </c>
      <c r="Q33" s="11" t="n">
        <v>117.77</v>
      </c>
      <c r="R33" s="11" t="n">
        <v>111.228</v>
      </c>
      <c r="S33" s="11" t="n">
        <v>133.273</v>
      </c>
      <c r="T33" s="11" t="n">
        <f aca="false">SUM(N33:S33)</f>
        <v>802.648</v>
      </c>
      <c r="U33" s="11" t="n">
        <v>278.526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f aca="false">SUM(U33:Z33)</f>
        <v>278.526</v>
      </c>
      <c r="AB33" s="11" t="n">
        <v>104.352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f aca="false">SUM(AB33:AG33)</f>
        <v>104.352</v>
      </c>
    </row>
    <row r="34" customFormat="false" ht="15" hidden="false" customHeight="false" outlineLevel="2" collapsed="false">
      <c r="A34" s="8" t="s">
        <v>1017</v>
      </c>
      <c r="B34" s="9" t="s">
        <v>1018</v>
      </c>
      <c r="C34" s="8" t="s">
        <v>953</v>
      </c>
      <c r="D34" s="12" t="s">
        <v>954</v>
      </c>
      <c r="E34" s="16"/>
      <c r="F34" s="9" t="str">
        <f aca="false">IF($E34="","",IFERROR(INDEX(担当者マスタ!$B$2:$B$101,MATCH($E34,担当者マスタ!$A$2:$A$101,0)),"※マスタ未登録"))</f>
        <v/>
      </c>
      <c r="G34" s="11" t="n">
        <v>88.196</v>
      </c>
      <c r="H34" s="11" t="n">
        <v>123.148</v>
      </c>
      <c r="I34" s="11" t="n">
        <v>186.668</v>
      </c>
      <c r="J34" s="11" t="n">
        <v>13.356</v>
      </c>
      <c r="K34" s="11" t="n">
        <v>65.198</v>
      </c>
      <c r="L34" s="11" t="n">
        <v>68.391</v>
      </c>
      <c r="M34" s="11" t="n">
        <f aca="false">SUM(G34:L34)</f>
        <v>544.957</v>
      </c>
      <c r="N34" s="11" t="n">
        <v>27.04</v>
      </c>
      <c r="O34" s="11" t="n">
        <v>40.92</v>
      </c>
      <c r="P34" s="11" t="n">
        <v>58.504</v>
      </c>
      <c r="Q34" s="11" t="n">
        <v>5.396</v>
      </c>
      <c r="R34" s="11" t="n">
        <v>24.954</v>
      </c>
      <c r="S34" s="11" t="n">
        <v>21.915</v>
      </c>
      <c r="T34" s="11" t="n">
        <f aca="false">SUM(N34:S34)</f>
        <v>178.729</v>
      </c>
      <c r="U34" s="11" t="n">
        <v>103.214</v>
      </c>
      <c r="V34" s="11" t="n">
        <v>58.616</v>
      </c>
      <c r="W34" s="11" t="n">
        <v>225.514</v>
      </c>
      <c r="X34" s="11" t="n">
        <v>15.256</v>
      </c>
      <c r="Y34" s="11" t="n">
        <v>77.552</v>
      </c>
      <c r="Z34" s="11" t="n">
        <v>52.59</v>
      </c>
      <c r="AA34" s="11" t="n">
        <f aca="false">SUM(U34:Z34)</f>
        <v>532.742</v>
      </c>
      <c r="AB34" s="11" t="n">
        <v>38.846</v>
      </c>
      <c r="AC34" s="11" t="n">
        <v>20.56</v>
      </c>
      <c r="AD34" s="11" t="n">
        <v>77.681</v>
      </c>
      <c r="AE34" s="11" t="n">
        <v>6.032</v>
      </c>
      <c r="AF34" s="11" t="n">
        <v>28.56</v>
      </c>
      <c r="AG34" s="11" t="n">
        <v>17.184</v>
      </c>
      <c r="AH34" s="11" t="n">
        <f aca="false">SUM(AB34:AG34)</f>
        <v>188.863</v>
      </c>
    </row>
    <row r="35" customFormat="false" ht="15" hidden="false" customHeight="false" outlineLevel="2" collapsed="false">
      <c r="A35" s="8" t="s">
        <v>1019</v>
      </c>
      <c r="B35" s="9" t="s">
        <v>1020</v>
      </c>
      <c r="C35" s="8" t="s">
        <v>953</v>
      </c>
      <c r="D35" s="12" t="s">
        <v>954</v>
      </c>
      <c r="E35" s="16"/>
      <c r="F35" s="9" t="str">
        <f aca="false">IF($E35="","",IFERROR(INDEX(担当者マスタ!$B$2:$B$101,MATCH($E35,担当者マスタ!$A$2:$A$101,0)),"※マスタ未登録"))</f>
        <v/>
      </c>
      <c r="G35" s="11" t="n">
        <v>20.4</v>
      </c>
      <c r="H35" s="11" t="n">
        <v>1.7</v>
      </c>
      <c r="I35" s="11" t="n">
        <v>5.1</v>
      </c>
      <c r="J35" s="11" t="n">
        <v>0</v>
      </c>
      <c r="K35" s="11" t="n">
        <v>0</v>
      </c>
      <c r="L35" s="11" t="n">
        <v>0</v>
      </c>
      <c r="M35" s="11" t="n">
        <f aca="false">SUM(G35:L35)</f>
        <v>27.2</v>
      </c>
      <c r="N35" s="11" t="n">
        <v>5.85</v>
      </c>
      <c r="O35" s="11" t="n">
        <v>0.35</v>
      </c>
      <c r="P35" s="11" t="n">
        <v>1.05</v>
      </c>
      <c r="Q35" s="11" t="n">
        <v>0</v>
      </c>
      <c r="R35" s="11" t="n">
        <v>0</v>
      </c>
      <c r="S35" s="11" t="n">
        <v>0</v>
      </c>
      <c r="T35" s="11" t="n">
        <f aca="false">SUM(N35:S35)</f>
        <v>7.25</v>
      </c>
      <c r="U35" s="11" t="n">
        <v>0.85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f aca="false">SUM(U35:Z35)</f>
        <v>0.85</v>
      </c>
      <c r="AB35" s="11" t="n">
        <v>0.175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f aca="false">SUM(AB35:AG35)</f>
        <v>0.175</v>
      </c>
    </row>
    <row r="36" customFormat="false" ht="15" hidden="false" customHeight="false" outlineLevel="2" collapsed="false">
      <c r="A36" s="8" t="s">
        <v>1021</v>
      </c>
      <c r="B36" s="9" t="s">
        <v>1022</v>
      </c>
      <c r="C36" s="8" t="s">
        <v>953</v>
      </c>
      <c r="D36" s="12" t="s">
        <v>954</v>
      </c>
      <c r="E36" s="16"/>
      <c r="F36" s="9" t="str">
        <f aca="false">IF($E36="","",IFERROR(INDEX(担当者マスタ!$B$2:$B$101,MATCH($E36,担当者マスタ!$A$2:$A$101,0)),"※マスタ未登録"))</f>
        <v/>
      </c>
      <c r="G36" s="11" t="n">
        <v>0</v>
      </c>
      <c r="H36" s="11" t="n">
        <v>6.405</v>
      </c>
      <c r="I36" s="11" t="n">
        <v>0</v>
      </c>
      <c r="J36" s="11" t="n">
        <v>0</v>
      </c>
      <c r="K36" s="11" t="n">
        <v>0</v>
      </c>
      <c r="L36" s="11" t="n">
        <v>14.238</v>
      </c>
      <c r="M36" s="11" t="n">
        <f aca="false">SUM(G36:L36)</f>
        <v>20.643</v>
      </c>
      <c r="N36" s="11" t="n">
        <v>0</v>
      </c>
      <c r="O36" s="11" t="n">
        <v>1.26</v>
      </c>
      <c r="P36" s="11" t="n">
        <v>0</v>
      </c>
      <c r="Q36" s="11" t="n">
        <v>0</v>
      </c>
      <c r="R36" s="11" t="n">
        <v>0</v>
      </c>
      <c r="S36" s="11" t="n">
        <v>2.52</v>
      </c>
      <c r="T36" s="11" t="n">
        <f aca="false">SUM(N36:S36)</f>
        <v>3.78</v>
      </c>
      <c r="U36" s="11" t="n">
        <v>0</v>
      </c>
      <c r="V36" s="11" t="n">
        <v>23.358</v>
      </c>
      <c r="W36" s="11" t="n">
        <v>27.918</v>
      </c>
      <c r="X36" s="11" t="n">
        <v>0</v>
      </c>
      <c r="Y36" s="11" t="n">
        <v>0</v>
      </c>
      <c r="Z36" s="11" t="n">
        <v>0</v>
      </c>
      <c r="AA36" s="11" t="n">
        <f aca="false">SUM(U36:Z36)</f>
        <v>51.276</v>
      </c>
      <c r="AB36" s="11" t="n">
        <v>0</v>
      </c>
      <c r="AC36" s="11" t="n">
        <v>4.104</v>
      </c>
      <c r="AD36" s="11" t="n">
        <v>4.896</v>
      </c>
      <c r="AE36" s="11" t="n">
        <v>0</v>
      </c>
      <c r="AF36" s="11" t="n">
        <v>0</v>
      </c>
      <c r="AG36" s="11" t="n">
        <v>0</v>
      </c>
      <c r="AH36" s="11" t="n">
        <f aca="false">SUM(AB36:AG36)</f>
        <v>9</v>
      </c>
    </row>
    <row r="37" customFormat="false" ht="15" hidden="false" customHeight="false" outlineLevel="2" collapsed="false">
      <c r="A37" s="8" t="s">
        <v>1023</v>
      </c>
      <c r="B37" s="12" t="s">
        <v>1024</v>
      </c>
      <c r="C37" s="8" t="s">
        <v>953</v>
      </c>
      <c r="D37" s="12" t="s">
        <v>954</v>
      </c>
      <c r="E37" s="16"/>
      <c r="F37" s="9" t="str">
        <f aca="false">IF($E37="","",IFERROR(INDEX(担当者マスタ!$B$2:$B$101,MATCH($E37,担当者マスタ!$A$2:$A$101,0)),"※マスタ未登録"))</f>
        <v/>
      </c>
      <c r="G37" s="11" t="n">
        <v>115.266</v>
      </c>
      <c r="H37" s="11" t="n">
        <v>79.72</v>
      </c>
      <c r="I37" s="11" t="n">
        <v>90.726</v>
      </c>
      <c r="J37" s="11" t="n">
        <v>85.866</v>
      </c>
      <c r="K37" s="11" t="n">
        <v>92.932</v>
      </c>
      <c r="L37" s="11" t="n">
        <v>63.274</v>
      </c>
      <c r="M37" s="11" t="n">
        <f aca="false">SUM(G37:L37)</f>
        <v>527.784</v>
      </c>
      <c r="N37" s="11" t="n">
        <v>31.345</v>
      </c>
      <c r="O37" s="11" t="n">
        <v>22.536</v>
      </c>
      <c r="P37" s="11" t="n">
        <v>27.365</v>
      </c>
      <c r="Q37" s="11" t="n">
        <v>23.313</v>
      </c>
      <c r="R37" s="11" t="n">
        <v>27.692</v>
      </c>
      <c r="S37" s="11" t="n">
        <v>18.507</v>
      </c>
      <c r="T37" s="11" t="n">
        <f aca="false">SUM(N37:S37)</f>
        <v>150.758</v>
      </c>
      <c r="U37" s="11" t="n">
        <v>241.566</v>
      </c>
      <c r="V37" s="11" t="n">
        <v>110.936</v>
      </c>
      <c r="W37" s="11" t="n">
        <v>162.314</v>
      </c>
      <c r="X37" s="11" t="n">
        <v>144.048</v>
      </c>
      <c r="Y37" s="11" t="n">
        <v>164.841</v>
      </c>
      <c r="Z37" s="11" t="n">
        <v>159.804</v>
      </c>
      <c r="AA37" s="11" t="n">
        <f aca="false">SUM(U37:Z37)</f>
        <v>983.509</v>
      </c>
      <c r="AB37" s="11" t="n">
        <v>59.002</v>
      </c>
      <c r="AC37" s="11" t="n">
        <v>31.478</v>
      </c>
      <c r="AD37" s="11" t="n">
        <v>42.466</v>
      </c>
      <c r="AE37" s="11" t="n">
        <v>37.882</v>
      </c>
      <c r="AF37" s="11" t="n">
        <v>44.928</v>
      </c>
      <c r="AG37" s="11" t="n">
        <v>40.872</v>
      </c>
      <c r="AH37" s="11" t="n">
        <f aca="false">SUM(AB37:AG37)</f>
        <v>256.628</v>
      </c>
    </row>
    <row r="38" customFormat="false" ht="15" hidden="false" customHeight="false" outlineLevel="2" collapsed="false">
      <c r="A38" s="8" t="s">
        <v>1025</v>
      </c>
      <c r="B38" s="12" t="s">
        <v>1026</v>
      </c>
      <c r="C38" s="8" t="s">
        <v>953</v>
      </c>
      <c r="D38" s="12" t="s">
        <v>954</v>
      </c>
      <c r="E38" s="16"/>
      <c r="F38" s="9" t="str">
        <f aca="false">IF($E38="","",IFERROR(INDEX(担当者マスタ!$B$2:$B$101,MATCH($E38,担当者マスタ!$A$2:$A$101,0)),"※マスタ未登録"))</f>
        <v/>
      </c>
      <c r="G38" s="11" t="n">
        <v>0</v>
      </c>
      <c r="H38" s="11" t="n">
        <v>102.374</v>
      </c>
      <c r="I38" s="11" t="n">
        <v>87.734</v>
      </c>
      <c r="J38" s="11" t="n">
        <v>56.214</v>
      </c>
      <c r="K38" s="11" t="n">
        <v>93.216</v>
      </c>
      <c r="L38" s="11" t="n">
        <v>89.942</v>
      </c>
      <c r="M38" s="11" t="n">
        <f aca="false">SUM(G38:L38)</f>
        <v>429.48</v>
      </c>
      <c r="N38" s="11" t="n">
        <v>0</v>
      </c>
      <c r="O38" s="11" t="n">
        <v>13.538</v>
      </c>
      <c r="P38" s="11" t="n">
        <v>11.998</v>
      </c>
      <c r="Q38" s="11" t="n">
        <v>8.478</v>
      </c>
      <c r="R38" s="11" t="n">
        <v>14.016</v>
      </c>
      <c r="S38" s="11" t="n">
        <v>14.05</v>
      </c>
      <c r="T38" s="11" t="n">
        <f aca="false">SUM(N38:S38)</f>
        <v>62.08</v>
      </c>
      <c r="U38" s="11" t="n">
        <v>60.544</v>
      </c>
      <c r="V38" s="11" t="n">
        <v>103.584</v>
      </c>
      <c r="W38" s="11" t="n">
        <v>64.722</v>
      </c>
      <c r="X38" s="11" t="n">
        <v>83.918</v>
      </c>
      <c r="Y38" s="11" t="n">
        <v>37.476</v>
      </c>
      <c r="Z38" s="11" t="n">
        <v>37.476</v>
      </c>
      <c r="AA38" s="11" t="n">
        <f aca="false">SUM(U38:Z38)</f>
        <v>387.72</v>
      </c>
      <c r="AB38" s="11" t="n">
        <v>13.828</v>
      </c>
      <c r="AC38" s="11" t="n">
        <v>13.648</v>
      </c>
      <c r="AD38" s="11" t="n">
        <v>9.582</v>
      </c>
      <c r="AE38" s="11" t="n">
        <v>12.618</v>
      </c>
      <c r="AF38" s="11" t="n">
        <v>5.652</v>
      </c>
      <c r="AG38" s="11" t="n">
        <v>5.652</v>
      </c>
      <c r="AH38" s="11" t="n">
        <f aca="false">SUM(AB38:AG38)</f>
        <v>60.98</v>
      </c>
    </row>
    <row r="39" customFormat="false" ht="15" hidden="false" customHeight="false" outlineLevel="2" collapsed="false">
      <c r="A39" s="8" t="s">
        <v>1027</v>
      </c>
      <c r="B39" s="9" t="s">
        <v>1028</v>
      </c>
      <c r="C39" s="8" t="s">
        <v>953</v>
      </c>
      <c r="D39" s="12" t="s">
        <v>954</v>
      </c>
      <c r="E39" s="16"/>
      <c r="F39" s="9" t="str">
        <f aca="false">IF($E39="","",IFERROR(INDEX(担当者マスタ!$B$2:$B$101,MATCH($E39,担当者マスタ!$A$2:$A$101,0)),"※マスタ未登録"))</f>
        <v/>
      </c>
      <c r="G39" s="11" t="n">
        <v>6.95</v>
      </c>
      <c r="H39" s="11" t="n">
        <v>14.37</v>
      </c>
      <c r="I39" s="11" t="n">
        <v>42.62</v>
      </c>
      <c r="J39" s="11" t="n">
        <v>32.8</v>
      </c>
      <c r="K39" s="11" t="n">
        <v>44.65</v>
      </c>
      <c r="L39" s="11" t="n">
        <v>34.55</v>
      </c>
      <c r="M39" s="11" t="n">
        <f aca="false">SUM(G39:L39)</f>
        <v>175.94</v>
      </c>
      <c r="N39" s="11" t="n">
        <v>1.4</v>
      </c>
      <c r="O39" s="11" t="n">
        <v>2.92</v>
      </c>
      <c r="P39" s="11" t="n">
        <v>7.27</v>
      </c>
      <c r="Q39" s="11" t="n">
        <v>5.15</v>
      </c>
      <c r="R39" s="11" t="n">
        <v>8.705</v>
      </c>
      <c r="S39" s="11" t="n">
        <v>6.818</v>
      </c>
      <c r="T39" s="11" t="n">
        <f aca="false">SUM(N39:S39)</f>
        <v>32.263</v>
      </c>
      <c r="U39" s="11" t="n">
        <v>94.45</v>
      </c>
      <c r="V39" s="11" t="n">
        <v>82.52</v>
      </c>
      <c r="W39" s="11" t="n">
        <v>90.95</v>
      </c>
      <c r="X39" s="11" t="n">
        <v>0</v>
      </c>
      <c r="Y39" s="11" t="n">
        <v>13</v>
      </c>
      <c r="Z39" s="11" t="n">
        <v>39.7</v>
      </c>
      <c r="AA39" s="11" t="n">
        <f aca="false">SUM(U39:Z39)</f>
        <v>320.62</v>
      </c>
      <c r="AB39" s="11" t="n">
        <v>17.968</v>
      </c>
      <c r="AC39" s="11" t="n">
        <v>16.87</v>
      </c>
      <c r="AD39" s="11" t="n">
        <v>20.03</v>
      </c>
      <c r="AE39" s="11" t="n">
        <v>0</v>
      </c>
      <c r="AF39" s="11" t="n">
        <v>2.4</v>
      </c>
      <c r="AG39" s="11" t="n">
        <v>8</v>
      </c>
      <c r="AH39" s="11" t="n">
        <f aca="false">SUM(AB39:AG39)</f>
        <v>65.268</v>
      </c>
    </row>
    <row r="40" customFormat="false" ht="15" hidden="false" customHeight="false" outlineLevel="2" collapsed="false">
      <c r="A40" s="8" t="s">
        <v>1029</v>
      </c>
      <c r="B40" s="12" t="s">
        <v>1030</v>
      </c>
      <c r="C40" s="8" t="s">
        <v>953</v>
      </c>
      <c r="D40" s="12" t="s">
        <v>954</v>
      </c>
      <c r="E40" s="16"/>
      <c r="F40" s="9" t="str">
        <f aca="false">IF($E40="","",IFERROR(INDEX(担当者マスタ!$B$2:$B$101,MATCH($E40,担当者マスタ!$A$2:$A$101,0)),"※マスタ未登録"))</f>
        <v/>
      </c>
      <c r="G40" s="11" t="n">
        <v>217.42</v>
      </c>
      <c r="H40" s="11" t="n">
        <v>217.614</v>
      </c>
      <c r="I40" s="11" t="n">
        <v>416.096</v>
      </c>
      <c r="J40" s="11" t="n">
        <v>171.64</v>
      </c>
      <c r="K40" s="11" t="n">
        <v>414.82</v>
      </c>
      <c r="L40" s="11" t="n">
        <v>270.38</v>
      </c>
      <c r="M40" s="11" t="n">
        <f aca="false">SUM(G40:L40)</f>
        <v>1707.97</v>
      </c>
      <c r="N40" s="11" t="n">
        <v>42.034</v>
      </c>
      <c r="O40" s="11" t="n">
        <v>58.39</v>
      </c>
      <c r="P40" s="11" t="n">
        <v>89.274</v>
      </c>
      <c r="Q40" s="11" t="n">
        <v>41.585</v>
      </c>
      <c r="R40" s="11" t="n">
        <v>83.784</v>
      </c>
      <c r="S40" s="11" t="n">
        <v>51.992</v>
      </c>
      <c r="T40" s="11" t="n">
        <f aca="false">SUM(N40:S40)</f>
        <v>367.059</v>
      </c>
      <c r="U40" s="11" t="n">
        <v>136.42</v>
      </c>
      <c r="V40" s="11" t="n">
        <v>316.394</v>
      </c>
      <c r="W40" s="11" t="n">
        <v>661.798</v>
      </c>
      <c r="X40" s="11" t="n">
        <v>693.176</v>
      </c>
      <c r="Y40" s="11" t="n">
        <v>315.103</v>
      </c>
      <c r="Z40" s="11" t="n">
        <v>381.356</v>
      </c>
      <c r="AA40" s="11" t="n">
        <f aca="false">SUM(U40:Z40)</f>
        <v>2504.247</v>
      </c>
      <c r="AB40" s="11" t="n">
        <v>28.894</v>
      </c>
      <c r="AC40" s="11" t="n">
        <v>46.796</v>
      </c>
      <c r="AD40" s="11" t="n">
        <v>123.178</v>
      </c>
      <c r="AE40" s="11" t="n">
        <v>125.096</v>
      </c>
      <c r="AF40" s="11" t="n">
        <v>65.888</v>
      </c>
      <c r="AG40" s="11" t="n">
        <v>69.059</v>
      </c>
      <c r="AH40" s="11" t="n">
        <f aca="false">SUM(AB40:AG40)</f>
        <v>458.911</v>
      </c>
    </row>
    <row r="41" customFormat="false" ht="15" hidden="false" customHeight="false" outlineLevel="2" collapsed="false">
      <c r="A41" s="8" t="s">
        <v>1031</v>
      </c>
      <c r="B41" s="12" t="s">
        <v>1032</v>
      </c>
      <c r="C41" s="8" t="s">
        <v>953</v>
      </c>
      <c r="D41" s="12" t="s">
        <v>954</v>
      </c>
      <c r="E41" s="16"/>
      <c r="F41" s="9" t="str">
        <f aca="false">IF($E41="","",IFERROR(INDEX(担当者マスタ!$B$2:$B$101,MATCH($E41,担当者マスタ!$A$2:$A$101,0)),"※マスタ未登録"))</f>
        <v/>
      </c>
      <c r="G41" s="11" t="n">
        <v>1960</v>
      </c>
      <c r="H41" s="11" t="n">
        <v>58.5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f aca="false">SUM(G41:L41)</f>
        <v>2018.5</v>
      </c>
      <c r="N41" s="11" t="n">
        <v>360</v>
      </c>
      <c r="O41" s="11" t="n">
        <v>11.7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f aca="false">SUM(N41:S41)</f>
        <v>371.7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f aca="false">SUM(U41:Z41)</f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f aca="false">SUM(AB41:AG41)</f>
        <v>0</v>
      </c>
    </row>
    <row r="42" customFormat="false" ht="15" hidden="false" customHeight="false" outlineLevel="2" collapsed="false">
      <c r="A42" s="8" t="s">
        <v>1033</v>
      </c>
      <c r="B42" s="9" t="s">
        <v>1034</v>
      </c>
      <c r="C42" s="8" t="s">
        <v>953</v>
      </c>
      <c r="D42" s="12" t="s">
        <v>954</v>
      </c>
      <c r="E42" s="16"/>
      <c r="F42" s="9" t="str">
        <f aca="false">IF($E42="","",IFERROR(INDEX(担当者マスタ!$B$2:$B$101,MATCH($E42,担当者マスタ!$A$2:$A$101,0)),"※マスタ未登録"))</f>
        <v/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1003</v>
      </c>
      <c r="M42" s="11" t="n">
        <f aca="false">SUM(G42:L42)</f>
        <v>1003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f aca="false">SUM(N42:S42)</f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f aca="false">SUM(U42:Z42)</f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f aca="false">SUM(AB42:AG42)</f>
        <v>0</v>
      </c>
    </row>
    <row r="43" customFormat="false" ht="15" hidden="false" customHeight="false" outlineLevel="2" collapsed="false">
      <c r="A43" s="8" t="s">
        <v>1035</v>
      </c>
      <c r="B43" s="12" t="s">
        <v>1036</v>
      </c>
      <c r="C43" s="8" t="s">
        <v>953</v>
      </c>
      <c r="D43" s="12" t="s">
        <v>954</v>
      </c>
      <c r="E43" s="16"/>
      <c r="F43" s="9" t="str">
        <f aca="false">IF($E43="","",IFERROR(INDEX(担当者マスタ!$B$2:$B$101,MATCH($E43,担当者マスタ!$A$2:$A$101,0)),"※マスタ未登録"))</f>
        <v/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f aca="false">SUM(G43:L43)</f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f aca="false">SUM(N43:S43)</f>
        <v>0</v>
      </c>
      <c r="U43" s="11" t="n">
        <v>37.5</v>
      </c>
      <c r="V43" s="11" t="n">
        <v>24.77</v>
      </c>
      <c r="W43" s="11" t="n">
        <v>0</v>
      </c>
      <c r="X43" s="11" t="n">
        <v>36.24</v>
      </c>
      <c r="Y43" s="11" t="n">
        <v>24</v>
      </c>
      <c r="Z43" s="11" t="n">
        <v>0</v>
      </c>
      <c r="AA43" s="11" t="n">
        <f aca="false">SUM(U43:Z43)</f>
        <v>122.51</v>
      </c>
      <c r="AB43" s="11" t="n">
        <v>7.795</v>
      </c>
      <c r="AC43" s="11" t="n">
        <v>3.933</v>
      </c>
      <c r="AD43" s="11" t="n">
        <v>0</v>
      </c>
      <c r="AE43" s="11" t="n">
        <v>8.04</v>
      </c>
      <c r="AF43" s="11" t="n">
        <v>2.5</v>
      </c>
      <c r="AG43" s="11" t="n">
        <v>0</v>
      </c>
      <c r="AH43" s="11" t="n">
        <f aca="false">SUM(AB43:AG43)</f>
        <v>22.268</v>
      </c>
    </row>
    <row r="44" customFormat="false" ht="15" hidden="false" customHeight="false" outlineLevel="2" collapsed="false">
      <c r="A44" s="8" t="s">
        <v>1037</v>
      </c>
      <c r="B44" s="12" t="s">
        <v>1038</v>
      </c>
      <c r="C44" s="8" t="s">
        <v>953</v>
      </c>
      <c r="D44" s="12" t="s">
        <v>954</v>
      </c>
      <c r="E44" s="16"/>
      <c r="F44" s="9" t="str">
        <f aca="false">IF($E44="","",IFERROR(INDEX(担当者マスタ!$B$2:$B$101,MATCH($E44,担当者マスタ!$A$2:$A$101,0)),"※マスタ未登録"))</f>
        <v/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f aca="false">SUM(G44:L44)</f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f aca="false">SUM(N44:S44)</f>
        <v>0</v>
      </c>
      <c r="U44" s="11" t="n">
        <v>0</v>
      </c>
      <c r="V44" s="11" t="n">
        <v>80.22</v>
      </c>
      <c r="W44" s="11" t="n">
        <v>1056.437</v>
      </c>
      <c r="X44" s="11" t="n">
        <v>854.19</v>
      </c>
      <c r="Y44" s="11" t="n">
        <v>44.42</v>
      </c>
      <c r="Z44" s="11" t="n">
        <v>95.015</v>
      </c>
      <c r="AA44" s="11" t="n">
        <f aca="false">SUM(U44:Z44)</f>
        <v>2130.282</v>
      </c>
      <c r="AB44" s="11" t="n">
        <v>0</v>
      </c>
      <c r="AC44" s="11" t="n">
        <v>17.698</v>
      </c>
      <c r="AD44" s="11" t="n">
        <v>233.966</v>
      </c>
      <c r="AE44" s="11" t="n">
        <v>150.115</v>
      </c>
      <c r="AF44" s="11" t="n">
        <v>9.565</v>
      </c>
      <c r="AG44" s="11" t="n">
        <v>19.275</v>
      </c>
      <c r="AH44" s="11" t="n">
        <f aca="false">SUM(AB44:AG44)</f>
        <v>430.619</v>
      </c>
    </row>
    <row r="45" customFormat="false" ht="15" hidden="false" customHeight="false" outlineLevel="2" collapsed="false">
      <c r="A45" s="8" t="s">
        <v>1039</v>
      </c>
      <c r="B45" s="12" t="s">
        <v>1040</v>
      </c>
      <c r="C45" s="8" t="s">
        <v>953</v>
      </c>
      <c r="D45" s="12" t="s">
        <v>954</v>
      </c>
      <c r="E45" s="16"/>
      <c r="F45" s="9" t="str">
        <f aca="false">IF($E45="","",IFERROR(INDEX(担当者マスタ!$B$2:$B$101,MATCH($E45,担当者マスタ!$A$2:$A$101,0)),"※マスタ未登録"))</f>
        <v/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f aca="false">SUM(G45:L45)</f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f aca="false">SUM(N45:S45)</f>
        <v>0</v>
      </c>
      <c r="U45" s="11" t="n">
        <v>0</v>
      </c>
      <c r="V45" s="11" t="n">
        <v>10.05</v>
      </c>
      <c r="W45" s="11" t="n">
        <v>70.37</v>
      </c>
      <c r="X45" s="11" t="n">
        <v>30.16</v>
      </c>
      <c r="Y45" s="11" t="n">
        <v>30.16</v>
      </c>
      <c r="Z45" s="11" t="n">
        <v>70.37</v>
      </c>
      <c r="AA45" s="11" t="n">
        <f aca="false">SUM(U45:Z45)</f>
        <v>211.11</v>
      </c>
      <c r="AB45" s="11" t="n">
        <v>0</v>
      </c>
      <c r="AC45" s="11" t="n">
        <v>1.35</v>
      </c>
      <c r="AD45" s="11" t="n">
        <v>13.67</v>
      </c>
      <c r="AE45" s="11" t="n">
        <v>6.16</v>
      </c>
      <c r="AF45" s="11" t="n">
        <v>6.16</v>
      </c>
      <c r="AG45" s="11" t="n">
        <v>13.67</v>
      </c>
      <c r="AH45" s="11" t="n">
        <f aca="false">SUM(AB45:AG45)</f>
        <v>41.01</v>
      </c>
    </row>
    <row r="46" customFormat="false" ht="15" hidden="false" customHeight="false" outlineLevel="2" collapsed="false">
      <c r="A46" s="8" t="s">
        <v>1041</v>
      </c>
      <c r="B46" s="12" t="s">
        <v>1042</v>
      </c>
      <c r="C46" s="8" t="s">
        <v>953</v>
      </c>
      <c r="D46" s="12" t="s">
        <v>954</v>
      </c>
      <c r="E46" s="16"/>
      <c r="F46" s="9" t="str">
        <f aca="false">IF($E46="","",IFERROR(INDEX(担当者マスタ!$B$2:$B$101,MATCH($E46,担当者マスタ!$A$2:$A$101,0)),"※マスタ未登録"))</f>
        <v/>
      </c>
      <c r="G46" s="11" t="n">
        <v>5.15</v>
      </c>
      <c r="H46" s="11" t="n">
        <v>16.58</v>
      </c>
      <c r="I46" s="11" t="n">
        <v>8.24</v>
      </c>
      <c r="J46" s="11" t="n">
        <v>10.3</v>
      </c>
      <c r="K46" s="11" t="n">
        <v>5.15</v>
      </c>
      <c r="L46" s="11" t="n">
        <v>0</v>
      </c>
      <c r="M46" s="11" t="n">
        <f aca="false">SUM(G46:L46)</f>
        <v>45.42</v>
      </c>
      <c r="N46" s="11" t="n">
        <v>1.9</v>
      </c>
      <c r="O46" s="11" t="n">
        <v>6.27</v>
      </c>
      <c r="P46" s="11" t="n">
        <v>3.04</v>
      </c>
      <c r="Q46" s="11" t="n">
        <v>3.8</v>
      </c>
      <c r="R46" s="11" t="n">
        <v>1.9</v>
      </c>
      <c r="S46" s="11" t="n">
        <v>0</v>
      </c>
      <c r="T46" s="11" t="n">
        <f aca="false">SUM(N46:S46)</f>
        <v>16.91</v>
      </c>
      <c r="U46" s="11" t="n">
        <v>2.06</v>
      </c>
      <c r="V46" s="11" t="n">
        <v>12.46</v>
      </c>
      <c r="W46" s="11" t="n">
        <v>4.12</v>
      </c>
      <c r="X46" s="11" t="n">
        <v>10.4</v>
      </c>
      <c r="Y46" s="11" t="n">
        <v>0</v>
      </c>
      <c r="Z46" s="11" t="n">
        <v>2.06</v>
      </c>
      <c r="AA46" s="11" t="n">
        <f aca="false">SUM(U46:Z46)</f>
        <v>31.1</v>
      </c>
      <c r="AB46" s="11" t="n">
        <v>0.76</v>
      </c>
      <c r="AC46" s="11" t="n">
        <v>4.75</v>
      </c>
      <c r="AD46" s="11" t="n">
        <v>1.52</v>
      </c>
      <c r="AE46" s="11" t="n">
        <v>3.99</v>
      </c>
      <c r="AF46" s="11" t="n">
        <v>0</v>
      </c>
      <c r="AG46" s="11" t="n">
        <v>0.76</v>
      </c>
      <c r="AH46" s="11" t="n">
        <f aca="false">SUM(AB46:AG46)</f>
        <v>11.78</v>
      </c>
    </row>
    <row r="47" customFormat="false" ht="15" hidden="false" customHeight="false" outlineLevel="1" collapsed="false">
      <c r="A47" s="19"/>
      <c r="B47" s="19"/>
      <c r="C47" s="17" t="s">
        <v>1943</v>
      </c>
      <c r="D47" s="19" t="s">
        <v>954</v>
      </c>
      <c r="E47" s="19"/>
      <c r="F47" s="19"/>
      <c r="G47" s="18" t="n">
        <f aca="false">SUBTOTAL(9,G2:G46)</f>
        <v>12313.277</v>
      </c>
      <c r="H47" s="18" t="n">
        <f aca="false">SUBTOTAL(9,H2:H46)</f>
        <v>10082.311</v>
      </c>
      <c r="I47" s="18" t="n">
        <f aca="false">SUBTOTAL(9,I2:I46)</f>
        <v>15102.043</v>
      </c>
      <c r="J47" s="18" t="n">
        <f aca="false">SUBTOTAL(9,J2:J46)</f>
        <v>7386.229</v>
      </c>
      <c r="K47" s="18" t="n">
        <f aca="false">SUBTOTAL(9,K2:K46)</f>
        <v>7267.935</v>
      </c>
      <c r="L47" s="18" t="n">
        <f aca="false">SUBTOTAL(9,L2:L46)</f>
        <v>11226.433</v>
      </c>
      <c r="M47" s="18" t="n">
        <f aca="false">SUBTOTAL(9,M2:M46)</f>
        <v>63378.228</v>
      </c>
      <c r="N47" s="18" t="n">
        <f aca="false">SUBTOTAL(9,N2:N46)</f>
        <v>3702.724</v>
      </c>
      <c r="O47" s="18" t="n">
        <f aca="false">SUBTOTAL(9,O2:O46)</f>
        <v>3171.771</v>
      </c>
      <c r="P47" s="18" t="n">
        <f aca="false">SUBTOTAL(9,P2:P46)</f>
        <v>4697.055</v>
      </c>
      <c r="Q47" s="18" t="n">
        <f aca="false">SUBTOTAL(9,Q2:Q46)</f>
        <v>2247.055</v>
      </c>
      <c r="R47" s="18" t="n">
        <f aca="false">SUBTOTAL(9,R2:R46)</f>
        <v>2191.482</v>
      </c>
      <c r="S47" s="18" t="n">
        <f aca="false">SUBTOTAL(9,S2:S46)</f>
        <v>3133.556</v>
      </c>
      <c r="T47" s="18" t="n">
        <f aca="false">SUBTOTAL(9,T2:T46)</f>
        <v>19143.643</v>
      </c>
      <c r="U47" s="18" t="n">
        <f aca="false">SUBTOTAL(9,U2:U46)</f>
        <v>10975.49</v>
      </c>
      <c r="V47" s="18" t="n">
        <f aca="false">SUBTOTAL(9,V2:V46)</f>
        <v>8416.295</v>
      </c>
      <c r="W47" s="18" t="n">
        <f aca="false">SUBTOTAL(9,W2:W46)</f>
        <v>15799.137</v>
      </c>
      <c r="X47" s="18" t="n">
        <f aca="false">SUBTOTAL(9,X2:X46)</f>
        <v>8083.245</v>
      </c>
      <c r="Y47" s="18" t="n">
        <f aca="false">SUBTOTAL(9,Y2:Y46)</f>
        <v>7684.749</v>
      </c>
      <c r="Z47" s="18" t="n">
        <f aca="false">SUBTOTAL(9,Z2:Z46)</f>
        <v>8744.342</v>
      </c>
      <c r="AA47" s="18" t="n">
        <f aca="false">SUBTOTAL(9,AA2:AA46)</f>
        <v>59703.258</v>
      </c>
      <c r="AB47" s="18" t="n">
        <f aca="false">SUBTOTAL(9,AB2:AB46)</f>
        <v>3325.85</v>
      </c>
      <c r="AC47" s="18" t="n">
        <f aca="false">SUBTOTAL(9,AC2:AC46)</f>
        <v>2531.029</v>
      </c>
      <c r="AD47" s="18" t="n">
        <f aca="false">SUBTOTAL(9,AD2:AD46)</f>
        <v>4725.449</v>
      </c>
      <c r="AE47" s="18" t="n">
        <f aca="false">SUBTOTAL(9,AE2:AE46)</f>
        <v>2178.2192</v>
      </c>
      <c r="AF47" s="18" t="n">
        <f aca="false">SUBTOTAL(9,AF2:AF46)</f>
        <v>2309.359</v>
      </c>
      <c r="AG47" s="18" t="n">
        <f aca="false">SUBTOTAL(9,AG2:AG46)</f>
        <v>2633.649</v>
      </c>
      <c r="AH47" s="18" t="n">
        <f aca="false">SUBTOTAL(9,AH2:AH46)</f>
        <v>17703.5552</v>
      </c>
    </row>
    <row r="48" customFormat="false" ht="15" hidden="false" customHeight="false" outlineLevel="2" collapsed="false">
      <c r="A48" s="8" t="s">
        <v>1043</v>
      </c>
      <c r="B48" s="9" t="s">
        <v>1044</v>
      </c>
      <c r="C48" s="8" t="s">
        <v>1045</v>
      </c>
      <c r="D48" s="12" t="s">
        <v>1046</v>
      </c>
      <c r="E48" s="16"/>
      <c r="F48" s="9" t="str">
        <f aca="false">IF($E48="","",IFERROR(INDEX(担当者マスタ!$B$2:$B$101,MATCH($E48,担当者マスタ!$A$2:$A$101,0)),"※マスタ未登録"))</f>
        <v/>
      </c>
      <c r="G48" s="11" t="n">
        <v>107.9</v>
      </c>
      <c r="H48" s="11" t="n">
        <v>284.92</v>
      </c>
      <c r="I48" s="11" t="n">
        <v>21</v>
      </c>
      <c r="J48" s="11" t="n">
        <v>0</v>
      </c>
      <c r="K48" s="11" t="n">
        <v>0</v>
      </c>
      <c r="L48" s="11" t="n">
        <v>0</v>
      </c>
      <c r="M48" s="11" t="n">
        <f aca="false">SUM(G48:L48)</f>
        <v>413.82</v>
      </c>
      <c r="N48" s="11" t="n">
        <v>26.9</v>
      </c>
      <c r="O48" s="11" t="n">
        <v>63.56</v>
      </c>
      <c r="P48" s="11" t="n">
        <v>4.5</v>
      </c>
      <c r="Q48" s="11" t="n">
        <v>0</v>
      </c>
      <c r="R48" s="11" t="n">
        <v>0</v>
      </c>
      <c r="S48" s="11" t="n">
        <v>0</v>
      </c>
      <c r="T48" s="11" t="n">
        <f aca="false">SUM(N48:S48)</f>
        <v>94.96</v>
      </c>
      <c r="U48" s="11" t="n">
        <v>4.12</v>
      </c>
      <c r="V48" s="11" t="n">
        <v>372.6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f aca="false">SUM(U48:Z48)</f>
        <v>376.72</v>
      </c>
      <c r="AB48" s="11" t="n">
        <v>0.6</v>
      </c>
      <c r="AC48" s="11" t="n">
        <v>82.8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f aca="false">SUM(AB48:AG48)</f>
        <v>83.4</v>
      </c>
    </row>
    <row r="49" customFormat="false" ht="15" hidden="false" customHeight="false" outlineLevel="2" collapsed="false">
      <c r="A49" s="8" t="s">
        <v>1047</v>
      </c>
      <c r="B49" s="9" t="s">
        <v>1048</v>
      </c>
      <c r="C49" s="8" t="s">
        <v>1045</v>
      </c>
      <c r="D49" s="12" t="s">
        <v>1046</v>
      </c>
      <c r="E49" s="16"/>
      <c r="F49" s="9" t="str">
        <f aca="false">IF($E49="","",IFERROR(INDEX(担当者マスタ!$B$2:$B$101,MATCH($E49,担当者マスタ!$A$2:$A$101,0)),"※マスタ未登録"))</f>
        <v/>
      </c>
      <c r="G49" s="11" t="n">
        <v>5891.895</v>
      </c>
      <c r="H49" s="11" t="n">
        <v>3313.479</v>
      </c>
      <c r="I49" s="11" t="n">
        <v>1635.806</v>
      </c>
      <c r="J49" s="11" t="n">
        <v>458.65</v>
      </c>
      <c r="K49" s="11" t="n">
        <v>577.895</v>
      </c>
      <c r="L49" s="11" t="n">
        <v>1235.012</v>
      </c>
      <c r="M49" s="11" t="n">
        <f aca="false">SUM(G49:L49)</f>
        <v>13112.737</v>
      </c>
      <c r="N49" s="11" t="n">
        <v>1233.4245</v>
      </c>
      <c r="O49" s="11" t="n">
        <v>1128.282</v>
      </c>
      <c r="P49" s="11" t="n">
        <v>516.536</v>
      </c>
      <c r="Q49" s="11" t="n">
        <v>75.1</v>
      </c>
      <c r="R49" s="11" t="n">
        <v>137.292</v>
      </c>
      <c r="S49" s="11" t="n">
        <v>187.208</v>
      </c>
      <c r="T49" s="11" t="n">
        <f aca="false">SUM(N49:S49)</f>
        <v>3277.8425</v>
      </c>
      <c r="U49" s="11" t="n">
        <v>3591.125</v>
      </c>
      <c r="V49" s="11" t="n">
        <v>1612.054</v>
      </c>
      <c r="W49" s="11" t="n">
        <v>1573.635</v>
      </c>
      <c r="X49" s="11" t="n">
        <v>436.426</v>
      </c>
      <c r="Y49" s="11" t="n">
        <v>1807.737</v>
      </c>
      <c r="Z49" s="11" t="n">
        <v>18723.57</v>
      </c>
      <c r="AA49" s="11" t="n">
        <f aca="false">SUM(U49:Z49)</f>
        <v>27744.547</v>
      </c>
      <c r="AB49" s="11" t="n">
        <v>920.9965</v>
      </c>
      <c r="AC49" s="11" t="n">
        <v>489.575</v>
      </c>
      <c r="AD49" s="11" t="n">
        <v>500.915</v>
      </c>
      <c r="AE49" s="11" t="n">
        <v>79.674</v>
      </c>
      <c r="AF49" s="11" t="n">
        <v>347.44</v>
      </c>
      <c r="AG49" s="11" t="n">
        <v>5663.174</v>
      </c>
      <c r="AH49" s="11" t="n">
        <f aca="false">SUM(AB49:AG49)</f>
        <v>8001.7745</v>
      </c>
    </row>
    <row r="50" customFormat="false" ht="15" hidden="false" customHeight="false" outlineLevel="2" collapsed="false">
      <c r="A50" s="8" t="s">
        <v>1049</v>
      </c>
      <c r="B50" s="9" t="s">
        <v>1050</v>
      </c>
      <c r="C50" s="8" t="s">
        <v>1045</v>
      </c>
      <c r="D50" s="12" t="s">
        <v>1046</v>
      </c>
      <c r="E50" s="16"/>
      <c r="F50" s="9" t="str">
        <f aca="false">IF($E50="","",IFERROR(INDEX(担当者マスタ!$B$2:$B$101,MATCH($E50,担当者マスタ!$A$2:$A$101,0)),"※マスタ未登録"))</f>
        <v/>
      </c>
      <c r="G50" s="11" t="n">
        <v>230.6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f aca="false">SUM(G50:L50)</f>
        <v>230.6</v>
      </c>
      <c r="N50" s="11" t="n">
        <v>38.346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f aca="false">SUM(N50:S50)</f>
        <v>38.346</v>
      </c>
      <c r="U50" s="11" t="n">
        <v>77.98</v>
      </c>
      <c r="V50" s="11" t="n">
        <v>46.025</v>
      </c>
      <c r="W50" s="11" t="n">
        <v>12</v>
      </c>
      <c r="X50" s="11" t="n">
        <v>0</v>
      </c>
      <c r="Y50" s="11" t="n">
        <v>0</v>
      </c>
      <c r="Z50" s="11" t="n">
        <v>0</v>
      </c>
      <c r="AA50" s="11" t="n">
        <f aca="false">SUM(U50:Z50)</f>
        <v>136.005</v>
      </c>
      <c r="AB50" s="11" t="n">
        <v>6.903</v>
      </c>
      <c r="AC50" s="11" t="n">
        <v>4.065</v>
      </c>
      <c r="AD50" s="11" t="n">
        <v>1.38</v>
      </c>
      <c r="AE50" s="11" t="n">
        <v>0</v>
      </c>
      <c r="AF50" s="11" t="n">
        <v>0</v>
      </c>
      <c r="AG50" s="11" t="n">
        <v>0</v>
      </c>
      <c r="AH50" s="11" t="n">
        <f aca="false">SUM(AB50:AG50)</f>
        <v>12.348</v>
      </c>
    </row>
    <row r="51" customFormat="false" ht="15" hidden="false" customHeight="false" outlineLevel="2" collapsed="false">
      <c r="A51" s="8" t="s">
        <v>1051</v>
      </c>
      <c r="B51" s="12" t="s">
        <v>1052</v>
      </c>
      <c r="C51" s="8" t="s">
        <v>1045</v>
      </c>
      <c r="D51" s="12" t="s">
        <v>1046</v>
      </c>
      <c r="E51" s="16"/>
      <c r="F51" s="9" t="str">
        <f aca="false">IF($E51="","",IFERROR(INDEX(担当者マスタ!$B$2:$B$101,MATCH($E51,担当者マスタ!$A$2:$A$101,0)),"※マスタ未登録"))</f>
        <v/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f aca="false">SUM(G51:L51)</f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f aca="false">SUM(N51:S51)</f>
        <v>0</v>
      </c>
      <c r="U51" s="11" t="n">
        <v>81.267</v>
      </c>
      <c r="V51" s="11" t="n">
        <v>83.52</v>
      </c>
      <c r="W51" s="11" t="n">
        <v>63.214</v>
      </c>
      <c r="X51" s="11" t="n">
        <v>22.32</v>
      </c>
      <c r="Y51" s="11" t="n">
        <v>61.775</v>
      </c>
      <c r="Z51" s="11" t="n">
        <v>58.629</v>
      </c>
      <c r="AA51" s="11" t="n">
        <f aca="false">SUM(U51:Z51)</f>
        <v>370.725</v>
      </c>
      <c r="AB51" s="11" t="n">
        <v>19.351</v>
      </c>
      <c r="AC51" s="11" t="n">
        <v>19.861</v>
      </c>
      <c r="AD51" s="11" t="n">
        <v>15.962</v>
      </c>
      <c r="AE51" s="11" t="n">
        <v>4.57</v>
      </c>
      <c r="AF51" s="11" t="n">
        <v>14.459</v>
      </c>
      <c r="AG51" s="11" t="n">
        <v>13.705</v>
      </c>
      <c r="AH51" s="11" t="n">
        <f aca="false">SUM(AB51:AG51)</f>
        <v>87.908</v>
      </c>
    </row>
    <row r="52" customFormat="false" ht="15" hidden="false" customHeight="false" outlineLevel="2" collapsed="false">
      <c r="A52" s="8" t="s">
        <v>1053</v>
      </c>
      <c r="B52" s="12" t="s">
        <v>1054</v>
      </c>
      <c r="C52" s="8" t="s">
        <v>1045</v>
      </c>
      <c r="D52" s="12" t="s">
        <v>1046</v>
      </c>
      <c r="E52" s="16"/>
      <c r="F52" s="9" t="str">
        <f aca="false">IF($E52="","",IFERROR(INDEX(担当者マスタ!$B$2:$B$101,MATCH($E52,担当者マスタ!$A$2:$A$101,0)),"※マスタ未登録"))</f>
        <v/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f aca="false">SUM(G52:L52)</f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f aca="false">SUM(N52:S52)</f>
        <v>0</v>
      </c>
      <c r="U52" s="11" t="n">
        <v>66.537</v>
      </c>
      <c r="V52" s="11" t="n">
        <v>76.508</v>
      </c>
      <c r="W52" s="11" t="n">
        <v>82.816</v>
      </c>
      <c r="X52" s="11" t="n">
        <v>63.971</v>
      </c>
      <c r="Y52" s="11" t="n">
        <v>72.32</v>
      </c>
      <c r="Z52" s="11" t="n">
        <v>93.672</v>
      </c>
      <c r="AA52" s="11" t="n">
        <f aca="false">SUM(U52:Z52)</f>
        <v>455.824</v>
      </c>
      <c r="AB52" s="11" t="n">
        <v>18.253</v>
      </c>
      <c r="AC52" s="11" t="n">
        <v>19.107</v>
      </c>
      <c r="AD52" s="11" t="n">
        <v>21.9</v>
      </c>
      <c r="AE52" s="11" t="n">
        <v>16.936</v>
      </c>
      <c r="AF52" s="11" t="n">
        <v>17.854</v>
      </c>
      <c r="AG52" s="11" t="n">
        <v>24.589</v>
      </c>
      <c r="AH52" s="11" t="n">
        <f aca="false">SUM(AB52:AG52)</f>
        <v>118.639</v>
      </c>
    </row>
    <row r="53" customFormat="false" ht="15" hidden="false" customHeight="false" outlineLevel="2" collapsed="false">
      <c r="A53" s="8" t="s">
        <v>1055</v>
      </c>
      <c r="B53" s="12" t="s">
        <v>1056</v>
      </c>
      <c r="C53" s="8" t="s">
        <v>1045</v>
      </c>
      <c r="D53" s="12" t="s">
        <v>1046</v>
      </c>
      <c r="E53" s="16"/>
      <c r="F53" s="9" t="str">
        <f aca="false">IF($E53="","",IFERROR(INDEX(担当者マスタ!$B$2:$B$101,MATCH($E53,担当者マスタ!$A$2:$A$101,0)),"※マスタ未登録"))</f>
        <v/>
      </c>
      <c r="G53" s="11" t="n">
        <v>0</v>
      </c>
      <c r="H53" s="11" t="n">
        <v>0</v>
      </c>
      <c r="I53" s="11" t="n">
        <v>0</v>
      </c>
      <c r="J53" s="11" t="n">
        <v>168.686</v>
      </c>
      <c r="K53" s="11" t="n">
        <v>48.736</v>
      </c>
      <c r="L53" s="11" t="n">
        <v>125.575</v>
      </c>
      <c r="M53" s="11" t="n">
        <f aca="false">SUM(G53:L53)</f>
        <v>342.997</v>
      </c>
      <c r="N53" s="11" t="n">
        <v>0</v>
      </c>
      <c r="O53" s="11" t="n">
        <v>0</v>
      </c>
      <c r="P53" s="11" t="n">
        <v>0</v>
      </c>
      <c r="Q53" s="11" t="n">
        <v>42.266</v>
      </c>
      <c r="R53" s="11" t="n">
        <v>10.815</v>
      </c>
      <c r="S53" s="11" t="n">
        <v>33.505</v>
      </c>
      <c r="T53" s="11" t="n">
        <f aca="false">SUM(N53:S53)</f>
        <v>86.586</v>
      </c>
      <c r="U53" s="11" t="n">
        <v>158.137</v>
      </c>
      <c r="V53" s="11" t="n">
        <v>146.798</v>
      </c>
      <c r="W53" s="11" t="n">
        <v>143.236</v>
      </c>
      <c r="X53" s="11" t="n">
        <v>121.472</v>
      </c>
      <c r="Y53" s="11" t="n">
        <v>163.74</v>
      </c>
      <c r="Z53" s="11" t="n">
        <v>208.391</v>
      </c>
      <c r="AA53" s="11" t="n">
        <f aca="false">SUM(U53:Z53)</f>
        <v>941.774</v>
      </c>
      <c r="AB53" s="11" t="n">
        <v>45.215</v>
      </c>
      <c r="AC53" s="11" t="n">
        <v>50.443</v>
      </c>
      <c r="AD53" s="11" t="n">
        <v>46.015</v>
      </c>
      <c r="AE53" s="11" t="n">
        <v>40.881</v>
      </c>
      <c r="AF53" s="11" t="n">
        <v>58.584</v>
      </c>
      <c r="AG53" s="11" t="n">
        <v>72.082</v>
      </c>
      <c r="AH53" s="11" t="n">
        <f aca="false">SUM(AB53:AG53)</f>
        <v>313.22</v>
      </c>
    </row>
    <row r="54" customFormat="false" ht="15" hidden="false" customHeight="false" outlineLevel="2" collapsed="false">
      <c r="A54" s="8" t="s">
        <v>1057</v>
      </c>
      <c r="B54" s="12" t="s">
        <v>1058</v>
      </c>
      <c r="C54" s="8" t="s">
        <v>1045</v>
      </c>
      <c r="D54" s="12" t="s">
        <v>1046</v>
      </c>
      <c r="E54" s="16"/>
      <c r="F54" s="9" t="str">
        <f aca="false">IF($E54="","",IFERROR(INDEX(担当者マスタ!$B$2:$B$101,MATCH($E54,担当者マスタ!$A$2:$A$101,0)),"※マスタ未登録"))</f>
        <v/>
      </c>
      <c r="G54" s="11" t="n">
        <v>1310.6</v>
      </c>
      <c r="H54" s="11" t="n">
        <v>0</v>
      </c>
      <c r="I54" s="11" t="n">
        <v>45.6</v>
      </c>
      <c r="J54" s="11" t="n">
        <v>50.4</v>
      </c>
      <c r="K54" s="11" t="n">
        <v>50.4</v>
      </c>
      <c r="L54" s="11" t="n">
        <v>0</v>
      </c>
      <c r="M54" s="11" t="n">
        <f aca="false">SUM(G54:L54)</f>
        <v>1457</v>
      </c>
      <c r="N54" s="11" t="n">
        <v>86.432</v>
      </c>
      <c r="O54" s="11" t="n">
        <v>0</v>
      </c>
      <c r="P54" s="11" t="n">
        <v>8.232</v>
      </c>
      <c r="Q54" s="11" t="n">
        <v>9.288</v>
      </c>
      <c r="R54" s="11" t="n">
        <v>9.288</v>
      </c>
      <c r="S54" s="11" t="n">
        <v>0</v>
      </c>
      <c r="T54" s="11" t="n">
        <f aca="false">SUM(N54:S54)</f>
        <v>113.24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f aca="false">SUM(U54:Z54)</f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f aca="false">SUM(AB54:AG54)</f>
        <v>0</v>
      </c>
    </row>
    <row r="55" customFormat="false" ht="15" hidden="false" customHeight="false" outlineLevel="2" collapsed="false">
      <c r="A55" s="8" t="s">
        <v>1059</v>
      </c>
      <c r="B55" s="12" t="s">
        <v>1060</v>
      </c>
      <c r="C55" s="8" t="s">
        <v>1045</v>
      </c>
      <c r="D55" s="12" t="s">
        <v>1046</v>
      </c>
      <c r="E55" s="16"/>
      <c r="F55" s="9" t="str">
        <f aca="false">IF($E55="","",IFERROR(INDEX(担当者マスタ!$B$2:$B$101,MATCH($E55,担当者マスタ!$A$2:$A$101,0)),"※マスタ未登録"))</f>
        <v/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f aca="false">SUM(G55:L55)</f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f aca="false">SUM(N55:S55)</f>
        <v>0</v>
      </c>
      <c r="U55" s="11" t="n">
        <v>0</v>
      </c>
      <c r="V55" s="11" t="n">
        <v>0</v>
      </c>
      <c r="W55" s="11" t="n">
        <v>33</v>
      </c>
      <c r="X55" s="11" t="n">
        <v>0</v>
      </c>
      <c r="Y55" s="11" t="n">
        <v>0</v>
      </c>
      <c r="Z55" s="11" t="n">
        <v>0</v>
      </c>
      <c r="AA55" s="11" t="n">
        <f aca="false">SUM(U55:Z55)</f>
        <v>33</v>
      </c>
      <c r="AB55" s="11" t="n">
        <v>0</v>
      </c>
      <c r="AC55" s="11" t="n">
        <v>0</v>
      </c>
      <c r="AD55" s="11" t="n">
        <v>9.6</v>
      </c>
      <c r="AE55" s="11" t="n">
        <v>0</v>
      </c>
      <c r="AF55" s="11" t="n">
        <v>0</v>
      </c>
      <c r="AG55" s="11" t="n">
        <v>0</v>
      </c>
      <c r="AH55" s="11" t="n">
        <f aca="false">SUM(AB55:AG55)</f>
        <v>9.6</v>
      </c>
    </row>
    <row r="56" customFormat="false" ht="15" hidden="false" customHeight="false" outlineLevel="2" collapsed="false">
      <c r="A56" s="8" t="s">
        <v>1061</v>
      </c>
      <c r="B56" s="9" t="s">
        <v>1062</v>
      </c>
      <c r="C56" s="8" t="s">
        <v>1045</v>
      </c>
      <c r="D56" s="12" t="s">
        <v>1046</v>
      </c>
      <c r="E56" s="16"/>
      <c r="F56" s="9" t="str">
        <f aca="false">IF($E56="","",IFERROR(INDEX(担当者マスタ!$B$2:$B$101,MATCH($E56,担当者マスタ!$A$2:$A$101,0)),"※マスタ未登録"))</f>
        <v/>
      </c>
      <c r="G56" s="11" t="n">
        <v>1659.323</v>
      </c>
      <c r="H56" s="11" t="n">
        <v>2039.21</v>
      </c>
      <c r="I56" s="11" t="n">
        <v>1697.39</v>
      </c>
      <c r="J56" s="11" t="n">
        <v>2170.313</v>
      </c>
      <c r="K56" s="11" t="n">
        <v>1388.229</v>
      </c>
      <c r="L56" s="11" t="n">
        <v>1797.535</v>
      </c>
      <c r="M56" s="11" t="n">
        <f aca="false">SUM(G56:L56)</f>
        <v>10752</v>
      </c>
      <c r="N56" s="11" t="n">
        <v>676.5908</v>
      </c>
      <c r="O56" s="11" t="n">
        <v>810.53</v>
      </c>
      <c r="P56" s="11" t="n">
        <v>618.023</v>
      </c>
      <c r="Q56" s="11" t="n">
        <v>815.3998</v>
      </c>
      <c r="R56" s="11" t="n">
        <v>604.545</v>
      </c>
      <c r="S56" s="11" t="n">
        <v>726.255</v>
      </c>
      <c r="T56" s="11" t="n">
        <f aca="false">SUM(N56:S56)</f>
        <v>4251.3436</v>
      </c>
      <c r="U56" s="11" t="n">
        <v>1769.574</v>
      </c>
      <c r="V56" s="11" t="n">
        <v>1694.5</v>
      </c>
      <c r="W56" s="11" t="n">
        <v>1543.81</v>
      </c>
      <c r="X56" s="11" t="n">
        <v>2892.62</v>
      </c>
      <c r="Y56" s="11" t="n">
        <v>914.739</v>
      </c>
      <c r="Z56" s="11" t="n">
        <v>3710.655</v>
      </c>
      <c r="AA56" s="11" t="n">
        <f aca="false">SUM(U56:Z56)</f>
        <v>12525.898</v>
      </c>
      <c r="AB56" s="11" t="n">
        <v>695.263</v>
      </c>
      <c r="AC56" s="11" t="n">
        <v>619.3858</v>
      </c>
      <c r="AD56" s="11" t="n">
        <v>592.048</v>
      </c>
      <c r="AE56" s="11" t="n">
        <v>1054.2318</v>
      </c>
      <c r="AF56" s="11" t="n">
        <v>339.979</v>
      </c>
      <c r="AG56" s="11" t="n">
        <v>1220.623</v>
      </c>
      <c r="AH56" s="11" t="n">
        <f aca="false">SUM(AB56:AG56)</f>
        <v>4521.5306</v>
      </c>
    </row>
    <row r="57" customFormat="false" ht="15" hidden="false" customHeight="false" outlineLevel="2" collapsed="false">
      <c r="A57" s="8" t="s">
        <v>1063</v>
      </c>
      <c r="B57" s="12" t="s">
        <v>1064</v>
      </c>
      <c r="C57" s="8" t="s">
        <v>1045</v>
      </c>
      <c r="D57" s="12" t="s">
        <v>1046</v>
      </c>
      <c r="E57" s="16"/>
      <c r="F57" s="9" t="str">
        <f aca="false">IF($E57="","",IFERROR(INDEX(担当者マスタ!$B$2:$B$101,MATCH($E57,担当者マスタ!$A$2:$A$101,0)),"※マスタ未登録"))</f>
        <v/>
      </c>
      <c r="G57" s="11" t="n">
        <v>334</v>
      </c>
      <c r="H57" s="11" t="n">
        <v>842.903</v>
      </c>
      <c r="I57" s="11" t="n">
        <v>129.133</v>
      </c>
      <c r="J57" s="11" t="n">
        <v>95.13</v>
      </c>
      <c r="K57" s="11" t="n">
        <v>9.3</v>
      </c>
      <c r="L57" s="11" t="n">
        <v>308.094</v>
      </c>
      <c r="M57" s="11" t="n">
        <f aca="false">SUM(G57:L57)</f>
        <v>1718.56</v>
      </c>
      <c r="N57" s="11" t="n">
        <v>79.2</v>
      </c>
      <c r="O57" s="11" t="n">
        <v>198.775</v>
      </c>
      <c r="P57" s="11" t="n">
        <v>28.316</v>
      </c>
      <c r="Q57" s="11" t="n">
        <v>21.48</v>
      </c>
      <c r="R57" s="11" t="n">
        <v>1.296</v>
      </c>
      <c r="S57" s="11" t="n">
        <v>69.38</v>
      </c>
      <c r="T57" s="11" t="n">
        <f aca="false">SUM(N57:S57)</f>
        <v>398.447</v>
      </c>
      <c r="U57" s="11" t="n">
        <v>41.575</v>
      </c>
      <c r="V57" s="11" t="n">
        <v>692.8</v>
      </c>
      <c r="W57" s="11" t="n">
        <v>191.74</v>
      </c>
      <c r="X57" s="11" t="n">
        <v>56.39</v>
      </c>
      <c r="Y57" s="11" t="n">
        <v>3.81</v>
      </c>
      <c r="Z57" s="11" t="n">
        <v>418.905</v>
      </c>
      <c r="AA57" s="11" t="n">
        <f aca="false">SUM(U57:Z57)</f>
        <v>1405.22</v>
      </c>
      <c r="AB57" s="11" t="n">
        <v>11.856</v>
      </c>
      <c r="AC57" s="11" t="n">
        <v>144.35</v>
      </c>
      <c r="AD57" s="11" t="n">
        <v>44.856</v>
      </c>
      <c r="AE57" s="11" t="n">
        <v>16.196</v>
      </c>
      <c r="AF57" s="11" t="n">
        <v>0.542</v>
      </c>
      <c r="AG57" s="11" t="n">
        <v>104.973</v>
      </c>
      <c r="AH57" s="11" t="n">
        <f aca="false">SUM(AB57:AG57)</f>
        <v>322.773</v>
      </c>
    </row>
    <row r="58" customFormat="false" ht="15" hidden="false" customHeight="false" outlineLevel="2" collapsed="false">
      <c r="A58" s="8" t="s">
        <v>1065</v>
      </c>
      <c r="B58" s="12" t="s">
        <v>1066</v>
      </c>
      <c r="C58" s="8" t="s">
        <v>1045</v>
      </c>
      <c r="D58" s="12" t="s">
        <v>1046</v>
      </c>
      <c r="E58" s="16"/>
      <c r="F58" s="9" t="str">
        <f aca="false">IF($E58="","",IFERROR(INDEX(担当者マスタ!$B$2:$B$101,MATCH($E58,担当者マスタ!$A$2:$A$101,0)),"※マスタ未登録"))</f>
        <v/>
      </c>
      <c r="G58" s="11" t="n">
        <v>0</v>
      </c>
      <c r="H58" s="11" t="n">
        <v>0</v>
      </c>
      <c r="I58" s="11" t="n">
        <v>0</v>
      </c>
      <c r="J58" s="11" t="n">
        <v>14.85</v>
      </c>
      <c r="K58" s="11" t="n">
        <v>0</v>
      </c>
      <c r="L58" s="11" t="n">
        <v>0</v>
      </c>
      <c r="M58" s="11" t="n">
        <f aca="false">SUM(G58:L58)</f>
        <v>14.85</v>
      </c>
      <c r="N58" s="11" t="n">
        <v>0</v>
      </c>
      <c r="O58" s="11" t="n">
        <v>0</v>
      </c>
      <c r="P58" s="11" t="n">
        <v>0</v>
      </c>
      <c r="Q58" s="11" t="n">
        <v>4.65</v>
      </c>
      <c r="R58" s="11" t="n">
        <v>0</v>
      </c>
      <c r="S58" s="11" t="n">
        <v>0</v>
      </c>
      <c r="T58" s="11" t="n">
        <f aca="false">SUM(N58:S58)</f>
        <v>4.65</v>
      </c>
      <c r="U58" s="11" t="n">
        <v>0</v>
      </c>
      <c r="V58" s="11" t="n">
        <v>13.2</v>
      </c>
      <c r="W58" s="11" t="n">
        <v>0</v>
      </c>
      <c r="X58" s="11" t="n">
        <v>13.2</v>
      </c>
      <c r="Y58" s="11" t="n">
        <v>0</v>
      </c>
      <c r="Z58" s="11" t="n">
        <v>0</v>
      </c>
      <c r="AA58" s="11" t="n">
        <f aca="false">SUM(U58:Z58)</f>
        <v>26.4</v>
      </c>
      <c r="AB58" s="11" t="n">
        <v>0</v>
      </c>
      <c r="AC58" s="11" t="n">
        <v>1.936</v>
      </c>
      <c r="AD58" s="11" t="n">
        <v>0</v>
      </c>
      <c r="AE58" s="11" t="n">
        <v>1.936</v>
      </c>
      <c r="AF58" s="11" t="n">
        <v>0</v>
      </c>
      <c r="AG58" s="11" t="n">
        <v>0</v>
      </c>
      <c r="AH58" s="11" t="n">
        <f aca="false">SUM(AB58:AG58)</f>
        <v>3.872</v>
      </c>
    </row>
    <row r="59" customFormat="false" ht="15" hidden="false" customHeight="false" outlineLevel="2" collapsed="false">
      <c r="A59" s="8" t="s">
        <v>1067</v>
      </c>
      <c r="B59" s="12" t="s">
        <v>1068</v>
      </c>
      <c r="C59" s="8" t="s">
        <v>1045</v>
      </c>
      <c r="D59" s="12" t="s">
        <v>1046</v>
      </c>
      <c r="E59" s="16"/>
      <c r="F59" s="9" t="str">
        <f aca="false">IF($E59="","",IFERROR(INDEX(担当者マスタ!$B$2:$B$101,MATCH($E59,担当者マスタ!$A$2:$A$101,0)),"※マスタ未登録"))</f>
        <v/>
      </c>
      <c r="G59" s="11" t="n">
        <v>0</v>
      </c>
      <c r="H59" s="11" t="n">
        <v>0</v>
      </c>
      <c r="I59" s="11" t="n">
        <v>11</v>
      </c>
      <c r="J59" s="11" t="n">
        <v>0</v>
      </c>
      <c r="K59" s="11" t="n">
        <v>0</v>
      </c>
      <c r="L59" s="11" t="n">
        <v>0</v>
      </c>
      <c r="M59" s="11" t="n">
        <f aca="false">SUM(G59:L59)</f>
        <v>11</v>
      </c>
      <c r="N59" s="11" t="n">
        <v>0</v>
      </c>
      <c r="O59" s="11" t="n">
        <v>0</v>
      </c>
      <c r="P59" s="11" t="n">
        <v>6.45</v>
      </c>
      <c r="Q59" s="11" t="n">
        <v>0</v>
      </c>
      <c r="R59" s="11" t="n">
        <v>0</v>
      </c>
      <c r="S59" s="11" t="n">
        <v>0</v>
      </c>
      <c r="T59" s="11" t="n">
        <f aca="false">SUM(N59:S59)</f>
        <v>6.45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f aca="false">SUM(U59:Z59)</f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f aca="false">SUM(AB59:AG59)</f>
        <v>0</v>
      </c>
    </row>
    <row r="60" customFormat="false" ht="15" hidden="false" customHeight="false" outlineLevel="2" collapsed="false">
      <c r="A60" s="8" t="s">
        <v>1069</v>
      </c>
      <c r="B60" s="12" t="s">
        <v>1070</v>
      </c>
      <c r="C60" s="8" t="s">
        <v>1045</v>
      </c>
      <c r="D60" s="12" t="s">
        <v>1046</v>
      </c>
      <c r="E60" s="16"/>
      <c r="F60" s="9" t="str">
        <f aca="false">IF($E60="","",IFERROR(INDEX(担当者マスタ!$B$2:$B$101,MATCH($E60,担当者マスタ!$A$2:$A$101,0)),"※マスタ未登録"))</f>
        <v/>
      </c>
      <c r="G60" s="11" t="n">
        <v>0</v>
      </c>
      <c r="H60" s="11" t="n">
        <v>71.16</v>
      </c>
      <c r="I60" s="11" t="n">
        <v>60.128</v>
      </c>
      <c r="J60" s="11" t="n">
        <v>0</v>
      </c>
      <c r="K60" s="11" t="n">
        <v>56.06</v>
      </c>
      <c r="L60" s="11" t="n">
        <v>0</v>
      </c>
      <c r="M60" s="11" t="n">
        <f aca="false">SUM(G60:L60)</f>
        <v>187.348</v>
      </c>
      <c r="N60" s="11" t="n">
        <v>0</v>
      </c>
      <c r="O60" s="11" t="n">
        <v>23.06</v>
      </c>
      <c r="P60" s="11" t="n">
        <v>21.064</v>
      </c>
      <c r="Q60" s="11" t="n">
        <v>0</v>
      </c>
      <c r="R60" s="11" t="n">
        <v>19.36</v>
      </c>
      <c r="S60" s="11" t="n">
        <v>0</v>
      </c>
      <c r="T60" s="11" t="n">
        <f aca="false">SUM(N60:S60)</f>
        <v>63.484</v>
      </c>
      <c r="U60" s="11" t="n">
        <v>38.05</v>
      </c>
      <c r="V60" s="11" t="n">
        <v>31</v>
      </c>
      <c r="W60" s="11" t="n">
        <v>54.22</v>
      </c>
      <c r="X60" s="11" t="n">
        <v>0</v>
      </c>
      <c r="Y60" s="11" t="n">
        <v>0</v>
      </c>
      <c r="Z60" s="11" t="n">
        <v>36.16</v>
      </c>
      <c r="AA60" s="11" t="n">
        <f aca="false">SUM(U60:Z60)</f>
        <v>159.43</v>
      </c>
      <c r="AB60" s="11" t="n">
        <v>12.69</v>
      </c>
      <c r="AC60" s="11" t="n">
        <v>9.8</v>
      </c>
      <c r="AD60" s="11" t="n">
        <v>19.08</v>
      </c>
      <c r="AE60" s="11" t="n">
        <v>0</v>
      </c>
      <c r="AF60" s="11" t="n">
        <v>0</v>
      </c>
      <c r="AG60" s="11" t="n">
        <v>12.36</v>
      </c>
      <c r="AH60" s="11" t="n">
        <f aca="false">SUM(AB60:AG60)</f>
        <v>53.93</v>
      </c>
    </row>
    <row r="61" customFormat="false" ht="15" hidden="false" customHeight="false" outlineLevel="2" collapsed="false">
      <c r="A61" s="8" t="s">
        <v>1071</v>
      </c>
      <c r="B61" s="9" t="s">
        <v>1072</v>
      </c>
      <c r="C61" s="8" t="s">
        <v>1045</v>
      </c>
      <c r="D61" s="12" t="s">
        <v>1046</v>
      </c>
      <c r="E61" s="16"/>
      <c r="F61" s="9" t="str">
        <f aca="false">IF($E61="","",IFERROR(INDEX(担当者マスタ!$B$2:$B$101,MATCH($E61,担当者マスタ!$A$2:$A$101,0)),"※マスタ未登録"))</f>
        <v/>
      </c>
      <c r="G61" s="11" t="n">
        <v>0</v>
      </c>
      <c r="H61" s="11" t="n">
        <v>0</v>
      </c>
      <c r="I61" s="11" t="n">
        <v>25.5</v>
      </c>
      <c r="J61" s="11" t="n">
        <v>0</v>
      </c>
      <c r="K61" s="11" t="n">
        <v>0</v>
      </c>
      <c r="L61" s="11" t="n">
        <v>414.2</v>
      </c>
      <c r="M61" s="11" t="n">
        <f aca="false">SUM(G61:L61)</f>
        <v>439.7</v>
      </c>
      <c r="N61" s="11" t="n">
        <v>0</v>
      </c>
      <c r="O61" s="11" t="n">
        <v>0</v>
      </c>
      <c r="P61" s="11" t="n">
        <v>5.58</v>
      </c>
      <c r="Q61" s="11" t="n">
        <v>0</v>
      </c>
      <c r="R61" s="11" t="n">
        <v>0</v>
      </c>
      <c r="S61" s="11" t="n">
        <v>43.5</v>
      </c>
      <c r="T61" s="11" t="n">
        <f aca="false">SUM(N61:S61)</f>
        <v>49.08</v>
      </c>
      <c r="U61" s="11" t="n">
        <v>17.232</v>
      </c>
      <c r="V61" s="11" t="n">
        <v>425.7</v>
      </c>
      <c r="W61" s="11" t="n">
        <v>0</v>
      </c>
      <c r="X61" s="11" t="n">
        <v>0</v>
      </c>
      <c r="Y61" s="11" t="n">
        <v>0</v>
      </c>
      <c r="Z61" s="11" t="n">
        <v>421.2</v>
      </c>
      <c r="AA61" s="11" t="n">
        <f aca="false">SUM(U61:Z61)</f>
        <v>864.132</v>
      </c>
      <c r="AB61" s="11" t="n">
        <v>3.744</v>
      </c>
      <c r="AC61" s="11" t="n">
        <v>46.98</v>
      </c>
      <c r="AD61" s="11" t="n">
        <v>0</v>
      </c>
      <c r="AE61" s="11" t="n">
        <v>0</v>
      </c>
      <c r="AF61" s="11" t="n">
        <v>0</v>
      </c>
      <c r="AG61" s="11" t="n">
        <v>44.55</v>
      </c>
      <c r="AH61" s="11" t="n">
        <f aca="false">SUM(AB61:AG61)</f>
        <v>95.274</v>
      </c>
    </row>
    <row r="62" customFormat="false" ht="15" hidden="false" customHeight="false" outlineLevel="2" collapsed="false">
      <c r="A62" s="8" t="s">
        <v>1073</v>
      </c>
      <c r="B62" s="9" t="s">
        <v>1074</v>
      </c>
      <c r="C62" s="8" t="s">
        <v>1045</v>
      </c>
      <c r="D62" s="12" t="s">
        <v>1046</v>
      </c>
      <c r="E62" s="16"/>
      <c r="F62" s="9" t="str">
        <f aca="false">IF($E62="","",IFERROR(INDEX(担当者マスタ!$B$2:$B$101,MATCH($E62,担当者マスタ!$A$2:$A$101,0)),"※マスタ未登録"))</f>
        <v/>
      </c>
      <c r="G62" s="11" t="n">
        <v>10.222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10.222</v>
      </c>
      <c r="M62" s="11" t="n">
        <f aca="false">SUM(G62:L62)</f>
        <v>20.444</v>
      </c>
      <c r="N62" s="11" t="n">
        <v>1.914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1.914</v>
      </c>
      <c r="T62" s="11" t="n">
        <f aca="false">SUM(N62:S62)</f>
        <v>3.828</v>
      </c>
      <c r="U62" s="11" t="n">
        <v>0</v>
      </c>
      <c r="V62" s="11" t="n">
        <v>1.94</v>
      </c>
      <c r="W62" s="11" t="n">
        <v>0</v>
      </c>
      <c r="X62" s="11" t="n">
        <v>0</v>
      </c>
      <c r="Y62" s="11" t="n">
        <v>27.002</v>
      </c>
      <c r="Z62" s="11" t="n">
        <v>0</v>
      </c>
      <c r="AA62" s="11" t="n">
        <f aca="false">SUM(U62:Z62)</f>
        <v>28.942</v>
      </c>
      <c r="AB62" s="11" t="n">
        <v>0</v>
      </c>
      <c r="AC62" s="11" t="n">
        <v>0.392</v>
      </c>
      <c r="AD62" s="11" t="n">
        <v>0</v>
      </c>
      <c r="AE62" s="11" t="n">
        <v>0</v>
      </c>
      <c r="AF62" s="11" t="n">
        <v>5.514</v>
      </c>
      <c r="AG62" s="11" t="n">
        <v>0</v>
      </c>
      <c r="AH62" s="11" t="n">
        <f aca="false">SUM(AB62:AG62)</f>
        <v>5.906</v>
      </c>
    </row>
    <row r="63" customFormat="false" ht="15" hidden="false" customHeight="false" outlineLevel="2" collapsed="false">
      <c r="A63" s="8" t="s">
        <v>1075</v>
      </c>
      <c r="B63" s="9" t="s">
        <v>1076</v>
      </c>
      <c r="C63" s="8" t="s">
        <v>1045</v>
      </c>
      <c r="D63" s="12" t="s">
        <v>1046</v>
      </c>
      <c r="E63" s="16"/>
      <c r="F63" s="9" t="str">
        <f aca="false">IF($E63="","",IFERROR(INDEX(担当者マスタ!$B$2:$B$101,MATCH($E63,担当者マスタ!$A$2:$A$101,0)),"※マスタ未登録"))</f>
        <v/>
      </c>
      <c r="G63" s="11" t="n">
        <v>1272.559</v>
      </c>
      <c r="H63" s="11" t="n">
        <v>1277.005</v>
      </c>
      <c r="I63" s="11" t="n">
        <v>1861.804</v>
      </c>
      <c r="J63" s="11" t="n">
        <v>707.495</v>
      </c>
      <c r="K63" s="11" t="n">
        <v>974.356</v>
      </c>
      <c r="L63" s="11" t="n">
        <v>2012.776</v>
      </c>
      <c r="M63" s="11" t="n">
        <f aca="false">SUM(G63:L63)</f>
        <v>8105.995</v>
      </c>
      <c r="N63" s="11" t="n">
        <v>343.654</v>
      </c>
      <c r="O63" s="11" t="n">
        <v>326.977</v>
      </c>
      <c r="P63" s="11" t="n">
        <v>533.728</v>
      </c>
      <c r="Q63" s="11" t="n">
        <v>180.441</v>
      </c>
      <c r="R63" s="11" t="n">
        <v>233.144</v>
      </c>
      <c r="S63" s="11" t="n">
        <v>385.043</v>
      </c>
      <c r="T63" s="11" t="n">
        <f aca="false">SUM(N63:S63)</f>
        <v>2002.987</v>
      </c>
      <c r="U63" s="11" t="n">
        <v>1289.945</v>
      </c>
      <c r="V63" s="11" t="n">
        <v>1217.643</v>
      </c>
      <c r="W63" s="11" t="n">
        <v>1674.055</v>
      </c>
      <c r="X63" s="11" t="n">
        <v>994.277</v>
      </c>
      <c r="Y63" s="11" t="n">
        <v>800.538</v>
      </c>
      <c r="Z63" s="11" t="n">
        <v>1008.448</v>
      </c>
      <c r="AA63" s="11" t="n">
        <f aca="false">SUM(U63:Z63)</f>
        <v>6984.906</v>
      </c>
      <c r="AB63" s="11" t="n">
        <v>349.809</v>
      </c>
      <c r="AC63" s="11" t="n">
        <v>320.054</v>
      </c>
      <c r="AD63" s="11" t="n">
        <v>428.766</v>
      </c>
      <c r="AE63" s="11" t="n">
        <v>254.034</v>
      </c>
      <c r="AF63" s="11" t="n">
        <v>197.063</v>
      </c>
      <c r="AG63" s="11" t="n">
        <v>267.666</v>
      </c>
      <c r="AH63" s="11" t="n">
        <f aca="false">SUM(AB63:AG63)</f>
        <v>1817.392</v>
      </c>
    </row>
    <row r="64" customFormat="false" ht="15" hidden="false" customHeight="false" outlineLevel="2" collapsed="false">
      <c r="A64" s="8" t="s">
        <v>1077</v>
      </c>
      <c r="B64" s="9" t="s">
        <v>1078</v>
      </c>
      <c r="C64" s="8" t="s">
        <v>1045</v>
      </c>
      <c r="D64" s="12" t="s">
        <v>1046</v>
      </c>
      <c r="E64" s="16"/>
      <c r="F64" s="9" t="str">
        <f aca="false">IF($E64="","",IFERROR(INDEX(担当者マスタ!$B$2:$B$101,MATCH($E64,担当者マスタ!$A$2:$A$101,0)),"※マスタ未登録"))</f>
        <v/>
      </c>
      <c r="G64" s="11" t="n">
        <v>100.88</v>
      </c>
      <c r="H64" s="11" t="n">
        <v>51</v>
      </c>
      <c r="I64" s="11" t="n">
        <v>69.5</v>
      </c>
      <c r="J64" s="11" t="n">
        <v>47.5</v>
      </c>
      <c r="K64" s="11" t="n">
        <v>106.84</v>
      </c>
      <c r="L64" s="11" t="n">
        <v>0</v>
      </c>
      <c r="M64" s="11" t="n">
        <f aca="false">SUM(G64:L64)</f>
        <v>375.72</v>
      </c>
      <c r="N64" s="11" t="n">
        <v>21.1</v>
      </c>
      <c r="O64" s="11" t="n">
        <v>31.44</v>
      </c>
      <c r="P64" s="11" t="n">
        <v>45.6</v>
      </c>
      <c r="Q64" s="11" t="n">
        <v>24.4</v>
      </c>
      <c r="R64" s="11" t="n">
        <v>35.28</v>
      </c>
      <c r="S64" s="11" t="n">
        <v>0</v>
      </c>
      <c r="T64" s="11" t="n">
        <f aca="false">SUM(N64:S64)</f>
        <v>157.82</v>
      </c>
      <c r="U64" s="11" t="n">
        <v>6.68</v>
      </c>
      <c r="V64" s="11" t="n">
        <v>0</v>
      </c>
      <c r="W64" s="11" t="n">
        <v>38.848</v>
      </c>
      <c r="X64" s="11" t="n">
        <v>0</v>
      </c>
      <c r="Y64" s="11" t="n">
        <v>0</v>
      </c>
      <c r="Z64" s="11" t="n">
        <v>0</v>
      </c>
      <c r="AA64" s="11" t="n">
        <f aca="false">SUM(U64:Z64)</f>
        <v>45.528</v>
      </c>
      <c r="AB64" s="11" t="n">
        <v>1.58</v>
      </c>
      <c r="AC64" s="11" t="n">
        <v>0</v>
      </c>
      <c r="AD64" s="11" t="n">
        <v>24.888</v>
      </c>
      <c r="AE64" s="11" t="n">
        <v>0</v>
      </c>
      <c r="AF64" s="11" t="n">
        <v>0</v>
      </c>
      <c r="AG64" s="11" t="n">
        <v>0</v>
      </c>
      <c r="AH64" s="11" t="n">
        <f aca="false">SUM(AB64:AG64)</f>
        <v>26.468</v>
      </c>
    </row>
    <row r="65" customFormat="false" ht="15" hidden="false" customHeight="false" outlineLevel="2" collapsed="false">
      <c r="A65" s="8" t="s">
        <v>1079</v>
      </c>
      <c r="B65" s="9" t="s">
        <v>1080</v>
      </c>
      <c r="C65" s="8" t="s">
        <v>1045</v>
      </c>
      <c r="D65" s="12" t="s">
        <v>1046</v>
      </c>
      <c r="E65" s="16"/>
      <c r="F65" s="9" t="str">
        <f aca="false">IF($E65="","",IFERROR(INDEX(担当者マスタ!$B$2:$B$101,MATCH($E65,担当者マスタ!$A$2:$A$101,0)),"※マスタ未登録"))</f>
        <v/>
      </c>
      <c r="G65" s="11" t="n">
        <v>15.264</v>
      </c>
      <c r="H65" s="11" t="n">
        <v>50.472</v>
      </c>
      <c r="I65" s="11" t="n">
        <v>70.416</v>
      </c>
      <c r="J65" s="11" t="n">
        <v>15.264</v>
      </c>
      <c r="K65" s="11" t="n">
        <v>35.208</v>
      </c>
      <c r="L65" s="11" t="n">
        <v>35.208</v>
      </c>
      <c r="M65" s="11" t="n">
        <f aca="false">SUM(G65:L65)</f>
        <v>221.832</v>
      </c>
      <c r="N65" s="11" t="n">
        <v>5.184</v>
      </c>
      <c r="O65" s="11" t="n">
        <v>17.316</v>
      </c>
      <c r="P65" s="11" t="n">
        <v>24.048</v>
      </c>
      <c r="Q65" s="11" t="n">
        <v>5.292</v>
      </c>
      <c r="R65" s="11" t="n">
        <v>12.024</v>
      </c>
      <c r="S65" s="11" t="n">
        <v>12.024</v>
      </c>
      <c r="T65" s="11" t="n">
        <f aca="false">SUM(N65:S65)</f>
        <v>75.888</v>
      </c>
      <c r="U65" s="11" t="n">
        <v>35.208</v>
      </c>
      <c r="V65" s="11" t="n">
        <v>64.122</v>
      </c>
      <c r="W65" s="11" t="n">
        <v>105.624</v>
      </c>
      <c r="X65" s="11" t="n">
        <v>15.264</v>
      </c>
      <c r="Y65" s="11" t="n">
        <v>0</v>
      </c>
      <c r="Z65" s="11" t="n">
        <v>70.416</v>
      </c>
      <c r="AA65" s="11" t="n">
        <f aca="false">SUM(U65:Z65)</f>
        <v>290.634</v>
      </c>
      <c r="AB65" s="11" t="n">
        <v>12.024</v>
      </c>
      <c r="AC65" s="11" t="n">
        <v>21.117</v>
      </c>
      <c r="AD65" s="11" t="n">
        <v>36.072</v>
      </c>
      <c r="AE65" s="11" t="n">
        <v>5.292</v>
      </c>
      <c r="AF65" s="11" t="n">
        <v>0</v>
      </c>
      <c r="AG65" s="11" t="n">
        <v>24.048</v>
      </c>
      <c r="AH65" s="11" t="n">
        <f aca="false">SUM(AB65:AG65)</f>
        <v>98.553</v>
      </c>
    </row>
    <row r="66" customFormat="false" ht="15" hidden="false" customHeight="false" outlineLevel="2" collapsed="false">
      <c r="A66" s="8" t="s">
        <v>1081</v>
      </c>
      <c r="B66" s="12" t="s">
        <v>1082</v>
      </c>
      <c r="C66" s="8" t="s">
        <v>1045</v>
      </c>
      <c r="D66" s="12" t="s">
        <v>1046</v>
      </c>
      <c r="E66" s="16"/>
      <c r="F66" s="9" t="str">
        <f aca="false">IF($E66="","",IFERROR(INDEX(担当者マスタ!$B$2:$B$101,MATCH($E66,担当者マスタ!$A$2:$A$101,0)),"※マスタ未登録"))</f>
        <v/>
      </c>
      <c r="G66" s="11" t="n">
        <v>2345.624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f aca="false">SUM(G66:L66)</f>
        <v>2345.624</v>
      </c>
      <c r="N66" s="11" t="n">
        <v>522.001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f aca="false">SUM(N66:S66)</f>
        <v>522.001</v>
      </c>
      <c r="U66" s="11" t="n">
        <v>1487.712</v>
      </c>
      <c r="V66" s="11" t="n">
        <v>1166.477</v>
      </c>
      <c r="W66" s="11" t="n">
        <v>53.388</v>
      </c>
      <c r="X66" s="11" t="n">
        <v>0</v>
      </c>
      <c r="Y66" s="11" t="n">
        <v>0</v>
      </c>
      <c r="Z66" s="11" t="n">
        <v>0</v>
      </c>
      <c r="AA66" s="11" t="n">
        <f aca="false">SUM(U66:Z66)</f>
        <v>2707.577</v>
      </c>
      <c r="AB66" s="11" t="n">
        <v>301.822</v>
      </c>
      <c r="AC66" s="11" t="n">
        <v>389.176</v>
      </c>
      <c r="AD66" s="11" t="n">
        <v>23.328</v>
      </c>
      <c r="AE66" s="11" t="n">
        <v>0</v>
      </c>
      <c r="AF66" s="11" t="n">
        <v>0</v>
      </c>
      <c r="AG66" s="11" t="n">
        <v>0</v>
      </c>
      <c r="AH66" s="11" t="n">
        <f aca="false">SUM(AB66:AG66)</f>
        <v>714.326</v>
      </c>
    </row>
    <row r="67" customFormat="false" ht="15" hidden="false" customHeight="false" outlineLevel="2" collapsed="false">
      <c r="A67" s="8" t="s">
        <v>1083</v>
      </c>
      <c r="B67" s="9" t="s">
        <v>1084</v>
      </c>
      <c r="C67" s="8" t="s">
        <v>1045</v>
      </c>
      <c r="D67" s="12" t="s">
        <v>1046</v>
      </c>
      <c r="E67" s="16"/>
      <c r="F67" s="9" t="str">
        <f aca="false">IF($E67="","",IFERROR(INDEX(担当者マスタ!$B$2:$B$101,MATCH($E67,担当者マスタ!$A$2:$A$101,0)),"※マスタ未登録"))</f>
        <v/>
      </c>
      <c r="G67" s="11" t="n">
        <v>2502.026</v>
      </c>
      <c r="H67" s="11" t="n">
        <v>4220.415</v>
      </c>
      <c r="I67" s="11" t="n">
        <v>3197.126</v>
      </c>
      <c r="J67" s="11" t="n">
        <v>2005.146</v>
      </c>
      <c r="K67" s="11" t="n">
        <v>2300.54</v>
      </c>
      <c r="L67" s="11" t="n">
        <v>1465.481</v>
      </c>
      <c r="M67" s="11" t="n">
        <f aca="false">SUM(G67:L67)</f>
        <v>15690.734</v>
      </c>
      <c r="N67" s="11" t="n">
        <v>476.192</v>
      </c>
      <c r="O67" s="11" t="n">
        <v>601.111</v>
      </c>
      <c r="P67" s="11" t="n">
        <v>497.376</v>
      </c>
      <c r="Q67" s="11" t="n">
        <v>258.904</v>
      </c>
      <c r="R67" s="11" t="n">
        <v>321.417</v>
      </c>
      <c r="S67" s="11" t="n">
        <v>174.617</v>
      </c>
      <c r="T67" s="11" t="n">
        <f aca="false">SUM(N67:S67)</f>
        <v>2329.617</v>
      </c>
      <c r="U67" s="11" t="n">
        <v>2745.924</v>
      </c>
      <c r="V67" s="11" t="n">
        <v>4547.467</v>
      </c>
      <c r="W67" s="11" t="n">
        <v>3873.254</v>
      </c>
      <c r="X67" s="11" t="n">
        <v>2257.201</v>
      </c>
      <c r="Y67" s="11" t="n">
        <v>3335.488</v>
      </c>
      <c r="Z67" s="11" t="n">
        <v>2330.977</v>
      </c>
      <c r="AA67" s="11" t="n">
        <f aca="false">SUM(U67:Z67)</f>
        <v>19090.311</v>
      </c>
      <c r="AB67" s="11" t="n">
        <v>399.726</v>
      </c>
      <c r="AC67" s="11" t="n">
        <v>923.684</v>
      </c>
      <c r="AD67" s="11" t="n">
        <v>507.68</v>
      </c>
      <c r="AE67" s="11" t="n">
        <v>270.369</v>
      </c>
      <c r="AF67" s="11" t="n">
        <v>442.776</v>
      </c>
      <c r="AG67" s="11" t="n">
        <v>242.295</v>
      </c>
      <c r="AH67" s="11" t="n">
        <f aca="false">SUM(AB67:AG67)</f>
        <v>2786.53</v>
      </c>
    </row>
    <row r="68" customFormat="false" ht="15" hidden="false" customHeight="false" outlineLevel="2" collapsed="false">
      <c r="A68" s="8" t="s">
        <v>1085</v>
      </c>
      <c r="B68" s="12" t="s">
        <v>1086</v>
      </c>
      <c r="C68" s="8" t="s">
        <v>1045</v>
      </c>
      <c r="D68" s="12" t="s">
        <v>1046</v>
      </c>
      <c r="E68" s="16"/>
      <c r="F68" s="9" t="str">
        <f aca="false">IF($E68="","",IFERROR(INDEX(担当者マスタ!$B$2:$B$101,MATCH($E68,担当者マスタ!$A$2:$A$101,0)),"※マスタ未登録"))</f>
        <v/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f aca="false">SUM(G68:L68)</f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f aca="false">SUM(N68:S68)</f>
        <v>0</v>
      </c>
      <c r="U68" s="11" t="n">
        <v>4.62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f aca="false">SUM(U68:Z68)</f>
        <v>4.62</v>
      </c>
      <c r="AB68" s="11" t="n">
        <v>0.94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f aca="false">SUM(AB68:AG68)</f>
        <v>0.94</v>
      </c>
    </row>
    <row r="69" customFormat="false" ht="15" hidden="false" customHeight="false" outlineLevel="2" collapsed="false">
      <c r="A69" s="8" t="s">
        <v>1087</v>
      </c>
      <c r="B69" s="9" t="s">
        <v>1088</v>
      </c>
      <c r="C69" s="8" t="s">
        <v>1045</v>
      </c>
      <c r="D69" s="12" t="s">
        <v>1046</v>
      </c>
      <c r="E69" s="16"/>
      <c r="F69" s="9" t="str">
        <f aca="false">IF($E69="","",IFERROR(INDEX(担当者マスタ!$B$2:$B$101,MATCH($E69,担当者マスタ!$A$2:$A$101,0)),"※マスタ未登録"))</f>
        <v/>
      </c>
      <c r="G69" s="11" t="n">
        <v>135.984</v>
      </c>
      <c r="H69" s="11" t="n">
        <v>556.234</v>
      </c>
      <c r="I69" s="11" t="n">
        <v>71.7</v>
      </c>
      <c r="J69" s="11" t="n">
        <v>83.184</v>
      </c>
      <c r="K69" s="11" t="n">
        <v>0</v>
      </c>
      <c r="L69" s="11" t="n">
        <v>307.534</v>
      </c>
      <c r="M69" s="11" t="n">
        <f aca="false">SUM(G69:L69)</f>
        <v>1154.636</v>
      </c>
      <c r="N69" s="11" t="n">
        <v>46.224</v>
      </c>
      <c r="O69" s="11" t="n">
        <v>134.56</v>
      </c>
      <c r="P69" s="11" t="n">
        <v>22</v>
      </c>
      <c r="Q69" s="11" t="n">
        <v>28.11</v>
      </c>
      <c r="R69" s="11" t="n">
        <v>0</v>
      </c>
      <c r="S69" s="11" t="n">
        <v>64.41</v>
      </c>
      <c r="T69" s="11" t="n">
        <f aca="false">SUM(N69:S69)</f>
        <v>295.304</v>
      </c>
      <c r="U69" s="11" t="n">
        <v>129.6</v>
      </c>
      <c r="V69" s="11" t="n">
        <v>120.634</v>
      </c>
      <c r="W69" s="11" t="n">
        <v>368.184</v>
      </c>
      <c r="X69" s="11" t="n">
        <v>301.95</v>
      </c>
      <c r="Y69" s="11" t="n">
        <v>44.784</v>
      </c>
      <c r="Z69" s="11" t="n">
        <v>0</v>
      </c>
      <c r="AA69" s="11" t="n">
        <f aca="false">SUM(U69:Z69)</f>
        <v>965.152</v>
      </c>
      <c r="AB69" s="11" t="n">
        <v>47.4</v>
      </c>
      <c r="AC69" s="11" t="n">
        <v>45.56</v>
      </c>
      <c r="AD69" s="11" t="n">
        <v>80.78</v>
      </c>
      <c r="AE69" s="11" t="n">
        <v>96.06</v>
      </c>
      <c r="AF69" s="11" t="n">
        <v>16.692</v>
      </c>
      <c r="AG69" s="11" t="n">
        <v>0</v>
      </c>
      <c r="AH69" s="11" t="n">
        <f aca="false">SUM(AB69:AG69)</f>
        <v>286.492</v>
      </c>
    </row>
    <row r="70" customFormat="false" ht="15" hidden="false" customHeight="false" outlineLevel="2" collapsed="false">
      <c r="A70" s="8" t="s">
        <v>1089</v>
      </c>
      <c r="B70" s="12" t="s">
        <v>1090</v>
      </c>
      <c r="C70" s="8" t="s">
        <v>1045</v>
      </c>
      <c r="D70" s="12" t="s">
        <v>1046</v>
      </c>
      <c r="E70" s="16"/>
      <c r="F70" s="9" t="str">
        <f aca="false">IF($E70="","",IFERROR(INDEX(担当者マスタ!$B$2:$B$101,MATCH($E70,担当者マスタ!$A$2:$A$101,0)),"※マスタ未登録"))</f>
        <v/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f aca="false">SUM(G70:L70)</f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f aca="false">SUM(N70:S70)</f>
        <v>0</v>
      </c>
      <c r="U70" s="11" t="n">
        <v>50.4</v>
      </c>
      <c r="V70" s="11" t="n">
        <v>1265</v>
      </c>
      <c r="W70" s="11" t="n">
        <v>133.54</v>
      </c>
      <c r="X70" s="11" t="n">
        <v>0</v>
      </c>
      <c r="Y70" s="11" t="n">
        <v>125.835</v>
      </c>
      <c r="Z70" s="11" t="n">
        <v>0</v>
      </c>
      <c r="AA70" s="11" t="n">
        <f aca="false">SUM(U70:Z70)</f>
        <v>1574.775</v>
      </c>
      <c r="AB70" s="11" t="n">
        <v>9.288</v>
      </c>
      <c r="AC70" s="11" t="n">
        <v>78.2</v>
      </c>
      <c r="AD70" s="11" t="n">
        <v>26.024</v>
      </c>
      <c r="AE70" s="11" t="n">
        <v>0</v>
      </c>
      <c r="AF70" s="11" t="n">
        <v>24.798</v>
      </c>
      <c r="AG70" s="11" t="n">
        <v>0</v>
      </c>
      <c r="AH70" s="11" t="n">
        <f aca="false">SUM(AB70:AG70)</f>
        <v>138.31</v>
      </c>
    </row>
    <row r="71" customFormat="false" ht="15" hidden="false" customHeight="false" outlineLevel="2" collapsed="false">
      <c r="A71" s="8" t="s">
        <v>1091</v>
      </c>
      <c r="B71" s="9" t="s">
        <v>1092</v>
      </c>
      <c r="C71" s="8" t="s">
        <v>1045</v>
      </c>
      <c r="D71" s="12" t="s">
        <v>1046</v>
      </c>
      <c r="E71" s="16"/>
      <c r="F71" s="9" t="str">
        <f aca="false">IF($E71="","",IFERROR(INDEX(担当者マスタ!$B$2:$B$101,MATCH($E71,担当者マスタ!$A$2:$A$101,0)),"※マスタ未登録"))</f>
        <v/>
      </c>
      <c r="G71" s="11" t="n">
        <v>0</v>
      </c>
      <c r="H71" s="11" t="n">
        <v>0</v>
      </c>
      <c r="I71" s="11" t="n">
        <v>0</v>
      </c>
      <c r="J71" s="11" t="n">
        <v>103.36</v>
      </c>
      <c r="K71" s="11" t="n">
        <v>11.05</v>
      </c>
      <c r="L71" s="11" t="n">
        <v>0</v>
      </c>
      <c r="M71" s="11" t="n">
        <f aca="false">SUM(G71:L71)</f>
        <v>114.41</v>
      </c>
      <c r="N71" s="11" t="n">
        <v>0</v>
      </c>
      <c r="O71" s="11" t="n">
        <v>0</v>
      </c>
      <c r="P71" s="11" t="n">
        <v>0</v>
      </c>
      <c r="Q71" s="11" t="n">
        <v>30.36</v>
      </c>
      <c r="R71" s="11" t="n">
        <v>3.224</v>
      </c>
      <c r="S71" s="11" t="n">
        <v>0</v>
      </c>
      <c r="T71" s="11" t="n">
        <f aca="false">SUM(N71:S71)</f>
        <v>33.584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f aca="false">SUM(U71:Z71)</f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f aca="false">SUM(AB71:AG71)</f>
        <v>0</v>
      </c>
    </row>
    <row r="72" customFormat="false" ht="15" hidden="false" customHeight="false" outlineLevel="2" collapsed="false">
      <c r="A72" s="8" t="s">
        <v>1093</v>
      </c>
      <c r="B72" s="9" t="s">
        <v>1094</v>
      </c>
      <c r="C72" s="8" t="s">
        <v>1045</v>
      </c>
      <c r="D72" s="12" t="s">
        <v>1046</v>
      </c>
      <c r="E72" s="16"/>
      <c r="F72" s="9" t="str">
        <f aca="false">IF($E72="","",IFERROR(INDEX(担当者マスタ!$B$2:$B$101,MATCH($E72,担当者マスタ!$A$2:$A$101,0)),"※マスタ未登録"))</f>
        <v/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f aca="false">SUM(G72:L72)</f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f aca="false">SUM(N72:S72)</f>
        <v>0</v>
      </c>
      <c r="U72" s="11" t="n">
        <v>0</v>
      </c>
      <c r="V72" s="11" t="n">
        <v>29.4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f aca="false">SUM(U72:Z72)</f>
        <v>29.4</v>
      </c>
      <c r="AB72" s="11" t="n">
        <v>0</v>
      </c>
      <c r="AC72" s="11" t="n">
        <v>9.4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f aca="false">SUM(AB72:AG72)</f>
        <v>9.4</v>
      </c>
    </row>
    <row r="73" customFormat="false" ht="15" hidden="false" customHeight="false" outlineLevel="2" collapsed="false">
      <c r="A73" s="8" t="s">
        <v>1095</v>
      </c>
      <c r="B73" s="9" t="s">
        <v>1096</v>
      </c>
      <c r="C73" s="8" t="s">
        <v>1045</v>
      </c>
      <c r="D73" s="12" t="s">
        <v>1046</v>
      </c>
      <c r="E73" s="16"/>
      <c r="F73" s="9" t="str">
        <f aca="false">IF($E73="","",IFERROR(INDEX(担当者マスタ!$B$2:$B$101,MATCH($E73,担当者マスタ!$A$2:$A$101,0)),"※マスタ未登録"))</f>
        <v/>
      </c>
      <c r="G73" s="11" t="n">
        <v>45</v>
      </c>
      <c r="H73" s="11" t="n">
        <v>33.12</v>
      </c>
      <c r="I73" s="11" t="n">
        <v>8</v>
      </c>
      <c r="J73" s="11" t="n">
        <v>83.33</v>
      </c>
      <c r="K73" s="11" t="n">
        <v>34.68</v>
      </c>
      <c r="L73" s="11" t="n">
        <v>0</v>
      </c>
      <c r="M73" s="11" t="n">
        <f aca="false">SUM(G73:L73)</f>
        <v>204.13</v>
      </c>
      <c r="N73" s="11" t="n">
        <v>10.8</v>
      </c>
      <c r="O73" s="11" t="n">
        <v>9.855</v>
      </c>
      <c r="P73" s="11" t="n">
        <v>2.775</v>
      </c>
      <c r="Q73" s="11" t="n">
        <v>14.675</v>
      </c>
      <c r="R73" s="11" t="n">
        <v>8.88</v>
      </c>
      <c r="S73" s="11" t="n">
        <v>0</v>
      </c>
      <c r="T73" s="11" t="n">
        <f aca="false">SUM(N73:S73)</f>
        <v>46.985</v>
      </c>
      <c r="U73" s="11" t="n">
        <v>66.92</v>
      </c>
      <c r="V73" s="11" t="n">
        <v>53.88</v>
      </c>
      <c r="W73" s="11" t="n">
        <v>0</v>
      </c>
      <c r="X73" s="11" t="n">
        <v>45</v>
      </c>
      <c r="Y73" s="11" t="n">
        <v>0</v>
      </c>
      <c r="Z73" s="11" t="n">
        <v>351.979</v>
      </c>
      <c r="AA73" s="11" t="n">
        <f aca="false">SUM(U73:Z73)</f>
        <v>517.779</v>
      </c>
      <c r="AB73" s="11" t="n">
        <v>18.905</v>
      </c>
      <c r="AC73" s="11" t="n">
        <v>16.8</v>
      </c>
      <c r="AD73" s="11" t="n">
        <v>0</v>
      </c>
      <c r="AE73" s="11" t="n">
        <v>15.75</v>
      </c>
      <c r="AF73" s="11" t="n">
        <v>0</v>
      </c>
      <c r="AG73" s="11" t="n">
        <v>37.813</v>
      </c>
      <c r="AH73" s="11" t="n">
        <f aca="false">SUM(AB73:AG73)</f>
        <v>89.268</v>
      </c>
    </row>
    <row r="74" customFormat="false" ht="15" hidden="false" customHeight="false" outlineLevel="2" collapsed="false">
      <c r="A74" s="8" t="s">
        <v>1097</v>
      </c>
      <c r="B74" s="12" t="s">
        <v>1098</v>
      </c>
      <c r="C74" s="8" t="s">
        <v>1045</v>
      </c>
      <c r="D74" s="12" t="s">
        <v>1046</v>
      </c>
      <c r="E74" s="16"/>
      <c r="F74" s="9" t="str">
        <f aca="false">IF($E74="","",IFERROR(INDEX(担当者マスタ!$B$2:$B$101,MATCH($E74,担当者マスタ!$A$2:$A$101,0)),"※マスタ未登録"))</f>
        <v/>
      </c>
      <c r="G74" s="11" t="n">
        <v>66.265</v>
      </c>
      <c r="H74" s="11" t="n">
        <v>82.3</v>
      </c>
      <c r="I74" s="11" t="n">
        <v>86.974</v>
      </c>
      <c r="J74" s="11" t="n">
        <v>52.377</v>
      </c>
      <c r="K74" s="11" t="n">
        <v>51.907</v>
      </c>
      <c r="L74" s="11" t="n">
        <v>55.651</v>
      </c>
      <c r="M74" s="11" t="n">
        <f aca="false">SUM(G74:L74)</f>
        <v>395.474</v>
      </c>
      <c r="N74" s="11" t="n">
        <v>24.566</v>
      </c>
      <c r="O74" s="11" t="n">
        <v>28.557</v>
      </c>
      <c r="P74" s="11" t="n">
        <v>32.079</v>
      </c>
      <c r="Q74" s="11" t="n">
        <v>14.737</v>
      </c>
      <c r="R74" s="11" t="n">
        <v>19.366</v>
      </c>
      <c r="S74" s="11" t="n">
        <v>22.802</v>
      </c>
      <c r="T74" s="11" t="n">
        <f aca="false">SUM(N74:S74)</f>
        <v>142.107</v>
      </c>
      <c r="U74" s="11" t="n">
        <v>99.736</v>
      </c>
      <c r="V74" s="11" t="n">
        <v>82.126</v>
      </c>
      <c r="W74" s="11" t="n">
        <v>90.391</v>
      </c>
      <c r="X74" s="11" t="n">
        <v>106.312</v>
      </c>
      <c r="Y74" s="11" t="n">
        <v>153.849</v>
      </c>
      <c r="Z74" s="11" t="n">
        <v>92.471</v>
      </c>
      <c r="AA74" s="11" t="n">
        <f aca="false">SUM(U74:Z74)</f>
        <v>624.885</v>
      </c>
      <c r="AB74" s="11" t="n">
        <v>41.1</v>
      </c>
      <c r="AC74" s="11" t="n">
        <v>30.128</v>
      </c>
      <c r="AD74" s="11" t="n">
        <v>36.228</v>
      </c>
      <c r="AE74" s="11" t="n">
        <v>36.981</v>
      </c>
      <c r="AF74" s="11" t="n">
        <v>50.404</v>
      </c>
      <c r="AG74" s="11" t="n">
        <v>33.437</v>
      </c>
      <c r="AH74" s="11" t="n">
        <f aca="false">SUM(AB74:AG74)</f>
        <v>228.278</v>
      </c>
    </row>
    <row r="75" customFormat="false" ht="15" hidden="false" customHeight="false" outlineLevel="2" collapsed="false">
      <c r="A75" s="8" t="s">
        <v>1099</v>
      </c>
      <c r="B75" s="12" t="s">
        <v>1100</v>
      </c>
      <c r="C75" s="8" t="s">
        <v>1045</v>
      </c>
      <c r="D75" s="12" t="s">
        <v>1046</v>
      </c>
      <c r="E75" s="16"/>
      <c r="F75" s="9" t="str">
        <f aca="false">IF($E75="","",IFERROR(INDEX(担当者マスタ!$B$2:$B$101,MATCH($E75,担当者マスタ!$A$2:$A$101,0)),"※マスタ未登録"))</f>
        <v/>
      </c>
      <c r="G75" s="11" t="n">
        <v>84.549</v>
      </c>
      <c r="H75" s="11" t="n">
        <v>223.817</v>
      </c>
      <c r="I75" s="11" t="n">
        <v>55.833</v>
      </c>
      <c r="J75" s="11" t="n">
        <v>77.15</v>
      </c>
      <c r="K75" s="11" t="n">
        <v>68.363</v>
      </c>
      <c r="L75" s="11" t="n">
        <v>14.476</v>
      </c>
      <c r="M75" s="11" t="n">
        <f aca="false">SUM(G75:L75)</f>
        <v>524.188</v>
      </c>
      <c r="N75" s="11" t="n">
        <v>30.303</v>
      </c>
      <c r="O75" s="11" t="n">
        <v>55.778</v>
      </c>
      <c r="P75" s="11" t="n">
        <v>14.257</v>
      </c>
      <c r="Q75" s="11" t="n">
        <v>17.675</v>
      </c>
      <c r="R75" s="11" t="n">
        <v>21.213</v>
      </c>
      <c r="S75" s="11" t="n">
        <v>2.951</v>
      </c>
      <c r="T75" s="11" t="n">
        <f aca="false">SUM(N75:S75)</f>
        <v>142.177</v>
      </c>
      <c r="U75" s="11" t="n">
        <v>175.607</v>
      </c>
      <c r="V75" s="11" t="n">
        <v>141.631</v>
      </c>
      <c r="W75" s="11" t="n">
        <v>243.183</v>
      </c>
      <c r="X75" s="11" t="n">
        <v>54.935</v>
      </c>
      <c r="Y75" s="11" t="n">
        <v>124.707</v>
      </c>
      <c r="Z75" s="11" t="n">
        <v>231.449</v>
      </c>
      <c r="AA75" s="11" t="n">
        <f aca="false">SUM(U75:Z75)</f>
        <v>971.512</v>
      </c>
      <c r="AB75" s="11" t="n">
        <v>51.218</v>
      </c>
      <c r="AC75" s="11" t="n">
        <v>36.896</v>
      </c>
      <c r="AD75" s="11" t="n">
        <v>62.896</v>
      </c>
      <c r="AE75" s="11" t="n">
        <v>12.435</v>
      </c>
      <c r="AF75" s="11" t="n">
        <v>28.118</v>
      </c>
      <c r="AG75" s="11" t="n">
        <v>54.426</v>
      </c>
      <c r="AH75" s="11" t="n">
        <f aca="false">SUM(AB75:AG75)</f>
        <v>245.989</v>
      </c>
    </row>
    <row r="76" customFormat="false" ht="15" hidden="false" customHeight="false" outlineLevel="2" collapsed="false">
      <c r="A76" s="8" t="s">
        <v>1101</v>
      </c>
      <c r="B76" s="12" t="s">
        <v>1102</v>
      </c>
      <c r="C76" s="8" t="s">
        <v>1045</v>
      </c>
      <c r="D76" s="12" t="s">
        <v>1046</v>
      </c>
      <c r="E76" s="16"/>
      <c r="F76" s="9" t="str">
        <f aca="false">IF($E76="","",IFERROR(INDEX(担当者マスタ!$B$2:$B$101,MATCH($E76,担当者マスタ!$A$2:$A$101,0)),"※マスタ未登録"))</f>
        <v/>
      </c>
      <c r="G76" s="11" t="n">
        <v>76.4</v>
      </c>
      <c r="H76" s="11" t="n">
        <v>0</v>
      </c>
      <c r="I76" s="11" t="n">
        <v>311.04</v>
      </c>
      <c r="J76" s="11" t="n">
        <v>0</v>
      </c>
      <c r="K76" s="11" t="n">
        <v>0</v>
      </c>
      <c r="L76" s="11" t="n">
        <v>311.04</v>
      </c>
      <c r="M76" s="11" t="n">
        <f aca="false">SUM(G76:L76)</f>
        <v>698.48</v>
      </c>
      <c r="N76" s="11" t="n">
        <v>10.4</v>
      </c>
      <c r="O76" s="11" t="n">
        <v>0</v>
      </c>
      <c r="P76" s="11" t="n">
        <v>55.08</v>
      </c>
      <c r="Q76" s="11" t="n">
        <v>0</v>
      </c>
      <c r="R76" s="11" t="n">
        <v>0</v>
      </c>
      <c r="S76" s="11" t="n">
        <v>55.08</v>
      </c>
      <c r="T76" s="11" t="n">
        <f aca="false">SUM(N76:S76)</f>
        <v>120.56</v>
      </c>
      <c r="U76" s="11" t="n">
        <v>24.88</v>
      </c>
      <c r="V76" s="11" t="n">
        <v>34.7</v>
      </c>
      <c r="W76" s="11" t="n">
        <v>32.5</v>
      </c>
      <c r="X76" s="11" t="n">
        <v>34.7</v>
      </c>
      <c r="Y76" s="11" t="n">
        <v>686.84</v>
      </c>
      <c r="Z76" s="11" t="n">
        <v>0</v>
      </c>
      <c r="AA76" s="11" t="n">
        <f aca="false">SUM(U76:Z76)</f>
        <v>813.62</v>
      </c>
      <c r="AB76" s="11" t="n">
        <v>3.483</v>
      </c>
      <c r="AC76" s="11" t="n">
        <v>5.7</v>
      </c>
      <c r="AD76" s="11" t="n">
        <v>5.3</v>
      </c>
      <c r="AE76" s="11" t="n">
        <v>5.7</v>
      </c>
      <c r="AF76" s="11" t="n">
        <v>115.377</v>
      </c>
      <c r="AG76" s="11" t="n">
        <v>0</v>
      </c>
      <c r="AH76" s="11" t="n">
        <f aca="false">SUM(AB76:AG76)</f>
        <v>135.56</v>
      </c>
    </row>
    <row r="77" customFormat="false" ht="15" hidden="false" customHeight="false" outlineLevel="2" collapsed="false">
      <c r="A77" s="8" t="s">
        <v>1103</v>
      </c>
      <c r="B77" s="9" t="s">
        <v>1104</v>
      </c>
      <c r="C77" s="8" t="s">
        <v>1045</v>
      </c>
      <c r="D77" s="12" t="s">
        <v>1046</v>
      </c>
      <c r="E77" s="16"/>
      <c r="F77" s="9" t="str">
        <f aca="false">IF($E77="","",IFERROR(INDEX(担当者マスタ!$B$2:$B$101,MATCH($E77,担当者マスタ!$A$2:$A$101,0)),"※マスタ未登録"))</f>
        <v/>
      </c>
      <c r="G77" s="11" t="n">
        <v>0</v>
      </c>
      <c r="H77" s="11" t="n">
        <v>388.2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f aca="false">SUM(G77:L77)</f>
        <v>388.2</v>
      </c>
      <c r="N77" s="11" t="n">
        <v>0</v>
      </c>
      <c r="O77" s="11" t="n">
        <v>144.6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f aca="false">SUM(N77:S77)</f>
        <v>144.6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f aca="false">SUM(U77:Z77)</f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f aca="false">SUM(AB77:AG77)</f>
        <v>0</v>
      </c>
    </row>
    <row r="78" customFormat="false" ht="15" hidden="false" customHeight="false" outlineLevel="2" collapsed="false">
      <c r="A78" s="8" t="s">
        <v>1105</v>
      </c>
      <c r="B78" s="12" t="s">
        <v>1106</v>
      </c>
      <c r="C78" s="8" t="s">
        <v>1045</v>
      </c>
      <c r="D78" s="12" t="s">
        <v>1046</v>
      </c>
      <c r="E78" s="16"/>
      <c r="F78" s="9" t="str">
        <f aca="false">IF($E78="","",IFERROR(INDEX(担当者マスタ!$B$2:$B$101,MATCH($E78,担当者マスタ!$A$2:$A$101,0)),"※マスタ未登録"))</f>
        <v/>
      </c>
      <c r="G78" s="11" t="n">
        <v>0</v>
      </c>
      <c r="H78" s="11" t="n">
        <v>17</v>
      </c>
      <c r="I78" s="11" t="n">
        <v>108.5</v>
      </c>
      <c r="J78" s="11" t="n">
        <v>0</v>
      </c>
      <c r="K78" s="11" t="n">
        <v>0</v>
      </c>
      <c r="L78" s="11" t="n">
        <v>0</v>
      </c>
      <c r="M78" s="11" t="n">
        <f aca="false">SUM(G78:L78)</f>
        <v>125.5</v>
      </c>
      <c r="N78" s="11" t="n">
        <v>0</v>
      </c>
      <c r="O78" s="11" t="n">
        <v>17</v>
      </c>
      <c r="P78" s="11" t="n">
        <v>18.5</v>
      </c>
      <c r="Q78" s="11" t="n">
        <v>0</v>
      </c>
      <c r="R78" s="11" t="n">
        <v>0</v>
      </c>
      <c r="S78" s="11" t="n">
        <v>0</v>
      </c>
      <c r="T78" s="11" t="n">
        <f aca="false">SUM(N78:S78)</f>
        <v>35.5</v>
      </c>
      <c r="U78" s="11" t="n">
        <v>0</v>
      </c>
      <c r="V78" s="11" t="n">
        <v>29</v>
      </c>
      <c r="W78" s="11" t="n">
        <v>103.6</v>
      </c>
      <c r="X78" s="11" t="n">
        <v>0</v>
      </c>
      <c r="Y78" s="11" t="n">
        <v>0</v>
      </c>
      <c r="Z78" s="11" t="n">
        <v>0</v>
      </c>
      <c r="AA78" s="11" t="n">
        <f aca="false">SUM(U78:Z78)</f>
        <v>132.6</v>
      </c>
      <c r="AB78" s="11" t="n">
        <v>0</v>
      </c>
      <c r="AC78" s="11" t="n">
        <v>29</v>
      </c>
      <c r="AD78" s="11" t="n">
        <v>34.725</v>
      </c>
      <c r="AE78" s="11" t="n">
        <v>0</v>
      </c>
      <c r="AF78" s="11" t="n">
        <v>0</v>
      </c>
      <c r="AG78" s="11" t="n">
        <v>0</v>
      </c>
      <c r="AH78" s="11" t="n">
        <f aca="false">SUM(AB78:AG78)</f>
        <v>63.725</v>
      </c>
    </row>
    <row r="79" customFormat="false" ht="15" hidden="false" customHeight="false" outlineLevel="2" collapsed="false">
      <c r="A79" s="8" t="s">
        <v>1107</v>
      </c>
      <c r="B79" s="12" t="s">
        <v>1108</v>
      </c>
      <c r="C79" s="8" t="s">
        <v>1045</v>
      </c>
      <c r="D79" s="12" t="s">
        <v>1046</v>
      </c>
      <c r="E79" s="16"/>
      <c r="F79" s="9" t="str">
        <f aca="false">IF($E79="","",IFERROR(INDEX(担当者マスタ!$B$2:$B$101,MATCH($E79,担当者マスタ!$A$2:$A$101,0)),"※マスタ未登録"))</f>
        <v/>
      </c>
      <c r="G79" s="11" t="n">
        <v>12.376</v>
      </c>
      <c r="H79" s="11" t="n">
        <v>1.2</v>
      </c>
      <c r="I79" s="11" t="n">
        <v>4.876</v>
      </c>
      <c r="J79" s="11" t="n">
        <v>5.276</v>
      </c>
      <c r="K79" s="11" t="n">
        <v>0</v>
      </c>
      <c r="L79" s="11" t="n">
        <v>13.176</v>
      </c>
      <c r="M79" s="11" t="n">
        <f aca="false">SUM(G79:L79)</f>
        <v>36.904</v>
      </c>
      <c r="N79" s="11" t="n">
        <v>3.673</v>
      </c>
      <c r="O79" s="11" t="n">
        <v>0.36</v>
      </c>
      <c r="P79" s="11" t="n">
        <v>1.173</v>
      </c>
      <c r="Q79" s="11" t="n">
        <v>1.293</v>
      </c>
      <c r="R79" s="11" t="n">
        <v>0</v>
      </c>
      <c r="S79" s="11" t="n">
        <v>3.913</v>
      </c>
      <c r="T79" s="11" t="n">
        <f aca="false">SUM(N79:S79)</f>
        <v>10.412</v>
      </c>
      <c r="U79" s="11" t="n">
        <v>3.696</v>
      </c>
      <c r="V79" s="11" t="n">
        <v>10.02</v>
      </c>
      <c r="W79" s="11" t="n">
        <v>5.376</v>
      </c>
      <c r="X79" s="11" t="n">
        <v>1.26</v>
      </c>
      <c r="Y79" s="11" t="n">
        <v>13.296</v>
      </c>
      <c r="Z79" s="11" t="n">
        <v>2.1</v>
      </c>
      <c r="AA79" s="11" t="n">
        <f aca="false">SUM(U79:Z79)</f>
        <v>35.748</v>
      </c>
      <c r="AB79" s="11" t="n">
        <v>0.924</v>
      </c>
      <c r="AC79" s="11" t="n">
        <v>3.25</v>
      </c>
      <c r="AD79" s="11" t="n">
        <v>1.424</v>
      </c>
      <c r="AE79" s="11" t="n">
        <v>0.375</v>
      </c>
      <c r="AF79" s="11" t="n">
        <v>4.049</v>
      </c>
      <c r="AG79" s="11" t="n">
        <v>0.625</v>
      </c>
      <c r="AH79" s="11" t="n">
        <f aca="false">SUM(AB79:AG79)</f>
        <v>10.647</v>
      </c>
    </row>
    <row r="80" customFormat="false" ht="15" hidden="false" customHeight="false" outlineLevel="2" collapsed="false">
      <c r="A80" s="8" t="s">
        <v>1109</v>
      </c>
      <c r="B80" s="12" t="s">
        <v>1110</v>
      </c>
      <c r="C80" s="8" t="s">
        <v>1045</v>
      </c>
      <c r="D80" s="12" t="s">
        <v>1046</v>
      </c>
      <c r="E80" s="16"/>
      <c r="F80" s="9" t="str">
        <f aca="false">IF($E80="","",IFERROR(INDEX(担当者マスタ!$B$2:$B$101,MATCH($E80,担当者マスタ!$A$2:$A$101,0)),"※マスタ未登録"))</f>
        <v/>
      </c>
      <c r="G80" s="11" t="n">
        <v>0</v>
      </c>
      <c r="H80" s="11" t="n">
        <v>0</v>
      </c>
      <c r="I80" s="11" t="n">
        <v>0</v>
      </c>
      <c r="J80" s="11" t="n">
        <v>11.04</v>
      </c>
      <c r="K80" s="11" t="n">
        <v>2.525</v>
      </c>
      <c r="L80" s="11" t="n">
        <v>0</v>
      </c>
      <c r="M80" s="11" t="n">
        <f aca="false">SUM(G80:L80)</f>
        <v>13.565</v>
      </c>
      <c r="N80" s="11" t="n">
        <v>0</v>
      </c>
      <c r="O80" s="11" t="n">
        <v>0</v>
      </c>
      <c r="P80" s="11" t="n">
        <v>0</v>
      </c>
      <c r="Q80" s="11" t="n">
        <v>2.24</v>
      </c>
      <c r="R80" s="11" t="n">
        <v>0.8</v>
      </c>
      <c r="S80" s="11" t="n">
        <v>0</v>
      </c>
      <c r="T80" s="11" t="n">
        <f aca="false">SUM(N80:S80)</f>
        <v>3.04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f aca="false">SUM(U80:Z80)</f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n">
        <f aca="false">SUM(AB80:AG80)</f>
        <v>0</v>
      </c>
    </row>
    <row r="81" customFormat="false" ht="15" hidden="false" customHeight="false" outlineLevel="2" collapsed="false">
      <c r="A81" s="8" t="s">
        <v>1111</v>
      </c>
      <c r="B81" s="12" t="s">
        <v>1112</v>
      </c>
      <c r="C81" s="8" t="s">
        <v>1045</v>
      </c>
      <c r="D81" s="12" t="s">
        <v>1046</v>
      </c>
      <c r="E81" s="16"/>
      <c r="F81" s="9" t="str">
        <f aca="false">IF($E81="","",IFERROR(INDEX(担当者マスタ!$B$2:$B$101,MATCH($E81,担当者マスタ!$A$2:$A$101,0)),"※マスタ未登録"))</f>
        <v/>
      </c>
      <c r="G81" s="11" t="n">
        <v>76.186</v>
      </c>
      <c r="H81" s="11" t="n">
        <v>8.45</v>
      </c>
      <c r="I81" s="11" t="n">
        <v>86.844</v>
      </c>
      <c r="J81" s="11" t="n">
        <v>20.4</v>
      </c>
      <c r="K81" s="11" t="n">
        <v>32.594</v>
      </c>
      <c r="L81" s="11" t="n">
        <v>22.7</v>
      </c>
      <c r="M81" s="11" t="n">
        <f aca="false">SUM(G81:L81)</f>
        <v>247.174</v>
      </c>
      <c r="N81" s="11" t="n">
        <v>21.532</v>
      </c>
      <c r="O81" s="11" t="n">
        <v>2.928</v>
      </c>
      <c r="P81" s="11" t="n">
        <v>30.245</v>
      </c>
      <c r="Q81" s="11" t="n">
        <v>3.64</v>
      </c>
      <c r="R81" s="11" t="n">
        <v>7.62</v>
      </c>
      <c r="S81" s="11" t="n">
        <v>13.484</v>
      </c>
      <c r="T81" s="11" t="n">
        <f aca="false">SUM(N81:S81)</f>
        <v>79.449</v>
      </c>
      <c r="U81" s="11" t="n">
        <v>0</v>
      </c>
      <c r="V81" s="11" t="n">
        <v>16.564</v>
      </c>
      <c r="W81" s="11" t="n">
        <v>10.615</v>
      </c>
      <c r="X81" s="11" t="n">
        <v>7</v>
      </c>
      <c r="Y81" s="11" t="n">
        <v>0</v>
      </c>
      <c r="Z81" s="11" t="n">
        <v>38.5</v>
      </c>
      <c r="AA81" s="11" t="n">
        <f aca="false">SUM(U81:Z81)</f>
        <v>72.679</v>
      </c>
      <c r="AB81" s="11" t="n">
        <v>0</v>
      </c>
      <c r="AC81" s="11" t="n">
        <v>3.755</v>
      </c>
      <c r="AD81" s="11" t="n">
        <v>4.471</v>
      </c>
      <c r="AE81" s="11" t="n">
        <v>1.44</v>
      </c>
      <c r="AF81" s="11" t="n">
        <v>0</v>
      </c>
      <c r="AG81" s="11" t="n">
        <v>8.4</v>
      </c>
      <c r="AH81" s="11" t="n">
        <f aca="false">SUM(AB81:AG81)</f>
        <v>18.066</v>
      </c>
    </row>
    <row r="82" customFormat="false" ht="15" hidden="false" customHeight="false" outlineLevel="2" collapsed="false">
      <c r="A82" s="8" t="s">
        <v>1113</v>
      </c>
      <c r="B82" s="12" t="s">
        <v>1114</v>
      </c>
      <c r="C82" s="8" t="s">
        <v>1045</v>
      </c>
      <c r="D82" s="12" t="s">
        <v>1046</v>
      </c>
      <c r="E82" s="16"/>
      <c r="F82" s="9" t="str">
        <f aca="false">IF($E82="","",IFERROR(INDEX(担当者マスタ!$B$2:$B$101,MATCH($E82,担当者マスタ!$A$2:$A$101,0)),"※マスタ未登録"))</f>
        <v/>
      </c>
      <c r="G82" s="11" t="n">
        <v>0</v>
      </c>
      <c r="H82" s="11" t="n">
        <v>0</v>
      </c>
      <c r="I82" s="11" t="n">
        <v>0</v>
      </c>
      <c r="J82" s="11" t="n">
        <v>35.07</v>
      </c>
      <c r="K82" s="11" t="n">
        <v>211.2</v>
      </c>
      <c r="L82" s="11" t="n">
        <v>0</v>
      </c>
      <c r="M82" s="11" t="n">
        <f aca="false">SUM(G82:L82)</f>
        <v>246.27</v>
      </c>
      <c r="N82" s="11" t="n">
        <v>0</v>
      </c>
      <c r="O82" s="11" t="n">
        <v>0</v>
      </c>
      <c r="P82" s="11" t="n">
        <v>0</v>
      </c>
      <c r="Q82" s="11" t="n">
        <v>3.78</v>
      </c>
      <c r="R82" s="11" t="n">
        <v>30</v>
      </c>
      <c r="S82" s="11" t="n">
        <v>0</v>
      </c>
      <c r="T82" s="11" t="n">
        <f aca="false">SUM(N82:S82)</f>
        <v>33.78</v>
      </c>
      <c r="U82" s="11" t="n">
        <v>66.927</v>
      </c>
      <c r="V82" s="11" t="n">
        <v>0</v>
      </c>
      <c r="W82" s="11" t="n">
        <v>59.328</v>
      </c>
      <c r="X82" s="11" t="n">
        <v>0</v>
      </c>
      <c r="Y82" s="11" t="n">
        <v>0</v>
      </c>
      <c r="Z82" s="11" t="n">
        <v>61.456</v>
      </c>
      <c r="AA82" s="11" t="n">
        <f aca="false">SUM(U82:Z82)</f>
        <v>187.711</v>
      </c>
      <c r="AB82" s="11" t="n">
        <v>0.896</v>
      </c>
      <c r="AC82" s="11" t="n">
        <v>0</v>
      </c>
      <c r="AD82" s="11" t="n">
        <v>6.456</v>
      </c>
      <c r="AE82" s="11" t="n">
        <v>0</v>
      </c>
      <c r="AF82" s="11" t="n">
        <v>0</v>
      </c>
      <c r="AG82" s="11" t="n">
        <v>12.842</v>
      </c>
      <c r="AH82" s="11" t="n">
        <f aca="false">SUM(AB82:AG82)</f>
        <v>20.194</v>
      </c>
    </row>
    <row r="83" customFormat="false" ht="15" hidden="false" customHeight="false" outlineLevel="2" collapsed="false">
      <c r="A83" s="8" t="s">
        <v>1115</v>
      </c>
      <c r="B83" s="12" t="s">
        <v>1116</v>
      </c>
      <c r="C83" s="8" t="s">
        <v>1045</v>
      </c>
      <c r="D83" s="12" t="s">
        <v>1046</v>
      </c>
      <c r="E83" s="16"/>
      <c r="F83" s="9" t="str">
        <f aca="false">IF($E83="","",IFERROR(INDEX(担当者マスタ!$B$2:$B$101,MATCH($E83,担当者マスタ!$A$2:$A$101,0)),"※マスタ未登録"))</f>
        <v/>
      </c>
      <c r="G83" s="11" t="n">
        <v>408.5</v>
      </c>
      <c r="H83" s="11" t="n">
        <v>539.04</v>
      </c>
      <c r="I83" s="11" t="n">
        <v>173.46</v>
      </c>
      <c r="J83" s="11" t="n">
        <v>0</v>
      </c>
      <c r="K83" s="11" t="n">
        <v>44.4</v>
      </c>
      <c r="L83" s="11" t="n">
        <v>0</v>
      </c>
      <c r="M83" s="11" t="n">
        <f aca="false">SUM(G83:L83)</f>
        <v>1165.4</v>
      </c>
      <c r="N83" s="11" t="n">
        <v>83</v>
      </c>
      <c r="O83" s="11" t="n">
        <v>137.072</v>
      </c>
      <c r="P83" s="11" t="n">
        <v>31.836</v>
      </c>
      <c r="Q83" s="11" t="n">
        <v>0</v>
      </c>
      <c r="R83" s="11" t="n">
        <v>11.94</v>
      </c>
      <c r="S83" s="11" t="n">
        <v>0</v>
      </c>
      <c r="T83" s="11" t="n">
        <f aca="false">SUM(N83:S83)</f>
        <v>263.848</v>
      </c>
      <c r="U83" s="11" t="n">
        <v>131.4</v>
      </c>
      <c r="V83" s="11" t="n">
        <v>0</v>
      </c>
      <c r="W83" s="11" t="n">
        <v>121.32</v>
      </c>
      <c r="X83" s="11" t="n">
        <v>0</v>
      </c>
      <c r="Y83" s="11" t="n">
        <v>0</v>
      </c>
      <c r="Z83" s="11" t="n">
        <v>0</v>
      </c>
      <c r="AA83" s="11" t="n">
        <f aca="false">SUM(U83:Z83)</f>
        <v>252.72</v>
      </c>
      <c r="AB83" s="11" t="n">
        <v>31.734</v>
      </c>
      <c r="AC83" s="11" t="n">
        <v>0</v>
      </c>
      <c r="AD83" s="11" t="n">
        <v>31.662</v>
      </c>
      <c r="AE83" s="11" t="n">
        <v>0</v>
      </c>
      <c r="AF83" s="11" t="n">
        <v>0</v>
      </c>
      <c r="AG83" s="11" t="n">
        <v>0</v>
      </c>
      <c r="AH83" s="11" t="n">
        <f aca="false">SUM(AB83:AG83)</f>
        <v>63.396</v>
      </c>
    </row>
    <row r="84" customFormat="false" ht="15" hidden="false" customHeight="false" outlineLevel="2" collapsed="false">
      <c r="A84" s="8" t="s">
        <v>1117</v>
      </c>
      <c r="B84" s="12" t="s">
        <v>1118</v>
      </c>
      <c r="C84" s="8" t="s">
        <v>1045</v>
      </c>
      <c r="D84" s="12" t="s">
        <v>1046</v>
      </c>
      <c r="E84" s="16"/>
      <c r="F84" s="9" t="str">
        <f aca="false">IF($E84="","",IFERROR(INDEX(担当者マスタ!$B$2:$B$101,MATCH($E84,担当者マスタ!$A$2:$A$101,0)),"※マスタ未登録"))</f>
        <v/>
      </c>
      <c r="G84" s="11" t="n">
        <v>0</v>
      </c>
      <c r="H84" s="11" t="n">
        <v>70.385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f aca="false">SUM(G84:L84)</f>
        <v>70.385</v>
      </c>
      <c r="N84" s="11" t="n">
        <v>0</v>
      </c>
      <c r="O84" s="11" t="n">
        <v>16.798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f aca="false">SUM(N84:S84)</f>
        <v>16.798</v>
      </c>
      <c r="U84" s="11" t="n">
        <v>32.5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f aca="false">SUM(U84:Z84)</f>
        <v>32.5</v>
      </c>
      <c r="AB84" s="11" t="n">
        <v>8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f aca="false">SUM(AB84:AG84)</f>
        <v>8</v>
      </c>
    </row>
    <row r="85" customFormat="false" ht="15" hidden="false" customHeight="false" outlineLevel="2" collapsed="false">
      <c r="A85" s="8" t="s">
        <v>1119</v>
      </c>
      <c r="B85" s="12" t="s">
        <v>1120</v>
      </c>
      <c r="C85" s="8" t="s">
        <v>1045</v>
      </c>
      <c r="D85" s="12" t="s">
        <v>1046</v>
      </c>
      <c r="E85" s="16"/>
      <c r="F85" s="9" t="str">
        <f aca="false">IF($E85="","",IFERROR(INDEX(担当者マスタ!$B$2:$B$101,MATCH($E85,担当者マスタ!$A$2:$A$101,0)),"※マスタ未登録"))</f>
        <v/>
      </c>
      <c r="G85" s="11" t="n">
        <v>0</v>
      </c>
      <c r="H85" s="11" t="n">
        <v>0</v>
      </c>
      <c r="I85" s="11" t="n">
        <v>10.5</v>
      </c>
      <c r="J85" s="11" t="n">
        <v>50.93</v>
      </c>
      <c r="K85" s="11" t="n">
        <v>8.225</v>
      </c>
      <c r="L85" s="11" t="n">
        <v>38.645</v>
      </c>
      <c r="M85" s="11" t="n">
        <f aca="false">SUM(G85:L85)</f>
        <v>108.3</v>
      </c>
      <c r="N85" s="11" t="n">
        <v>0</v>
      </c>
      <c r="O85" s="11" t="n">
        <v>0</v>
      </c>
      <c r="P85" s="11" t="n">
        <v>2.175</v>
      </c>
      <c r="Q85" s="11" t="n">
        <v>11.435</v>
      </c>
      <c r="R85" s="11" t="n">
        <v>1.225</v>
      </c>
      <c r="S85" s="11" t="n">
        <v>7.255</v>
      </c>
      <c r="T85" s="11" t="n">
        <f aca="false">SUM(N85:S85)</f>
        <v>22.09</v>
      </c>
      <c r="U85" s="11" t="n">
        <v>0</v>
      </c>
      <c r="V85" s="11" t="n">
        <v>10.8</v>
      </c>
      <c r="W85" s="11" t="n">
        <v>10.8</v>
      </c>
      <c r="X85" s="11" t="n">
        <v>87.697</v>
      </c>
      <c r="Y85" s="11" t="n">
        <v>38.945</v>
      </c>
      <c r="Z85" s="11" t="n">
        <v>12.1</v>
      </c>
      <c r="AA85" s="11" t="n">
        <f aca="false">SUM(U85:Z85)</f>
        <v>160.342</v>
      </c>
      <c r="AB85" s="11" t="n">
        <v>0</v>
      </c>
      <c r="AC85" s="11" t="n">
        <v>3.198</v>
      </c>
      <c r="AD85" s="11" t="n">
        <v>3.2</v>
      </c>
      <c r="AE85" s="11" t="n">
        <v>17.237</v>
      </c>
      <c r="AF85" s="11" t="n">
        <v>7.225</v>
      </c>
      <c r="AG85" s="11" t="n">
        <v>4.5</v>
      </c>
      <c r="AH85" s="11" t="n">
        <f aca="false">SUM(AB85:AG85)</f>
        <v>35.36</v>
      </c>
    </row>
    <row r="86" customFormat="false" ht="15" hidden="false" customHeight="false" outlineLevel="2" collapsed="false">
      <c r="A86" s="8" t="s">
        <v>1121</v>
      </c>
      <c r="B86" s="12" t="s">
        <v>1122</v>
      </c>
      <c r="C86" s="8" t="s">
        <v>1045</v>
      </c>
      <c r="D86" s="12" t="s">
        <v>1046</v>
      </c>
      <c r="E86" s="16"/>
      <c r="F86" s="9" t="str">
        <f aca="false">IF($E86="","",IFERROR(INDEX(担当者マスタ!$B$2:$B$101,MATCH($E86,担当者マスタ!$A$2:$A$101,0)),"※マスタ未登録"))</f>
        <v/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f aca="false">SUM(G86:L86)</f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f aca="false">SUM(N86:S86)</f>
        <v>0</v>
      </c>
      <c r="U86" s="11" t="n">
        <v>38.03</v>
      </c>
      <c r="V86" s="11" t="n">
        <v>149.2</v>
      </c>
      <c r="W86" s="11" t="n">
        <v>80.992</v>
      </c>
      <c r="X86" s="11" t="n">
        <v>0</v>
      </c>
      <c r="Y86" s="11" t="n">
        <v>15.4</v>
      </c>
      <c r="Z86" s="11" t="n">
        <v>143.26</v>
      </c>
      <c r="AA86" s="11" t="n">
        <f aca="false">SUM(U86:Z86)</f>
        <v>426.882</v>
      </c>
      <c r="AB86" s="11" t="n">
        <v>9.445</v>
      </c>
      <c r="AC86" s="11" t="n">
        <v>32.8</v>
      </c>
      <c r="AD86" s="11" t="n">
        <v>19.737</v>
      </c>
      <c r="AE86" s="11" t="n">
        <v>0</v>
      </c>
      <c r="AF86" s="11" t="n">
        <v>3.55</v>
      </c>
      <c r="AG86" s="11" t="n">
        <v>31.78</v>
      </c>
      <c r="AH86" s="11" t="n">
        <f aca="false">SUM(AB86:AG86)</f>
        <v>97.312</v>
      </c>
    </row>
    <row r="87" customFormat="false" ht="15" hidden="false" customHeight="false" outlineLevel="2" collapsed="false">
      <c r="A87" s="8" t="s">
        <v>1123</v>
      </c>
      <c r="B87" s="9" t="s">
        <v>1124</v>
      </c>
      <c r="C87" s="8" t="s">
        <v>1045</v>
      </c>
      <c r="D87" s="12" t="s">
        <v>1046</v>
      </c>
      <c r="E87" s="16"/>
      <c r="F87" s="9" t="str">
        <f aca="false">IF($E87="","",IFERROR(INDEX(担当者マスタ!$B$2:$B$101,MATCH($E87,担当者マスタ!$A$2:$A$101,0)),"※マスタ未登録"))</f>
        <v/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f aca="false">SUM(G87:L87)</f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f aca="false">SUM(N87:S87)</f>
        <v>0</v>
      </c>
      <c r="U87" s="11" t="n">
        <v>0</v>
      </c>
      <c r="V87" s="11" t="n">
        <v>24.85</v>
      </c>
      <c r="W87" s="11" t="n">
        <v>12.405</v>
      </c>
      <c r="X87" s="11" t="n">
        <v>0</v>
      </c>
      <c r="Y87" s="11" t="n">
        <v>0</v>
      </c>
      <c r="Z87" s="11" t="n">
        <v>4.825</v>
      </c>
      <c r="AA87" s="11" t="n">
        <f aca="false">SUM(U87:Z87)</f>
        <v>42.08</v>
      </c>
      <c r="AB87" s="11" t="n">
        <v>0</v>
      </c>
      <c r="AC87" s="11" t="n">
        <v>5.816</v>
      </c>
      <c r="AD87" s="11" t="n">
        <v>3.005</v>
      </c>
      <c r="AE87" s="11" t="n">
        <v>0</v>
      </c>
      <c r="AF87" s="11" t="n">
        <v>0</v>
      </c>
      <c r="AG87" s="11" t="n">
        <v>0.795</v>
      </c>
      <c r="AH87" s="11" t="n">
        <f aca="false">SUM(AB87:AG87)</f>
        <v>9.616</v>
      </c>
    </row>
    <row r="88" customFormat="false" ht="15" hidden="false" customHeight="false" outlineLevel="2" collapsed="false">
      <c r="A88" s="8" t="s">
        <v>1125</v>
      </c>
      <c r="B88" s="12" t="s">
        <v>1126</v>
      </c>
      <c r="C88" s="8" t="s">
        <v>1045</v>
      </c>
      <c r="D88" s="12" t="s">
        <v>1046</v>
      </c>
      <c r="E88" s="16"/>
      <c r="F88" s="9" t="str">
        <f aca="false">IF($E88="","",IFERROR(INDEX(担当者マスタ!$B$2:$B$101,MATCH($E88,担当者マスタ!$A$2:$A$101,0)),"※マスタ未登録"))</f>
        <v/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f aca="false">SUM(G88:L88)</f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f aca="false">SUM(N88:S88)</f>
        <v>0</v>
      </c>
      <c r="U88" s="11" t="n">
        <v>0</v>
      </c>
      <c r="V88" s="11" t="n">
        <v>0</v>
      </c>
      <c r="W88" s="11" t="n">
        <v>0</v>
      </c>
      <c r="X88" s="11" t="n">
        <v>21.94</v>
      </c>
      <c r="Y88" s="11" t="n">
        <v>0</v>
      </c>
      <c r="Z88" s="11" t="n">
        <v>0</v>
      </c>
      <c r="AA88" s="11" t="n">
        <f aca="false">SUM(U88:Z88)</f>
        <v>21.94</v>
      </c>
      <c r="AB88" s="11" t="n">
        <v>0</v>
      </c>
      <c r="AC88" s="11" t="n">
        <v>0</v>
      </c>
      <c r="AD88" s="11" t="n">
        <v>0</v>
      </c>
      <c r="AE88" s="11" t="n">
        <v>4.44</v>
      </c>
      <c r="AF88" s="11" t="n">
        <v>0</v>
      </c>
      <c r="AG88" s="11" t="n">
        <v>0</v>
      </c>
      <c r="AH88" s="11" t="n">
        <f aca="false">SUM(AB88:AG88)</f>
        <v>4.44</v>
      </c>
    </row>
    <row r="89" customFormat="false" ht="15" hidden="false" customHeight="false" outlineLevel="2" collapsed="false">
      <c r="A89" s="8" t="s">
        <v>1127</v>
      </c>
      <c r="B89" s="12" t="s">
        <v>1128</v>
      </c>
      <c r="C89" s="8" t="s">
        <v>1045</v>
      </c>
      <c r="D89" s="12" t="s">
        <v>1046</v>
      </c>
      <c r="E89" s="16"/>
      <c r="F89" s="9" t="str">
        <f aca="false">IF($E89="","",IFERROR(INDEX(担当者マスタ!$B$2:$B$101,MATCH($E89,担当者マスタ!$A$2:$A$101,0)),"※マスタ未登録"))</f>
        <v/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f aca="false">SUM(G89:L89)</f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f aca="false">SUM(N89:S89)</f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92.414</v>
      </c>
      <c r="Z89" s="11" t="n">
        <v>0</v>
      </c>
      <c r="AA89" s="11" t="n">
        <f aca="false">SUM(U89:Z89)</f>
        <v>92.414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16.072</v>
      </c>
      <c r="AG89" s="11" t="n">
        <v>0</v>
      </c>
      <c r="AH89" s="11" t="n">
        <f aca="false">SUM(AB89:AG89)</f>
        <v>16.072</v>
      </c>
    </row>
    <row r="90" customFormat="false" ht="15" hidden="false" customHeight="false" outlineLevel="2" collapsed="false">
      <c r="A90" s="8" t="s">
        <v>1129</v>
      </c>
      <c r="B90" s="9" t="s">
        <v>1130</v>
      </c>
      <c r="C90" s="8" t="s">
        <v>1045</v>
      </c>
      <c r="D90" s="12" t="s">
        <v>1046</v>
      </c>
      <c r="E90" s="16"/>
      <c r="F90" s="9" t="str">
        <f aca="false">IF($E90="","",IFERROR(INDEX(担当者マスタ!$B$2:$B$101,MATCH($E90,担当者マスタ!$A$2:$A$101,0)),"※マスタ未登録"))</f>
        <v/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f aca="false">SUM(G90:L90)</f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f aca="false">SUM(N90:S90)</f>
        <v>0</v>
      </c>
      <c r="U90" s="11" t="n">
        <v>0</v>
      </c>
      <c r="V90" s="11" t="n">
        <v>0</v>
      </c>
      <c r="W90" s="11" t="n">
        <v>0</v>
      </c>
      <c r="X90" s="11" t="n">
        <v>0</v>
      </c>
      <c r="Y90" s="11" t="n">
        <v>0</v>
      </c>
      <c r="Z90" s="11" t="n">
        <v>40.31</v>
      </c>
      <c r="AA90" s="11" t="n">
        <f aca="false">SUM(U90:Z90)</f>
        <v>40.31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9.6</v>
      </c>
      <c r="AH90" s="11" t="n">
        <f aca="false">SUM(AB90:AG90)</f>
        <v>9.6</v>
      </c>
    </row>
    <row r="91" customFormat="false" ht="15" hidden="false" customHeight="false" outlineLevel="1" collapsed="false">
      <c r="A91" s="19"/>
      <c r="B91" s="19"/>
      <c r="C91" s="17" t="s">
        <v>1944</v>
      </c>
      <c r="D91" s="19" t="s">
        <v>1046</v>
      </c>
      <c r="E91" s="19"/>
      <c r="F91" s="19"/>
      <c r="G91" s="18" t="n">
        <f aca="false">SUBTOTAL(9,G48:G90)</f>
        <v>16686.153</v>
      </c>
      <c r="H91" s="18" t="n">
        <f aca="false">SUBTOTAL(9,H48:H90)</f>
        <v>14070.31</v>
      </c>
      <c r="I91" s="18" t="n">
        <f aca="false">SUBTOTAL(9,I48:I90)</f>
        <v>9742.13</v>
      </c>
      <c r="J91" s="18" t="n">
        <f aca="false">SUBTOTAL(9,J48:J90)</f>
        <v>6255.551</v>
      </c>
      <c r="K91" s="18" t="n">
        <f aca="false">SUBTOTAL(9,K48:K90)</f>
        <v>6012.508</v>
      </c>
      <c r="L91" s="18" t="n">
        <f aca="false">SUBTOTAL(9,L48:L90)</f>
        <v>8167.325</v>
      </c>
      <c r="M91" s="18" t="n">
        <f aca="false">SUBTOTAL(9,M48:M90)</f>
        <v>60933.977</v>
      </c>
      <c r="N91" s="18" t="n">
        <f aca="false">SUBTOTAL(9,N48:N90)</f>
        <v>3741.4363</v>
      </c>
      <c r="O91" s="18" t="n">
        <f aca="false">SUBTOTAL(9,O48:O90)</f>
        <v>3748.559</v>
      </c>
      <c r="P91" s="18" t="n">
        <f aca="false">SUBTOTAL(9,P48:P90)</f>
        <v>2519.573</v>
      </c>
      <c r="Q91" s="18" t="n">
        <f aca="false">SUBTOTAL(9,Q48:Q90)</f>
        <v>1565.1658</v>
      </c>
      <c r="R91" s="18" t="n">
        <f aca="false">SUBTOTAL(9,R48:R90)</f>
        <v>1488.729</v>
      </c>
      <c r="S91" s="18" t="n">
        <f aca="false">SUBTOTAL(9,S48:S90)</f>
        <v>1803.341</v>
      </c>
      <c r="T91" s="18" t="n">
        <f aca="false">SUBTOTAL(9,T48:T90)</f>
        <v>14866.8041</v>
      </c>
      <c r="U91" s="18" t="n">
        <f aca="false">SUBTOTAL(9,U48:U90)</f>
        <v>12235.382</v>
      </c>
      <c r="V91" s="18" t="n">
        <f aca="false">SUBTOTAL(9,V48:V90)</f>
        <v>14160.159</v>
      </c>
      <c r="W91" s="18" t="n">
        <f aca="false">SUBTOTAL(9,W48:W90)</f>
        <v>10715.074</v>
      </c>
      <c r="X91" s="18" t="n">
        <f aca="false">SUBTOTAL(9,X48:X90)</f>
        <v>7533.935</v>
      </c>
      <c r="Y91" s="18" t="n">
        <f aca="false">SUBTOTAL(9,Y48:Y90)</f>
        <v>8483.219</v>
      </c>
      <c r="Z91" s="18" t="n">
        <f aca="false">SUBTOTAL(9,Z48:Z90)</f>
        <v>28059.473</v>
      </c>
      <c r="AA91" s="18" t="n">
        <f aca="false">SUBTOTAL(9,AA48:AA90)</f>
        <v>81187.242</v>
      </c>
      <c r="AB91" s="18" t="n">
        <f aca="false">SUBTOTAL(9,AB48:AB90)</f>
        <v>3023.1655</v>
      </c>
      <c r="AC91" s="18" t="n">
        <f aca="false">SUBTOTAL(9,AC48:AC90)</f>
        <v>3443.2288</v>
      </c>
      <c r="AD91" s="18" t="n">
        <f aca="false">SUBTOTAL(9,AD48:AD90)</f>
        <v>2588.398</v>
      </c>
      <c r="AE91" s="18" t="n">
        <f aca="false">SUBTOTAL(9,AE48:AE90)</f>
        <v>1934.5378</v>
      </c>
      <c r="AF91" s="18" t="n">
        <f aca="false">SUBTOTAL(9,AF48:AF90)</f>
        <v>1690.496</v>
      </c>
      <c r="AG91" s="18" t="n">
        <f aca="false">SUBTOTAL(9,AG48:AG90)</f>
        <v>7884.283</v>
      </c>
      <c r="AH91" s="18" t="n">
        <f aca="false">SUBTOTAL(9,AH48:AH90)</f>
        <v>20564.1091</v>
      </c>
    </row>
    <row r="92" customFormat="false" ht="15" hidden="false" customHeight="false" outlineLevel="2" collapsed="false">
      <c r="A92" s="8" t="s">
        <v>1131</v>
      </c>
      <c r="B92" s="12" t="s">
        <v>1132</v>
      </c>
      <c r="C92" s="8" t="s">
        <v>1133</v>
      </c>
      <c r="D92" s="12" t="s">
        <v>1134</v>
      </c>
      <c r="E92" s="16"/>
      <c r="F92" s="9" t="str">
        <f aca="false">IF($E92="","",IFERROR(INDEX(担当者マスタ!$B$2:$B$101,MATCH($E92,担当者マスタ!$A$2:$A$101,0)),"※マスタ未登録"))</f>
        <v/>
      </c>
      <c r="G92" s="11" t="n">
        <v>3124.129</v>
      </c>
      <c r="H92" s="11" t="n">
        <v>3606.358</v>
      </c>
      <c r="I92" s="11" t="n">
        <v>5825.969</v>
      </c>
      <c r="J92" s="11" t="n">
        <v>1823.068</v>
      </c>
      <c r="K92" s="11" t="n">
        <v>2436.318</v>
      </c>
      <c r="L92" s="11" t="n">
        <v>3350.792</v>
      </c>
      <c r="M92" s="11" t="n">
        <f aca="false">SUM(G92:L92)</f>
        <v>20166.634</v>
      </c>
      <c r="N92" s="11" t="n">
        <v>947.565</v>
      </c>
      <c r="O92" s="11" t="n">
        <v>1001.352</v>
      </c>
      <c r="P92" s="11" t="n">
        <v>1638.88</v>
      </c>
      <c r="Q92" s="11" t="n">
        <v>497.355</v>
      </c>
      <c r="R92" s="11" t="n">
        <v>660.783</v>
      </c>
      <c r="S92" s="11" t="n">
        <v>913.678</v>
      </c>
      <c r="T92" s="11" t="n">
        <f aca="false">SUM(N92:S92)</f>
        <v>5659.613</v>
      </c>
      <c r="U92" s="11" t="n">
        <v>5677.932</v>
      </c>
      <c r="V92" s="11" t="n">
        <v>4759.609</v>
      </c>
      <c r="W92" s="11" t="n">
        <v>6019.039</v>
      </c>
      <c r="X92" s="11" t="n">
        <v>2402.929</v>
      </c>
      <c r="Y92" s="11" t="n">
        <v>2878.958</v>
      </c>
      <c r="Z92" s="11" t="n">
        <v>4556.155</v>
      </c>
      <c r="AA92" s="11" t="n">
        <f aca="false">SUM(U92:Z92)</f>
        <v>26294.622</v>
      </c>
      <c r="AB92" s="11" t="n">
        <v>1436.882</v>
      </c>
      <c r="AC92" s="11" t="n">
        <v>1208.327</v>
      </c>
      <c r="AD92" s="11" t="n">
        <v>1744.081</v>
      </c>
      <c r="AE92" s="11" t="n">
        <v>701.612</v>
      </c>
      <c r="AF92" s="11" t="n">
        <v>802.988</v>
      </c>
      <c r="AG92" s="11" t="n">
        <v>1384.264</v>
      </c>
      <c r="AH92" s="11" t="n">
        <f aca="false">SUM(AB92:AG92)</f>
        <v>7278.154</v>
      </c>
    </row>
    <row r="93" customFormat="false" ht="15" hidden="false" customHeight="false" outlineLevel="2" collapsed="false">
      <c r="A93" s="8" t="s">
        <v>1135</v>
      </c>
      <c r="B93" s="9" t="s">
        <v>1136</v>
      </c>
      <c r="C93" s="8" t="s">
        <v>1133</v>
      </c>
      <c r="D93" s="12" t="s">
        <v>1134</v>
      </c>
      <c r="E93" s="16"/>
      <c r="F93" s="9" t="str">
        <f aca="false">IF($E93="","",IFERROR(INDEX(担当者マスタ!$B$2:$B$101,MATCH($E93,担当者マスタ!$A$2:$A$101,0)),"※マスタ未登録"))</f>
        <v/>
      </c>
      <c r="G93" s="11" t="n">
        <v>89.64</v>
      </c>
      <c r="H93" s="11" t="n">
        <v>0</v>
      </c>
      <c r="I93" s="11" t="n">
        <v>0</v>
      </c>
      <c r="J93" s="11" t="n">
        <v>89.64</v>
      </c>
      <c r="K93" s="11" t="n">
        <v>0</v>
      </c>
      <c r="L93" s="11" t="n">
        <v>89.64</v>
      </c>
      <c r="M93" s="11" t="n">
        <f aca="false">SUM(G93:L93)</f>
        <v>268.92</v>
      </c>
      <c r="N93" s="11" t="n">
        <v>25.68</v>
      </c>
      <c r="O93" s="11" t="n">
        <v>0</v>
      </c>
      <c r="P93" s="11" t="n">
        <v>0</v>
      </c>
      <c r="Q93" s="11" t="n">
        <v>25.68</v>
      </c>
      <c r="R93" s="11" t="n">
        <v>0</v>
      </c>
      <c r="S93" s="11" t="n">
        <v>25.68</v>
      </c>
      <c r="T93" s="11" t="n">
        <f aca="false">SUM(N93:S93)</f>
        <v>77.04</v>
      </c>
      <c r="U93" s="11" t="n">
        <v>89.64</v>
      </c>
      <c r="V93" s="11" t="n">
        <v>0</v>
      </c>
      <c r="W93" s="11" t="n">
        <v>89.64</v>
      </c>
      <c r="X93" s="11" t="n">
        <v>0</v>
      </c>
      <c r="Y93" s="11" t="n">
        <v>0</v>
      </c>
      <c r="Z93" s="11" t="n">
        <v>89.64</v>
      </c>
      <c r="AA93" s="11" t="n">
        <f aca="false">SUM(U93:Z93)</f>
        <v>268.92</v>
      </c>
      <c r="AB93" s="11" t="n">
        <v>25.68</v>
      </c>
      <c r="AC93" s="11" t="n">
        <v>0</v>
      </c>
      <c r="AD93" s="11" t="n">
        <v>25.68</v>
      </c>
      <c r="AE93" s="11" t="n">
        <v>0</v>
      </c>
      <c r="AF93" s="11" t="n">
        <v>0</v>
      </c>
      <c r="AG93" s="11" t="n">
        <v>25.68</v>
      </c>
      <c r="AH93" s="11" t="n">
        <f aca="false">SUM(AB93:AG93)</f>
        <v>77.04</v>
      </c>
    </row>
    <row r="94" customFormat="false" ht="15" hidden="false" customHeight="false" outlineLevel="2" collapsed="false">
      <c r="A94" s="8" t="s">
        <v>1137</v>
      </c>
      <c r="B94" s="12" t="s">
        <v>1138</v>
      </c>
      <c r="C94" s="8" t="s">
        <v>1133</v>
      </c>
      <c r="D94" s="12" t="s">
        <v>1134</v>
      </c>
      <c r="E94" s="16"/>
      <c r="F94" s="9" t="str">
        <f aca="false">IF($E94="","",IFERROR(INDEX(担当者マスタ!$B$2:$B$101,MATCH($E94,担当者マスタ!$A$2:$A$101,0)),"※マスタ未登録"))</f>
        <v/>
      </c>
      <c r="G94" s="11" t="n">
        <v>0</v>
      </c>
      <c r="H94" s="11" t="n">
        <v>75.912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f aca="false">SUM(G94:L94)</f>
        <v>75.912</v>
      </c>
      <c r="N94" s="11" t="n">
        <v>0</v>
      </c>
      <c r="O94" s="11" t="n">
        <v>38.556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f aca="false">SUM(N94:S94)</f>
        <v>38.556</v>
      </c>
      <c r="U94" s="11" t="n">
        <v>0</v>
      </c>
      <c r="V94" s="11" t="n">
        <v>55.324</v>
      </c>
      <c r="W94" s="11" t="n">
        <v>25.608</v>
      </c>
      <c r="X94" s="11" t="n">
        <v>0</v>
      </c>
      <c r="Y94" s="11" t="n">
        <v>0</v>
      </c>
      <c r="Z94" s="11" t="n">
        <v>25.2</v>
      </c>
      <c r="AA94" s="11" t="n">
        <f aca="false">SUM(U94:Z94)</f>
        <v>106.132</v>
      </c>
      <c r="AB94" s="11" t="n">
        <v>0</v>
      </c>
      <c r="AC94" s="11" t="n">
        <v>28.364</v>
      </c>
      <c r="AD94" s="11" t="n">
        <v>10.428</v>
      </c>
      <c r="AE94" s="11" t="n">
        <v>0</v>
      </c>
      <c r="AF94" s="11" t="n">
        <v>0</v>
      </c>
      <c r="AG94" s="11" t="n">
        <v>3.048</v>
      </c>
      <c r="AH94" s="11" t="n">
        <f aca="false">SUM(AB94:AG94)</f>
        <v>41.84</v>
      </c>
    </row>
    <row r="95" customFormat="false" ht="15" hidden="false" customHeight="false" outlineLevel="2" collapsed="false">
      <c r="A95" s="8" t="s">
        <v>1139</v>
      </c>
      <c r="B95" s="12" t="s">
        <v>1140</v>
      </c>
      <c r="C95" s="8" t="s">
        <v>1133</v>
      </c>
      <c r="D95" s="12" t="s">
        <v>1134</v>
      </c>
      <c r="E95" s="16"/>
      <c r="F95" s="9" t="str">
        <f aca="false">IF($E95="","",IFERROR(INDEX(担当者マスタ!$B$2:$B$101,MATCH($E95,担当者マスタ!$A$2:$A$101,0)),"※マスタ未登録"))</f>
        <v/>
      </c>
      <c r="G95" s="11" t="n">
        <v>1093.133</v>
      </c>
      <c r="H95" s="11" t="n">
        <v>1172.899</v>
      </c>
      <c r="I95" s="11" t="n">
        <v>1670.547</v>
      </c>
      <c r="J95" s="11" t="n">
        <v>428.508</v>
      </c>
      <c r="K95" s="11" t="n">
        <v>761.312</v>
      </c>
      <c r="L95" s="11" t="n">
        <v>1112.727</v>
      </c>
      <c r="M95" s="11" t="n">
        <f aca="false">SUM(G95:L95)</f>
        <v>6239.126</v>
      </c>
      <c r="N95" s="11" t="n">
        <v>440.329</v>
      </c>
      <c r="O95" s="11" t="n">
        <v>464.547</v>
      </c>
      <c r="P95" s="11" t="n">
        <v>621.088</v>
      </c>
      <c r="Q95" s="11" t="n">
        <v>167.579</v>
      </c>
      <c r="R95" s="11" t="n">
        <v>285.888</v>
      </c>
      <c r="S95" s="11" t="n">
        <v>421.962</v>
      </c>
      <c r="T95" s="11" t="n">
        <f aca="false">SUM(N95:S95)</f>
        <v>2401.393</v>
      </c>
      <c r="U95" s="11" t="n">
        <v>1223.682</v>
      </c>
      <c r="V95" s="11" t="n">
        <v>1078.767</v>
      </c>
      <c r="W95" s="11" t="n">
        <v>1660.631</v>
      </c>
      <c r="X95" s="11" t="n">
        <v>631.196</v>
      </c>
      <c r="Y95" s="11" t="n">
        <v>915.027</v>
      </c>
      <c r="Z95" s="11" t="n">
        <v>1129.685</v>
      </c>
      <c r="AA95" s="11" t="n">
        <f aca="false">SUM(U95:Z95)</f>
        <v>6638.988</v>
      </c>
      <c r="AB95" s="11" t="n">
        <v>487.443</v>
      </c>
      <c r="AC95" s="11" t="n">
        <v>427.401</v>
      </c>
      <c r="AD95" s="11" t="n">
        <v>673.501</v>
      </c>
      <c r="AE95" s="11" t="n">
        <v>252.432</v>
      </c>
      <c r="AF95" s="11" t="n">
        <v>363.247</v>
      </c>
      <c r="AG95" s="11" t="n">
        <v>459.921</v>
      </c>
      <c r="AH95" s="11" t="n">
        <f aca="false">SUM(AB95:AG95)</f>
        <v>2663.945</v>
      </c>
    </row>
    <row r="96" customFormat="false" ht="15" hidden="false" customHeight="false" outlineLevel="2" collapsed="false">
      <c r="A96" s="8" t="s">
        <v>1141</v>
      </c>
      <c r="B96" s="12" t="s">
        <v>1142</v>
      </c>
      <c r="C96" s="8" t="s">
        <v>1133</v>
      </c>
      <c r="D96" s="12" t="s">
        <v>1134</v>
      </c>
      <c r="E96" s="16"/>
      <c r="F96" s="9" t="str">
        <f aca="false">IF($E96="","",IFERROR(INDEX(担当者マスタ!$B$2:$B$101,MATCH($E96,担当者マスタ!$A$2:$A$101,0)),"※マスタ未登録"))</f>
        <v/>
      </c>
      <c r="G96" s="11" t="n">
        <v>8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f aca="false">SUM(G96:L96)</f>
        <v>8</v>
      </c>
      <c r="N96" s="11" t="n">
        <v>2.7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f aca="false">SUM(N96:S96)</f>
        <v>2.7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4.8</v>
      </c>
      <c r="AA96" s="11" t="n">
        <f aca="false">SUM(U96:Z96)</f>
        <v>4.8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1.284</v>
      </c>
      <c r="AH96" s="11" t="n">
        <f aca="false">SUM(AB96:AG96)</f>
        <v>1.284</v>
      </c>
    </row>
    <row r="97" customFormat="false" ht="15" hidden="false" customHeight="false" outlineLevel="2" collapsed="false">
      <c r="A97" s="8" t="s">
        <v>1143</v>
      </c>
      <c r="B97" s="9" t="s">
        <v>1144</v>
      </c>
      <c r="C97" s="8" t="s">
        <v>1133</v>
      </c>
      <c r="D97" s="12" t="s">
        <v>1134</v>
      </c>
      <c r="E97" s="16"/>
      <c r="F97" s="9" t="str">
        <f aca="false">IF($E97="","",IFERROR(INDEX(担当者マスタ!$B$2:$B$101,MATCH($E97,担当者マスタ!$A$2:$A$101,0)),"※マスタ未登録"))</f>
        <v/>
      </c>
      <c r="G97" s="11" t="n">
        <v>965.939</v>
      </c>
      <c r="H97" s="11" t="n">
        <v>1319.638</v>
      </c>
      <c r="I97" s="11" t="n">
        <v>1506.23</v>
      </c>
      <c r="J97" s="11" t="n">
        <v>0</v>
      </c>
      <c r="K97" s="11" t="n">
        <v>12.6</v>
      </c>
      <c r="L97" s="11" t="n">
        <v>693.42</v>
      </c>
      <c r="M97" s="11" t="n">
        <f aca="false">SUM(G97:L97)</f>
        <v>4497.827</v>
      </c>
      <c r="N97" s="11" t="n">
        <v>161.176</v>
      </c>
      <c r="O97" s="11" t="n">
        <v>191.838</v>
      </c>
      <c r="P97" s="11" t="n">
        <v>209.021</v>
      </c>
      <c r="Q97" s="11" t="n">
        <v>0</v>
      </c>
      <c r="R97" s="11" t="n">
        <v>3.4</v>
      </c>
      <c r="S97" s="11" t="n">
        <v>45.117</v>
      </c>
      <c r="T97" s="11" t="n">
        <f aca="false">SUM(N97:S97)</f>
        <v>610.552</v>
      </c>
      <c r="U97" s="11" t="n">
        <v>459.72</v>
      </c>
      <c r="V97" s="11" t="n">
        <v>1130.4</v>
      </c>
      <c r="W97" s="11" t="n">
        <v>1090.204</v>
      </c>
      <c r="X97" s="11" t="n">
        <v>342.639</v>
      </c>
      <c r="Y97" s="11" t="n">
        <v>448.642</v>
      </c>
      <c r="Z97" s="11" t="n">
        <v>173.016</v>
      </c>
      <c r="AA97" s="11" t="n">
        <f aca="false">SUM(U97:Z97)</f>
        <v>3644.621</v>
      </c>
      <c r="AB97" s="11" t="n">
        <v>80.296</v>
      </c>
      <c r="AC97" s="11" t="n">
        <v>195.64</v>
      </c>
      <c r="AD97" s="11" t="n">
        <v>178.164</v>
      </c>
      <c r="AE97" s="11" t="n">
        <v>39.679</v>
      </c>
      <c r="AF97" s="11" t="n">
        <v>37.482</v>
      </c>
      <c r="AG97" s="11" t="n">
        <v>36.788</v>
      </c>
      <c r="AH97" s="11" t="n">
        <f aca="false">SUM(AB97:AG97)</f>
        <v>568.049</v>
      </c>
    </row>
    <row r="98" customFormat="false" ht="15" hidden="false" customHeight="false" outlineLevel="2" collapsed="false">
      <c r="A98" s="8" t="s">
        <v>1145</v>
      </c>
      <c r="B98" s="12" t="s">
        <v>1146</v>
      </c>
      <c r="C98" s="8" t="s">
        <v>1133</v>
      </c>
      <c r="D98" s="12" t="s">
        <v>1134</v>
      </c>
      <c r="E98" s="16"/>
      <c r="F98" s="9" t="str">
        <f aca="false">IF($E98="","",IFERROR(INDEX(担当者マスタ!$B$2:$B$101,MATCH($E98,担当者マスタ!$A$2:$A$101,0)),"※マスタ未登録"))</f>
        <v/>
      </c>
      <c r="G98" s="11" t="n">
        <v>36.411</v>
      </c>
      <c r="H98" s="11" t="n">
        <v>32.474</v>
      </c>
      <c r="I98" s="11" t="n">
        <v>37.562</v>
      </c>
      <c r="J98" s="11" t="n">
        <v>7.103</v>
      </c>
      <c r="K98" s="11" t="n">
        <v>32.364</v>
      </c>
      <c r="L98" s="11" t="n">
        <v>12.273</v>
      </c>
      <c r="M98" s="11" t="n">
        <f aca="false">SUM(G98:L98)</f>
        <v>158.187</v>
      </c>
      <c r="N98" s="11" t="n">
        <v>11.109</v>
      </c>
      <c r="O98" s="11" t="n">
        <v>9.366</v>
      </c>
      <c r="P98" s="11" t="n">
        <v>9.844</v>
      </c>
      <c r="Q98" s="11" t="n">
        <v>2.193</v>
      </c>
      <c r="R98" s="11" t="n">
        <v>8.698</v>
      </c>
      <c r="S98" s="11" t="n">
        <v>3.293</v>
      </c>
      <c r="T98" s="11" t="n">
        <f aca="false">SUM(N98:S98)</f>
        <v>44.503</v>
      </c>
      <c r="U98" s="11" t="n">
        <v>57.852</v>
      </c>
      <c r="V98" s="11" t="n">
        <v>13.077</v>
      </c>
      <c r="W98" s="11" t="n">
        <v>16.158</v>
      </c>
      <c r="X98" s="11" t="n">
        <v>26.064</v>
      </c>
      <c r="Y98" s="11" t="n">
        <v>4.9</v>
      </c>
      <c r="Z98" s="11" t="n">
        <v>38.739</v>
      </c>
      <c r="AA98" s="11" t="n">
        <f aca="false">SUM(U98:Z98)</f>
        <v>156.79</v>
      </c>
      <c r="AB98" s="11" t="n">
        <v>15.328</v>
      </c>
      <c r="AC98" s="11" t="n">
        <v>3.688</v>
      </c>
      <c r="AD98" s="11" t="n">
        <v>4.91</v>
      </c>
      <c r="AE98" s="11" t="n">
        <v>6.702</v>
      </c>
      <c r="AF98" s="11" t="n">
        <v>1.8</v>
      </c>
      <c r="AG98" s="11" t="n">
        <v>10.699</v>
      </c>
      <c r="AH98" s="11" t="n">
        <f aca="false">SUM(AB98:AG98)</f>
        <v>43.127</v>
      </c>
    </row>
    <row r="99" customFormat="false" ht="15" hidden="false" customHeight="false" outlineLevel="2" collapsed="false">
      <c r="A99" s="8" t="s">
        <v>1147</v>
      </c>
      <c r="B99" s="12" t="s">
        <v>1148</v>
      </c>
      <c r="C99" s="8" t="s">
        <v>1133</v>
      </c>
      <c r="D99" s="12" t="s">
        <v>1134</v>
      </c>
      <c r="E99" s="16"/>
      <c r="F99" s="9" t="str">
        <f aca="false">IF($E99="","",IFERROR(INDEX(担当者マスタ!$B$2:$B$101,MATCH($E99,担当者マスタ!$A$2:$A$101,0)),"※マスタ未登録"))</f>
        <v/>
      </c>
      <c r="G99" s="11" t="n">
        <v>2440.765</v>
      </c>
      <c r="H99" s="11" t="n">
        <v>3038.557</v>
      </c>
      <c r="I99" s="11" t="n">
        <v>4240.751</v>
      </c>
      <c r="J99" s="11" t="n">
        <v>2203.213</v>
      </c>
      <c r="K99" s="11" t="n">
        <v>2216.873</v>
      </c>
      <c r="L99" s="11" t="n">
        <v>2623.192</v>
      </c>
      <c r="M99" s="11" t="n">
        <f aca="false">SUM(G99:L99)</f>
        <v>16763.351</v>
      </c>
      <c r="N99" s="11" t="n">
        <v>309.262</v>
      </c>
      <c r="O99" s="11" t="n">
        <v>390.742</v>
      </c>
      <c r="P99" s="11" t="n">
        <v>612.166</v>
      </c>
      <c r="Q99" s="11" t="n">
        <v>329.115</v>
      </c>
      <c r="R99" s="11" t="n">
        <v>332.769</v>
      </c>
      <c r="S99" s="11" t="n">
        <v>366.845</v>
      </c>
      <c r="T99" s="11" t="n">
        <f aca="false">SUM(N99:S99)</f>
        <v>2340.899</v>
      </c>
      <c r="U99" s="11" t="n">
        <v>2716.464</v>
      </c>
      <c r="V99" s="11" t="n">
        <v>2207.712</v>
      </c>
      <c r="W99" s="11" t="n">
        <v>3680.012</v>
      </c>
      <c r="X99" s="11" t="n">
        <v>1784.758</v>
      </c>
      <c r="Y99" s="11" t="n">
        <v>2058.612</v>
      </c>
      <c r="Z99" s="11" t="n">
        <v>2452.381</v>
      </c>
      <c r="AA99" s="11" t="n">
        <f aca="false">SUM(U99:Z99)</f>
        <v>14899.939</v>
      </c>
      <c r="AB99" s="11" t="n">
        <v>359.979</v>
      </c>
      <c r="AC99" s="11" t="n">
        <v>295.845</v>
      </c>
      <c r="AD99" s="11" t="n">
        <v>509.358</v>
      </c>
      <c r="AE99" s="11" t="n">
        <v>250.092</v>
      </c>
      <c r="AF99" s="11" t="n">
        <v>289.848</v>
      </c>
      <c r="AG99" s="11" t="n">
        <v>342.296</v>
      </c>
      <c r="AH99" s="11" t="n">
        <f aca="false">SUM(AB99:AG99)</f>
        <v>2047.418</v>
      </c>
    </row>
    <row r="100" customFormat="false" ht="15" hidden="false" customHeight="false" outlineLevel="2" collapsed="false">
      <c r="A100" s="8" t="s">
        <v>1149</v>
      </c>
      <c r="B100" s="12" t="s">
        <v>1150</v>
      </c>
      <c r="C100" s="8" t="s">
        <v>1133</v>
      </c>
      <c r="D100" s="12" t="s">
        <v>1134</v>
      </c>
      <c r="E100" s="16"/>
      <c r="F100" s="9" t="str">
        <f aca="false">IF($E100="","",IFERROR(INDEX(担当者マスタ!$B$2:$B$101,MATCH($E100,担当者マスタ!$A$2:$A$101,0)),"※マスタ未登録"))</f>
        <v/>
      </c>
      <c r="G100" s="11" t="n">
        <v>359.914</v>
      </c>
      <c r="H100" s="11" t="n">
        <v>393.051</v>
      </c>
      <c r="I100" s="11" t="n">
        <v>576.475</v>
      </c>
      <c r="J100" s="11" t="n">
        <v>223.326</v>
      </c>
      <c r="K100" s="11" t="n">
        <v>285.465</v>
      </c>
      <c r="L100" s="11" t="n">
        <v>353.479</v>
      </c>
      <c r="M100" s="11" t="n">
        <f aca="false">SUM(G100:L100)</f>
        <v>2191.71</v>
      </c>
      <c r="N100" s="11" t="n">
        <v>45.513</v>
      </c>
      <c r="O100" s="11" t="n">
        <v>51.197</v>
      </c>
      <c r="P100" s="11" t="n">
        <v>82.609</v>
      </c>
      <c r="Q100" s="11" t="n">
        <v>35.121</v>
      </c>
      <c r="R100" s="11" t="n">
        <v>43.095</v>
      </c>
      <c r="S100" s="11" t="n">
        <v>49.098</v>
      </c>
      <c r="T100" s="11" t="n">
        <f aca="false">SUM(N100:S100)</f>
        <v>306.633</v>
      </c>
      <c r="U100" s="11" t="n">
        <v>431.471</v>
      </c>
      <c r="V100" s="11" t="n">
        <v>260.567</v>
      </c>
      <c r="W100" s="11" t="n">
        <v>456.866</v>
      </c>
      <c r="X100" s="11" t="n">
        <v>224.404</v>
      </c>
      <c r="Y100" s="11" t="n">
        <v>279.13</v>
      </c>
      <c r="Z100" s="11" t="n">
        <v>339.281</v>
      </c>
      <c r="AA100" s="11" t="n">
        <f aca="false">SUM(U100:Z100)</f>
        <v>1991.719</v>
      </c>
      <c r="AB100" s="11" t="n">
        <v>56.782</v>
      </c>
      <c r="AC100" s="11" t="n">
        <v>35.573</v>
      </c>
      <c r="AD100" s="11" t="n">
        <v>62.54</v>
      </c>
      <c r="AE100" s="11" t="n">
        <v>30.551</v>
      </c>
      <c r="AF100" s="11" t="n">
        <v>37.636</v>
      </c>
      <c r="AG100" s="11" t="n">
        <v>46.052</v>
      </c>
      <c r="AH100" s="11" t="n">
        <f aca="false">SUM(AB100:AG100)</f>
        <v>269.134</v>
      </c>
    </row>
    <row r="101" customFormat="false" ht="15" hidden="false" customHeight="false" outlineLevel="2" collapsed="false">
      <c r="A101" s="8" t="s">
        <v>1151</v>
      </c>
      <c r="B101" s="12" t="s">
        <v>1152</v>
      </c>
      <c r="C101" s="8" t="s">
        <v>1133</v>
      </c>
      <c r="D101" s="12" t="s">
        <v>1134</v>
      </c>
      <c r="E101" s="16"/>
      <c r="F101" s="9" t="str">
        <f aca="false">IF($E101="","",IFERROR(INDEX(担当者マスタ!$B$2:$B$101,MATCH($E101,担当者マスタ!$A$2:$A$101,0)),"※マスタ未登録"))</f>
        <v/>
      </c>
      <c r="G101" s="11" t="n">
        <v>93.395</v>
      </c>
      <c r="H101" s="11" t="n">
        <v>0</v>
      </c>
      <c r="I101" s="11" t="n">
        <v>9.906</v>
      </c>
      <c r="J101" s="11" t="n">
        <v>0</v>
      </c>
      <c r="K101" s="11" t="n">
        <v>0</v>
      </c>
      <c r="L101" s="11" t="n">
        <v>0</v>
      </c>
      <c r="M101" s="11" t="n">
        <f aca="false">SUM(G101:L101)</f>
        <v>103.301</v>
      </c>
      <c r="N101" s="11" t="n">
        <v>23.052</v>
      </c>
      <c r="O101" s="11" t="n">
        <v>0</v>
      </c>
      <c r="P101" s="11" t="n">
        <v>7.806</v>
      </c>
      <c r="Q101" s="11" t="n">
        <v>0</v>
      </c>
      <c r="R101" s="11" t="n">
        <v>0</v>
      </c>
      <c r="S101" s="11" t="n">
        <v>0</v>
      </c>
      <c r="T101" s="11" t="n">
        <f aca="false">SUM(N101:S101)</f>
        <v>30.858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f aca="false">SUM(U101:Z101)</f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f aca="false">SUM(AB101:AG101)</f>
        <v>0</v>
      </c>
    </row>
    <row r="102" customFormat="false" ht="15" hidden="false" customHeight="false" outlineLevel="2" collapsed="false">
      <c r="A102" s="8" t="s">
        <v>1153</v>
      </c>
      <c r="B102" s="12" t="s">
        <v>1154</v>
      </c>
      <c r="C102" s="8" t="s">
        <v>1133</v>
      </c>
      <c r="D102" s="12" t="s">
        <v>1134</v>
      </c>
      <c r="E102" s="16"/>
      <c r="F102" s="9" t="str">
        <f aca="false">IF($E102="","",IFERROR(INDEX(担当者マスタ!$B$2:$B$101,MATCH($E102,担当者マスタ!$A$2:$A$101,0)),"※マスタ未登録"))</f>
        <v/>
      </c>
      <c r="G102" s="11" t="n">
        <v>162.363</v>
      </c>
      <c r="H102" s="11" t="n">
        <v>319.486</v>
      </c>
      <c r="I102" s="11" t="n">
        <v>210.21</v>
      </c>
      <c r="J102" s="11" t="n">
        <v>139.029</v>
      </c>
      <c r="K102" s="11" t="n">
        <v>138.315</v>
      </c>
      <c r="L102" s="11" t="n">
        <v>135.443</v>
      </c>
      <c r="M102" s="11" t="n">
        <f aca="false">SUM(G102:L102)</f>
        <v>1104.846</v>
      </c>
      <c r="N102" s="11" t="n">
        <v>66.919</v>
      </c>
      <c r="O102" s="11" t="n">
        <v>124.986</v>
      </c>
      <c r="P102" s="11" t="n">
        <v>87.615</v>
      </c>
      <c r="Q102" s="11" t="n">
        <v>55.432</v>
      </c>
      <c r="R102" s="11" t="n">
        <v>57.121</v>
      </c>
      <c r="S102" s="11" t="n">
        <v>52.411</v>
      </c>
      <c r="T102" s="11" t="n">
        <f aca="false">SUM(N102:S102)</f>
        <v>444.484</v>
      </c>
      <c r="U102" s="11" t="n">
        <v>164.169</v>
      </c>
      <c r="V102" s="11" t="n">
        <v>137.269</v>
      </c>
      <c r="W102" s="11" t="n">
        <v>381.713</v>
      </c>
      <c r="X102" s="11" t="n">
        <v>108.881</v>
      </c>
      <c r="Y102" s="11" t="n">
        <v>86.845</v>
      </c>
      <c r="Z102" s="11" t="n">
        <v>103.149</v>
      </c>
      <c r="AA102" s="11" t="n">
        <f aca="false">SUM(U102:Z102)</f>
        <v>982.026</v>
      </c>
      <c r="AB102" s="11" t="n">
        <v>66.48</v>
      </c>
      <c r="AC102" s="11" t="n">
        <v>56.438</v>
      </c>
      <c r="AD102" s="11" t="n">
        <v>156.815</v>
      </c>
      <c r="AE102" s="11" t="n">
        <v>42.982</v>
      </c>
      <c r="AF102" s="11" t="n">
        <v>35.415</v>
      </c>
      <c r="AG102" s="11" t="n">
        <v>43.273</v>
      </c>
      <c r="AH102" s="11" t="n">
        <f aca="false">SUM(AB102:AG102)</f>
        <v>401.403</v>
      </c>
    </row>
    <row r="103" customFormat="false" ht="15" hidden="false" customHeight="false" outlineLevel="2" collapsed="false">
      <c r="A103" s="8" t="s">
        <v>1155</v>
      </c>
      <c r="B103" s="12" t="s">
        <v>1156</v>
      </c>
      <c r="C103" s="8" t="s">
        <v>1133</v>
      </c>
      <c r="D103" s="12" t="s">
        <v>1134</v>
      </c>
      <c r="E103" s="16"/>
      <c r="F103" s="9" t="str">
        <f aca="false">IF($E103="","",IFERROR(INDEX(担当者マスタ!$B$2:$B$101,MATCH($E103,担当者マスタ!$A$2:$A$101,0)),"※マスタ未登録"))</f>
        <v/>
      </c>
      <c r="G103" s="11" t="n">
        <v>275.628</v>
      </c>
      <c r="H103" s="11" t="n">
        <v>215.236</v>
      </c>
      <c r="I103" s="11" t="n">
        <v>281.266</v>
      </c>
      <c r="J103" s="11" t="n">
        <v>221.828</v>
      </c>
      <c r="K103" s="11" t="n">
        <v>174.68</v>
      </c>
      <c r="L103" s="11" t="n">
        <v>277.86</v>
      </c>
      <c r="M103" s="11" t="n">
        <f aca="false">SUM(G103:L103)</f>
        <v>1446.498</v>
      </c>
      <c r="N103" s="11" t="n">
        <v>47.586</v>
      </c>
      <c r="O103" s="11" t="n">
        <v>32.488</v>
      </c>
      <c r="P103" s="11" t="n">
        <v>41.884</v>
      </c>
      <c r="Q103" s="11" t="n">
        <v>32.8</v>
      </c>
      <c r="R103" s="11" t="n">
        <v>25.778</v>
      </c>
      <c r="S103" s="11" t="n">
        <v>41.768</v>
      </c>
      <c r="T103" s="11" t="n">
        <f aca="false">SUM(N103:S103)</f>
        <v>222.304</v>
      </c>
      <c r="U103" s="11" t="n">
        <v>318.98</v>
      </c>
      <c r="V103" s="11" t="n">
        <v>177.74</v>
      </c>
      <c r="W103" s="11" t="n">
        <v>327.408</v>
      </c>
      <c r="X103" s="11" t="n">
        <v>136.52</v>
      </c>
      <c r="Y103" s="11" t="n">
        <v>256.56</v>
      </c>
      <c r="Z103" s="11" t="n">
        <v>281.088</v>
      </c>
      <c r="AA103" s="11" t="n">
        <f aca="false">SUM(U103:Z103)</f>
        <v>1498.296</v>
      </c>
      <c r="AB103" s="11" t="n">
        <v>44.76</v>
      </c>
      <c r="AC103" s="11" t="n">
        <v>26.962</v>
      </c>
      <c r="AD103" s="11" t="n">
        <v>48.126</v>
      </c>
      <c r="AE103" s="11" t="n">
        <v>19.582</v>
      </c>
      <c r="AF103" s="11" t="n">
        <v>34.714</v>
      </c>
      <c r="AG103" s="11" t="n">
        <v>40.956</v>
      </c>
      <c r="AH103" s="11" t="n">
        <f aca="false">SUM(AB103:AG103)</f>
        <v>215.1</v>
      </c>
    </row>
    <row r="104" customFormat="false" ht="15" hidden="false" customHeight="false" outlineLevel="2" collapsed="false">
      <c r="A104" s="8" t="s">
        <v>1157</v>
      </c>
      <c r="B104" s="9" t="s">
        <v>1158</v>
      </c>
      <c r="C104" s="8" t="s">
        <v>1133</v>
      </c>
      <c r="D104" s="12" t="s">
        <v>1134</v>
      </c>
      <c r="E104" s="16"/>
      <c r="F104" s="9" t="str">
        <f aca="false">IF($E104="","",IFERROR(INDEX(担当者マスタ!$B$2:$B$101,MATCH($E104,担当者マスタ!$A$2:$A$101,0)),"※マスタ未登録"))</f>
        <v/>
      </c>
      <c r="G104" s="11" t="n">
        <v>0</v>
      </c>
      <c r="H104" s="11" t="n">
        <v>10.874</v>
      </c>
      <c r="I104" s="11" t="n">
        <v>12.196</v>
      </c>
      <c r="J104" s="11" t="n">
        <v>7.114</v>
      </c>
      <c r="K104" s="11" t="n">
        <v>9.774</v>
      </c>
      <c r="L104" s="11" t="n">
        <v>0</v>
      </c>
      <c r="M104" s="11" t="n">
        <f aca="false">SUM(G104:L104)</f>
        <v>39.958</v>
      </c>
      <c r="N104" s="11" t="n">
        <v>0</v>
      </c>
      <c r="O104" s="11" t="n">
        <v>4.25</v>
      </c>
      <c r="P104" s="11" t="n">
        <v>4.57</v>
      </c>
      <c r="Q104" s="11" t="n">
        <v>2.802</v>
      </c>
      <c r="R104" s="11" t="n">
        <v>3.832</v>
      </c>
      <c r="S104" s="11" t="n">
        <v>0</v>
      </c>
      <c r="T104" s="11" t="n">
        <f aca="false">SUM(N104:S104)</f>
        <v>15.454</v>
      </c>
      <c r="U104" s="11" t="n">
        <v>8.891</v>
      </c>
      <c r="V104" s="11" t="n">
        <v>0</v>
      </c>
      <c r="W104" s="11" t="n">
        <v>11.026</v>
      </c>
      <c r="X104" s="11" t="n">
        <v>7.271</v>
      </c>
      <c r="Y104" s="11" t="n">
        <v>7.114</v>
      </c>
      <c r="Z104" s="11" t="n">
        <v>0</v>
      </c>
      <c r="AA104" s="11" t="n">
        <f aca="false">SUM(U104:Z104)</f>
        <v>34.302</v>
      </c>
      <c r="AB104" s="11" t="n">
        <v>3.457</v>
      </c>
      <c r="AC104" s="11" t="n">
        <v>0</v>
      </c>
      <c r="AD104" s="11" t="n">
        <v>4.121</v>
      </c>
      <c r="AE104" s="11" t="n">
        <v>2.839</v>
      </c>
      <c r="AF104" s="11" t="n">
        <v>2.802</v>
      </c>
      <c r="AG104" s="11" t="n">
        <v>0</v>
      </c>
      <c r="AH104" s="11" t="n">
        <f aca="false">SUM(AB104:AG104)</f>
        <v>13.219</v>
      </c>
    </row>
    <row r="105" customFormat="false" ht="15" hidden="false" customHeight="false" outlineLevel="2" collapsed="false">
      <c r="A105" s="8" t="s">
        <v>1159</v>
      </c>
      <c r="B105" s="9" t="s">
        <v>1160</v>
      </c>
      <c r="C105" s="8" t="s">
        <v>1133</v>
      </c>
      <c r="D105" s="12" t="s">
        <v>1134</v>
      </c>
      <c r="E105" s="16"/>
      <c r="F105" s="9" t="str">
        <f aca="false">IF($E105="","",IFERROR(INDEX(担当者マスタ!$B$2:$B$101,MATCH($E105,担当者マスタ!$A$2:$A$101,0)),"※マスタ未登録"))</f>
        <v/>
      </c>
      <c r="G105" s="11" t="n">
        <v>38.174</v>
      </c>
      <c r="H105" s="11" t="n">
        <v>0</v>
      </c>
      <c r="I105" s="11" t="n">
        <v>68.88</v>
      </c>
      <c r="J105" s="11" t="n">
        <v>0</v>
      </c>
      <c r="K105" s="11" t="n">
        <v>0</v>
      </c>
      <c r="L105" s="11" t="n">
        <v>0</v>
      </c>
      <c r="M105" s="11" t="n">
        <f aca="false">SUM(G105:L105)</f>
        <v>107.054</v>
      </c>
      <c r="N105" s="11" t="n">
        <v>11.48</v>
      </c>
      <c r="O105" s="11" t="n">
        <v>0</v>
      </c>
      <c r="P105" s="11" t="n">
        <v>14.192</v>
      </c>
      <c r="Q105" s="11" t="n">
        <v>0</v>
      </c>
      <c r="R105" s="11" t="n">
        <v>0</v>
      </c>
      <c r="S105" s="11" t="n">
        <v>0</v>
      </c>
      <c r="T105" s="11" t="n">
        <f aca="false">SUM(N105:S105)</f>
        <v>25.672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f aca="false">SUM(U105:Z105)</f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f aca="false">SUM(AB105:AG105)</f>
        <v>0</v>
      </c>
    </row>
    <row r="106" customFormat="false" ht="15" hidden="false" customHeight="false" outlineLevel="2" collapsed="false">
      <c r="A106" s="8" t="s">
        <v>1161</v>
      </c>
      <c r="B106" s="9" t="s">
        <v>1162</v>
      </c>
      <c r="C106" s="8" t="s">
        <v>1133</v>
      </c>
      <c r="D106" s="12" t="s">
        <v>1134</v>
      </c>
      <c r="E106" s="16"/>
      <c r="F106" s="9" t="str">
        <f aca="false">IF($E106="","",IFERROR(INDEX(担当者マスタ!$B$2:$B$101,MATCH($E106,担当者マスタ!$A$2:$A$101,0)),"※マスタ未登録"))</f>
        <v/>
      </c>
      <c r="G106" s="11" t="n">
        <v>5.4</v>
      </c>
      <c r="H106" s="11" t="n">
        <v>9.07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f aca="false">SUM(G106:L106)</f>
        <v>14.47</v>
      </c>
      <c r="N106" s="11" t="n">
        <v>0.8</v>
      </c>
      <c r="O106" s="11" t="n">
        <v>1.56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f aca="false">SUM(N106:S106)</f>
        <v>2.36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f aca="false">SUM(U106:Z106)</f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f aca="false">SUM(AB106:AG106)</f>
        <v>0</v>
      </c>
    </row>
    <row r="107" customFormat="false" ht="15" hidden="false" customHeight="false" outlineLevel="2" collapsed="false">
      <c r="A107" s="8" t="s">
        <v>1163</v>
      </c>
      <c r="B107" s="12" t="s">
        <v>1164</v>
      </c>
      <c r="C107" s="8" t="s">
        <v>1133</v>
      </c>
      <c r="D107" s="12" t="s">
        <v>1134</v>
      </c>
      <c r="E107" s="16"/>
      <c r="F107" s="9" t="str">
        <f aca="false">IF($E107="","",IFERROR(INDEX(担当者マスタ!$B$2:$B$101,MATCH($E107,担当者マスタ!$A$2:$A$101,0)),"※マスタ未登録"))</f>
        <v/>
      </c>
      <c r="G107" s="11" t="n">
        <v>0</v>
      </c>
      <c r="H107" s="11" t="n">
        <v>0</v>
      </c>
      <c r="I107" s="11" t="n">
        <v>15.644</v>
      </c>
      <c r="J107" s="11" t="n">
        <v>0</v>
      </c>
      <c r="K107" s="11" t="n">
        <v>0</v>
      </c>
      <c r="L107" s="11" t="n">
        <v>0</v>
      </c>
      <c r="M107" s="11" t="n">
        <f aca="false">SUM(G107:L107)</f>
        <v>15.644</v>
      </c>
      <c r="N107" s="11" t="n">
        <v>0</v>
      </c>
      <c r="O107" s="11" t="n">
        <v>0</v>
      </c>
      <c r="P107" s="11" t="n">
        <v>2.088</v>
      </c>
      <c r="Q107" s="11" t="n">
        <v>0</v>
      </c>
      <c r="R107" s="11" t="n">
        <v>0</v>
      </c>
      <c r="S107" s="11" t="n">
        <v>0</v>
      </c>
      <c r="T107" s="11" t="n">
        <f aca="false">SUM(N107:S107)</f>
        <v>2.088</v>
      </c>
      <c r="U107" s="11" t="n">
        <v>0</v>
      </c>
      <c r="V107" s="11" t="n">
        <v>7.344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f aca="false">SUM(U107:Z107)</f>
        <v>7.344</v>
      </c>
      <c r="AB107" s="11" t="n">
        <v>0</v>
      </c>
      <c r="AC107" s="11" t="n">
        <v>0.288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f aca="false">SUM(AB107:AG107)</f>
        <v>0.288</v>
      </c>
    </row>
    <row r="108" customFormat="false" ht="15" hidden="false" customHeight="false" outlineLevel="2" collapsed="false">
      <c r="A108" s="8" t="s">
        <v>1165</v>
      </c>
      <c r="B108" s="12" t="s">
        <v>1166</v>
      </c>
      <c r="C108" s="8" t="s">
        <v>1133</v>
      </c>
      <c r="D108" s="12" t="s">
        <v>1134</v>
      </c>
      <c r="E108" s="16"/>
      <c r="F108" s="9" t="str">
        <f aca="false">IF($E108="","",IFERROR(INDEX(担当者マスタ!$B$2:$B$101,MATCH($E108,担当者マスタ!$A$2:$A$101,0)),"※マスタ未登録"))</f>
        <v/>
      </c>
      <c r="G108" s="11" t="n">
        <v>24.9</v>
      </c>
      <c r="H108" s="11" t="n">
        <v>65.89</v>
      </c>
      <c r="I108" s="11" t="n">
        <v>76.2</v>
      </c>
      <c r="J108" s="11" t="n">
        <v>22.7</v>
      </c>
      <c r="K108" s="11" t="n">
        <v>0</v>
      </c>
      <c r="L108" s="11" t="n">
        <v>76.1</v>
      </c>
      <c r="M108" s="11" t="n">
        <f aca="false">SUM(G108:L108)</f>
        <v>265.79</v>
      </c>
      <c r="N108" s="11" t="n">
        <v>4.6</v>
      </c>
      <c r="O108" s="11" t="n">
        <v>12.45</v>
      </c>
      <c r="P108" s="11" t="n">
        <v>10.8</v>
      </c>
      <c r="Q108" s="11" t="n">
        <v>6.59</v>
      </c>
      <c r="R108" s="11" t="n">
        <v>0</v>
      </c>
      <c r="S108" s="11" t="n">
        <v>10.577</v>
      </c>
      <c r="T108" s="11" t="n">
        <f aca="false">SUM(N108:S108)</f>
        <v>45.017</v>
      </c>
      <c r="U108" s="11" t="n">
        <v>0</v>
      </c>
      <c r="V108" s="11" t="n">
        <v>20.175</v>
      </c>
      <c r="W108" s="11" t="n">
        <v>17.075</v>
      </c>
      <c r="X108" s="11" t="n">
        <v>69</v>
      </c>
      <c r="Y108" s="11" t="n">
        <v>51.545</v>
      </c>
      <c r="Z108" s="11" t="n">
        <v>69</v>
      </c>
      <c r="AA108" s="11" t="n">
        <f aca="false">SUM(U108:Z108)</f>
        <v>226.795</v>
      </c>
      <c r="AB108" s="11" t="n">
        <v>0</v>
      </c>
      <c r="AC108" s="11" t="n">
        <v>5.647</v>
      </c>
      <c r="AD108" s="11" t="n">
        <v>4.989</v>
      </c>
      <c r="AE108" s="11" t="n">
        <v>9</v>
      </c>
      <c r="AF108" s="11" t="n">
        <v>9.659</v>
      </c>
      <c r="AG108" s="11" t="n">
        <v>9</v>
      </c>
      <c r="AH108" s="11" t="n">
        <f aca="false">SUM(AB108:AG108)</f>
        <v>38.295</v>
      </c>
    </row>
    <row r="109" customFormat="false" ht="15" hidden="false" customHeight="false" outlineLevel="1" collapsed="false">
      <c r="A109" s="19"/>
      <c r="B109" s="19"/>
      <c r="C109" s="17" t="s">
        <v>1945</v>
      </c>
      <c r="D109" s="19" t="s">
        <v>1134</v>
      </c>
      <c r="E109" s="19"/>
      <c r="F109" s="19"/>
      <c r="G109" s="18" t="n">
        <f aca="false">SUBTOTAL(9,G92:G108)</f>
        <v>8717.791</v>
      </c>
      <c r="H109" s="18" t="n">
        <f aca="false">SUBTOTAL(9,H92:H108)</f>
        <v>10259.445</v>
      </c>
      <c r="I109" s="18" t="n">
        <f aca="false">SUBTOTAL(9,I92:I108)</f>
        <v>14531.836</v>
      </c>
      <c r="J109" s="18" t="n">
        <f aca="false">SUBTOTAL(9,J92:J108)</f>
        <v>5165.529</v>
      </c>
      <c r="K109" s="18" t="n">
        <f aca="false">SUBTOTAL(9,K92:K108)</f>
        <v>6067.701</v>
      </c>
      <c r="L109" s="18" t="n">
        <f aca="false">SUBTOTAL(9,L92:L108)</f>
        <v>8724.926</v>
      </c>
      <c r="M109" s="18" t="n">
        <f aca="false">SUBTOTAL(9,M92:M108)</f>
        <v>53467.228</v>
      </c>
      <c r="N109" s="18" t="n">
        <f aca="false">SUBTOTAL(9,N92:N108)</f>
        <v>2097.771</v>
      </c>
      <c r="O109" s="18" t="n">
        <f aca="false">SUBTOTAL(9,O92:O108)</f>
        <v>2323.332</v>
      </c>
      <c r="P109" s="18" t="n">
        <f aca="false">SUBTOTAL(9,P92:P108)</f>
        <v>3342.563</v>
      </c>
      <c r="Q109" s="18" t="n">
        <f aca="false">SUBTOTAL(9,Q92:Q108)</f>
        <v>1154.667</v>
      </c>
      <c r="R109" s="18" t="n">
        <f aca="false">SUBTOTAL(9,R92:R108)</f>
        <v>1421.364</v>
      </c>
      <c r="S109" s="18" t="n">
        <f aca="false">SUBTOTAL(9,S92:S108)</f>
        <v>1930.429</v>
      </c>
      <c r="T109" s="18" t="n">
        <f aca="false">SUBTOTAL(9,T92:T108)</f>
        <v>12270.126</v>
      </c>
      <c r="U109" s="18" t="n">
        <f aca="false">SUBTOTAL(9,U92:U108)</f>
        <v>11148.801</v>
      </c>
      <c r="V109" s="18" t="n">
        <f aca="false">SUBTOTAL(9,V92:V108)</f>
        <v>9847.984</v>
      </c>
      <c r="W109" s="18" t="n">
        <f aca="false">SUBTOTAL(9,W92:W108)</f>
        <v>13775.38</v>
      </c>
      <c r="X109" s="18" t="n">
        <f aca="false">SUBTOTAL(9,X92:X108)</f>
        <v>5733.662</v>
      </c>
      <c r="Y109" s="18" t="n">
        <f aca="false">SUBTOTAL(9,Y92:Y108)</f>
        <v>6987.333</v>
      </c>
      <c r="Z109" s="18" t="n">
        <f aca="false">SUBTOTAL(9,Z92:Z108)</f>
        <v>9262.134</v>
      </c>
      <c r="AA109" s="18" t="n">
        <f aca="false">SUBTOTAL(9,AA92:AA108)</f>
        <v>56755.294</v>
      </c>
      <c r="AB109" s="18" t="n">
        <f aca="false">SUBTOTAL(9,AB92:AB108)</f>
        <v>2577.087</v>
      </c>
      <c r="AC109" s="18" t="n">
        <f aca="false">SUBTOTAL(9,AC92:AC108)</f>
        <v>2284.173</v>
      </c>
      <c r="AD109" s="18" t="n">
        <f aca="false">SUBTOTAL(9,AD92:AD108)</f>
        <v>3422.713</v>
      </c>
      <c r="AE109" s="18" t="n">
        <f aca="false">SUBTOTAL(9,AE92:AE108)</f>
        <v>1355.471</v>
      </c>
      <c r="AF109" s="18" t="n">
        <f aca="false">SUBTOTAL(9,AF92:AF108)</f>
        <v>1615.591</v>
      </c>
      <c r="AG109" s="18" t="n">
        <f aca="false">SUBTOTAL(9,AG92:AG108)</f>
        <v>2403.261</v>
      </c>
      <c r="AH109" s="18" t="n">
        <f aca="false">SUBTOTAL(9,AH92:AH108)</f>
        <v>13658.296</v>
      </c>
    </row>
    <row r="110" customFormat="false" ht="15" hidden="false" customHeight="false" outlineLevel="2" collapsed="false">
      <c r="A110" s="8" t="s">
        <v>1167</v>
      </c>
      <c r="B110" s="12" t="s">
        <v>691</v>
      </c>
      <c r="C110" s="8" t="s">
        <v>1168</v>
      </c>
      <c r="D110" s="12" t="s">
        <v>701</v>
      </c>
      <c r="E110" s="16"/>
      <c r="F110" s="9" t="str">
        <f aca="false">IF($E110="","",IFERROR(INDEX(担当者マスタ!$B$2:$B$101,MATCH($E110,担当者マスタ!$A$2:$A$101,0)),"※マスタ未登録"))</f>
        <v/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f aca="false">SUM(G110:L110)</f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f aca="false">SUM(N110:S110)</f>
        <v>0</v>
      </c>
      <c r="U110" s="11" t="n">
        <v>8085.32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f aca="false">SUM(U110:Z110)</f>
        <v>8085.32</v>
      </c>
      <c r="AB110" s="11" t="n">
        <v>299.72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f aca="false">SUM(AB110:AG110)</f>
        <v>299.72</v>
      </c>
    </row>
    <row r="111" customFormat="false" ht="15" hidden="false" customHeight="false" outlineLevel="2" collapsed="false">
      <c r="A111" s="8" t="s">
        <v>1169</v>
      </c>
      <c r="B111" s="12" t="s">
        <v>1170</v>
      </c>
      <c r="C111" s="8" t="s">
        <v>1168</v>
      </c>
      <c r="D111" s="12" t="s">
        <v>701</v>
      </c>
      <c r="E111" s="16"/>
      <c r="F111" s="9" t="str">
        <f aca="false">IF($E111="","",IFERROR(INDEX(担当者マスタ!$B$2:$B$101,MATCH($E111,担当者マスタ!$A$2:$A$101,0)),"※マスタ未登録"))</f>
        <v/>
      </c>
      <c r="G111" s="11" t="n">
        <v>5928.28</v>
      </c>
      <c r="H111" s="11" t="n">
        <v>6152.72</v>
      </c>
      <c r="I111" s="11" t="n">
        <v>7138.22</v>
      </c>
      <c r="J111" s="11" t="n">
        <v>5920.77</v>
      </c>
      <c r="K111" s="11" t="n">
        <v>0</v>
      </c>
      <c r="L111" s="11" t="n">
        <v>509.5</v>
      </c>
      <c r="M111" s="11" t="n">
        <f aca="false">SUM(G111:L111)</f>
        <v>25649.49</v>
      </c>
      <c r="N111" s="11" t="n">
        <v>113.36</v>
      </c>
      <c r="O111" s="11" t="n">
        <v>101.72</v>
      </c>
      <c r="P111" s="11" t="n">
        <v>112.52</v>
      </c>
      <c r="Q111" s="11" t="n">
        <v>104.42</v>
      </c>
      <c r="R111" s="11" t="n">
        <v>0</v>
      </c>
      <c r="S111" s="11" t="n">
        <v>25.5</v>
      </c>
      <c r="T111" s="11" t="n">
        <f aca="false">SUM(N111:S111)</f>
        <v>457.52</v>
      </c>
      <c r="U111" s="11" t="n">
        <v>5676.032</v>
      </c>
      <c r="V111" s="11" t="n">
        <v>6905.36</v>
      </c>
      <c r="W111" s="11" t="n">
        <v>9060.364</v>
      </c>
      <c r="X111" s="11" t="n">
        <v>5021.712</v>
      </c>
      <c r="Y111" s="11" t="n">
        <v>3741.12</v>
      </c>
      <c r="Z111" s="11" t="n">
        <v>0</v>
      </c>
      <c r="AA111" s="11" t="n">
        <f aca="false">SUM(U111:Z111)</f>
        <v>30404.588</v>
      </c>
      <c r="AB111" s="11" t="n">
        <v>104.512</v>
      </c>
      <c r="AC111" s="11" t="n">
        <v>118.9</v>
      </c>
      <c r="AD111" s="11" t="n">
        <v>156.524</v>
      </c>
      <c r="AE111" s="11" t="n">
        <v>78.912</v>
      </c>
      <c r="AF111" s="11" t="n">
        <v>55.08</v>
      </c>
      <c r="AG111" s="11" t="n">
        <v>0</v>
      </c>
      <c r="AH111" s="11" t="n">
        <f aca="false">SUM(AB111:AG111)</f>
        <v>513.928</v>
      </c>
    </row>
    <row r="112" customFormat="false" ht="15" hidden="false" customHeight="false" outlineLevel="2" collapsed="false">
      <c r="A112" s="8" t="s">
        <v>1171</v>
      </c>
      <c r="B112" s="12" t="s">
        <v>1172</v>
      </c>
      <c r="C112" s="8" t="s">
        <v>1168</v>
      </c>
      <c r="D112" s="12" t="s">
        <v>701</v>
      </c>
      <c r="E112" s="16"/>
      <c r="F112" s="9" t="str">
        <f aca="false">IF($E112="","",IFERROR(INDEX(担当者マスタ!$B$2:$B$101,MATCH($E112,担当者マスタ!$A$2:$A$101,0)),"※マスタ未登録"))</f>
        <v/>
      </c>
      <c r="G112" s="11" t="n">
        <v>9.4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f aca="false">SUM(G112:L112)</f>
        <v>9.4</v>
      </c>
      <c r="N112" s="11" t="n">
        <v>2.5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f aca="false">SUM(N112:S112)</f>
        <v>2.5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f aca="false">SUM(U112:Z112)</f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11" t="n">
        <v>0</v>
      </c>
      <c r="AG112" s="11" t="n">
        <v>0</v>
      </c>
      <c r="AH112" s="11" t="n">
        <f aca="false">SUM(AB112:AG112)</f>
        <v>0</v>
      </c>
    </row>
    <row r="113" customFormat="false" ht="15" hidden="false" customHeight="false" outlineLevel="1" collapsed="false">
      <c r="A113" s="19"/>
      <c r="B113" s="19"/>
      <c r="C113" s="17" t="s">
        <v>1946</v>
      </c>
      <c r="D113" s="19" t="s">
        <v>701</v>
      </c>
      <c r="E113" s="19"/>
      <c r="F113" s="19"/>
      <c r="G113" s="18" t="n">
        <f aca="false">SUBTOTAL(9,G110:G112)</f>
        <v>5937.68</v>
      </c>
      <c r="H113" s="18" t="n">
        <f aca="false">SUBTOTAL(9,H110:H112)</f>
        <v>6152.72</v>
      </c>
      <c r="I113" s="18" t="n">
        <f aca="false">SUBTOTAL(9,I110:I112)</f>
        <v>7138.22</v>
      </c>
      <c r="J113" s="18" t="n">
        <f aca="false">SUBTOTAL(9,J110:J112)</f>
        <v>5920.77</v>
      </c>
      <c r="K113" s="18" t="n">
        <f aca="false">SUBTOTAL(9,K110:K112)</f>
        <v>0</v>
      </c>
      <c r="L113" s="18" t="n">
        <f aca="false">SUBTOTAL(9,L110:L112)</f>
        <v>509.5</v>
      </c>
      <c r="M113" s="18" t="n">
        <f aca="false">SUBTOTAL(9,M110:M112)</f>
        <v>25658.89</v>
      </c>
      <c r="N113" s="18" t="n">
        <f aca="false">SUBTOTAL(9,N110:N112)</f>
        <v>115.86</v>
      </c>
      <c r="O113" s="18" t="n">
        <f aca="false">SUBTOTAL(9,O110:O112)</f>
        <v>101.72</v>
      </c>
      <c r="P113" s="18" t="n">
        <f aca="false">SUBTOTAL(9,P110:P112)</f>
        <v>112.52</v>
      </c>
      <c r="Q113" s="18" t="n">
        <f aca="false">SUBTOTAL(9,Q110:Q112)</f>
        <v>104.42</v>
      </c>
      <c r="R113" s="18" t="n">
        <f aca="false">SUBTOTAL(9,R110:R112)</f>
        <v>0</v>
      </c>
      <c r="S113" s="18" t="n">
        <f aca="false">SUBTOTAL(9,S110:S112)</f>
        <v>25.5</v>
      </c>
      <c r="T113" s="18" t="n">
        <f aca="false">SUBTOTAL(9,T110:T112)</f>
        <v>460.02</v>
      </c>
      <c r="U113" s="18" t="n">
        <f aca="false">SUBTOTAL(9,U110:U112)</f>
        <v>13761.352</v>
      </c>
      <c r="V113" s="18" t="n">
        <f aca="false">SUBTOTAL(9,V110:V112)</f>
        <v>6905.36</v>
      </c>
      <c r="W113" s="18" t="n">
        <f aca="false">SUBTOTAL(9,W110:W112)</f>
        <v>9060.364</v>
      </c>
      <c r="X113" s="18" t="n">
        <f aca="false">SUBTOTAL(9,X110:X112)</f>
        <v>5021.712</v>
      </c>
      <c r="Y113" s="18" t="n">
        <f aca="false">SUBTOTAL(9,Y110:Y112)</f>
        <v>3741.12</v>
      </c>
      <c r="Z113" s="18" t="n">
        <f aca="false">SUBTOTAL(9,Z110:Z112)</f>
        <v>0</v>
      </c>
      <c r="AA113" s="18" t="n">
        <f aca="false">SUBTOTAL(9,AA110:AA112)</f>
        <v>38489.908</v>
      </c>
      <c r="AB113" s="18" t="n">
        <f aca="false">SUBTOTAL(9,AB110:AB112)</f>
        <v>404.232</v>
      </c>
      <c r="AC113" s="18" t="n">
        <f aca="false">SUBTOTAL(9,AC110:AC112)</f>
        <v>118.9</v>
      </c>
      <c r="AD113" s="18" t="n">
        <f aca="false">SUBTOTAL(9,AD110:AD112)</f>
        <v>156.524</v>
      </c>
      <c r="AE113" s="18" t="n">
        <f aca="false">SUBTOTAL(9,AE110:AE112)</f>
        <v>78.912</v>
      </c>
      <c r="AF113" s="18" t="n">
        <f aca="false">SUBTOTAL(9,AF110:AF112)</f>
        <v>55.08</v>
      </c>
      <c r="AG113" s="18" t="n">
        <f aca="false">SUBTOTAL(9,AG110:AG112)</f>
        <v>0</v>
      </c>
      <c r="AH113" s="18" t="n">
        <f aca="false">SUBTOTAL(9,AH110:AH112)</f>
        <v>813.648</v>
      </c>
    </row>
    <row r="114" customFormat="false" ht="15" hidden="false" customHeight="false" outlineLevel="2" collapsed="false">
      <c r="A114" s="8" t="s">
        <v>1173</v>
      </c>
      <c r="B114" s="12" t="s">
        <v>1174</v>
      </c>
      <c r="C114" s="8" t="s">
        <v>1175</v>
      </c>
      <c r="D114" s="12" t="s">
        <v>1176</v>
      </c>
      <c r="E114" s="16"/>
      <c r="F114" s="9" t="str">
        <f aca="false">IF($E114="","",IFERROR(INDEX(担当者マスタ!$B$2:$B$101,MATCH($E114,担当者マスタ!$A$2:$A$101,0)),"※マスタ未登録"))</f>
        <v/>
      </c>
      <c r="G114" s="11" t="n">
        <v>0</v>
      </c>
      <c r="H114" s="11" t="n">
        <v>0</v>
      </c>
      <c r="I114" s="11" t="n">
        <v>26.72</v>
      </c>
      <c r="J114" s="11" t="n">
        <v>0</v>
      </c>
      <c r="K114" s="11" t="n">
        <v>4.79</v>
      </c>
      <c r="L114" s="11" t="n">
        <v>2.95</v>
      </c>
      <c r="M114" s="11" t="n">
        <f aca="false">SUM(G114:L114)</f>
        <v>34.46</v>
      </c>
      <c r="N114" s="11" t="n">
        <v>0</v>
      </c>
      <c r="O114" s="11" t="n">
        <v>0</v>
      </c>
      <c r="P114" s="11" t="n">
        <v>4.135</v>
      </c>
      <c r="Q114" s="11" t="n">
        <v>0</v>
      </c>
      <c r="R114" s="11" t="n">
        <v>1.296</v>
      </c>
      <c r="S114" s="11" t="n">
        <v>0.909</v>
      </c>
      <c r="T114" s="11" t="n">
        <f aca="false">SUM(N114:S114)</f>
        <v>6.34</v>
      </c>
      <c r="U114" s="11" t="n">
        <v>12.115</v>
      </c>
      <c r="V114" s="11" t="n">
        <v>3.8</v>
      </c>
      <c r="W114" s="11" t="n">
        <v>16.821</v>
      </c>
      <c r="X114" s="11" t="n">
        <v>12.96</v>
      </c>
      <c r="Y114" s="11" t="n">
        <v>27.92</v>
      </c>
      <c r="Z114" s="11" t="n">
        <v>4.2</v>
      </c>
      <c r="AA114" s="11" t="n">
        <f aca="false">SUM(U114:Z114)</f>
        <v>77.816</v>
      </c>
      <c r="AB114" s="11" t="n">
        <v>1.801</v>
      </c>
      <c r="AC114" s="11" t="n">
        <v>1.5</v>
      </c>
      <c r="AD114" s="11" t="n">
        <v>3.403</v>
      </c>
      <c r="AE114" s="11" t="n">
        <v>2.064</v>
      </c>
      <c r="AF114" s="11" t="n">
        <v>3.303</v>
      </c>
      <c r="AG114" s="11" t="n">
        <v>0.432</v>
      </c>
      <c r="AH114" s="11" t="n">
        <f aca="false">SUM(AB114:AG114)</f>
        <v>12.503</v>
      </c>
    </row>
    <row r="115" customFormat="false" ht="15" hidden="false" customHeight="false" outlineLevel="1" collapsed="false">
      <c r="A115" s="19"/>
      <c r="B115" s="19"/>
      <c r="C115" s="17" t="s">
        <v>1947</v>
      </c>
      <c r="D115" s="19" t="s">
        <v>1176</v>
      </c>
      <c r="E115" s="19"/>
      <c r="F115" s="19"/>
      <c r="G115" s="18" t="n">
        <f aca="false">SUBTOTAL(9,G114:G114)</f>
        <v>0</v>
      </c>
      <c r="H115" s="18" t="n">
        <f aca="false">SUBTOTAL(9,H114:H114)</f>
        <v>0</v>
      </c>
      <c r="I115" s="18" t="n">
        <f aca="false">SUBTOTAL(9,I114:I114)</f>
        <v>26.72</v>
      </c>
      <c r="J115" s="18" t="n">
        <f aca="false">SUBTOTAL(9,J114:J114)</f>
        <v>0</v>
      </c>
      <c r="K115" s="18" t="n">
        <f aca="false">SUBTOTAL(9,K114:K114)</f>
        <v>4.79</v>
      </c>
      <c r="L115" s="18" t="n">
        <f aca="false">SUBTOTAL(9,L114:L114)</f>
        <v>2.95</v>
      </c>
      <c r="M115" s="18" t="n">
        <f aca="false">SUBTOTAL(9,M114:M114)</f>
        <v>34.46</v>
      </c>
      <c r="N115" s="18" t="n">
        <f aca="false">SUBTOTAL(9,N114:N114)</f>
        <v>0</v>
      </c>
      <c r="O115" s="18" t="n">
        <f aca="false">SUBTOTAL(9,O114:O114)</f>
        <v>0</v>
      </c>
      <c r="P115" s="18" t="n">
        <f aca="false">SUBTOTAL(9,P114:P114)</f>
        <v>4.135</v>
      </c>
      <c r="Q115" s="18" t="n">
        <f aca="false">SUBTOTAL(9,Q114:Q114)</f>
        <v>0</v>
      </c>
      <c r="R115" s="18" t="n">
        <f aca="false">SUBTOTAL(9,R114:R114)</f>
        <v>1.296</v>
      </c>
      <c r="S115" s="18" t="n">
        <f aca="false">SUBTOTAL(9,S114:S114)</f>
        <v>0.909</v>
      </c>
      <c r="T115" s="18" t="n">
        <f aca="false">SUBTOTAL(9,T114:T114)</f>
        <v>6.34</v>
      </c>
      <c r="U115" s="18" t="n">
        <f aca="false">SUBTOTAL(9,U114:U114)</f>
        <v>12.115</v>
      </c>
      <c r="V115" s="18" t="n">
        <f aca="false">SUBTOTAL(9,V114:V114)</f>
        <v>3.8</v>
      </c>
      <c r="W115" s="18" t="n">
        <f aca="false">SUBTOTAL(9,W114:W114)</f>
        <v>16.821</v>
      </c>
      <c r="X115" s="18" t="n">
        <f aca="false">SUBTOTAL(9,X114:X114)</f>
        <v>12.96</v>
      </c>
      <c r="Y115" s="18" t="n">
        <f aca="false">SUBTOTAL(9,Y114:Y114)</f>
        <v>27.92</v>
      </c>
      <c r="Z115" s="18" t="n">
        <f aca="false">SUBTOTAL(9,Z114:Z114)</f>
        <v>4.2</v>
      </c>
      <c r="AA115" s="18" t="n">
        <f aca="false">SUBTOTAL(9,AA114:AA114)</f>
        <v>77.816</v>
      </c>
      <c r="AB115" s="18" t="n">
        <f aca="false">SUBTOTAL(9,AB114:AB114)</f>
        <v>1.801</v>
      </c>
      <c r="AC115" s="18" t="n">
        <f aca="false">SUBTOTAL(9,AC114:AC114)</f>
        <v>1.5</v>
      </c>
      <c r="AD115" s="18" t="n">
        <f aca="false">SUBTOTAL(9,AD114:AD114)</f>
        <v>3.403</v>
      </c>
      <c r="AE115" s="18" t="n">
        <f aca="false">SUBTOTAL(9,AE114:AE114)</f>
        <v>2.064</v>
      </c>
      <c r="AF115" s="18" t="n">
        <f aca="false">SUBTOTAL(9,AF114:AF114)</f>
        <v>3.303</v>
      </c>
      <c r="AG115" s="18" t="n">
        <f aca="false">SUBTOTAL(9,AG114:AG114)</f>
        <v>0.432</v>
      </c>
      <c r="AH115" s="18" t="n">
        <f aca="false">SUBTOTAL(9,AH114:AH114)</f>
        <v>12.503</v>
      </c>
    </row>
    <row r="116" customFormat="false" ht="15" hidden="false" customHeight="false" outlineLevel="2" collapsed="false">
      <c r="A116" s="8" t="s">
        <v>1177</v>
      </c>
      <c r="B116" s="12" t="s">
        <v>1178</v>
      </c>
      <c r="C116" s="8" t="s">
        <v>1179</v>
      </c>
      <c r="D116" s="12" t="s">
        <v>655</v>
      </c>
      <c r="E116" s="16"/>
      <c r="F116" s="9" t="str">
        <f aca="false">IF($E116="","",IFERROR(INDEX(担当者マスタ!$B$2:$B$101,MATCH($E116,担当者マスタ!$A$2:$A$101,0)),"※マスタ未登録"))</f>
        <v/>
      </c>
      <c r="G116" s="11" t="n">
        <v>1.1</v>
      </c>
      <c r="H116" s="11" t="n">
        <v>7.194</v>
      </c>
      <c r="I116" s="11" t="n">
        <v>7.6</v>
      </c>
      <c r="J116" s="11" t="n">
        <v>7.001</v>
      </c>
      <c r="K116" s="11" t="n">
        <v>10.144</v>
      </c>
      <c r="L116" s="11" t="n">
        <v>1.9</v>
      </c>
      <c r="M116" s="11" t="n">
        <f aca="false">SUM(G116:L116)</f>
        <v>34.939</v>
      </c>
      <c r="N116" s="11" t="n">
        <v>0.325</v>
      </c>
      <c r="O116" s="11" t="n">
        <v>2.647</v>
      </c>
      <c r="P116" s="11" t="n">
        <v>2.115</v>
      </c>
      <c r="Q116" s="11" t="n">
        <v>1.454</v>
      </c>
      <c r="R116" s="11" t="n">
        <v>2.19</v>
      </c>
      <c r="S116" s="11" t="n">
        <v>0.45</v>
      </c>
      <c r="T116" s="11" t="n">
        <f aca="false">SUM(N116:S116)</f>
        <v>9.181</v>
      </c>
      <c r="U116" s="11" t="n">
        <v>0</v>
      </c>
      <c r="V116" s="11" t="n">
        <v>0</v>
      </c>
      <c r="W116" s="11" t="n">
        <v>1.1</v>
      </c>
      <c r="X116" s="11" t="n">
        <v>0</v>
      </c>
      <c r="Y116" s="11" t="n">
        <v>7.26</v>
      </c>
      <c r="Z116" s="11" t="n">
        <v>1.1</v>
      </c>
      <c r="AA116" s="11" t="n">
        <f aca="false">SUM(U116:Z116)</f>
        <v>9.46</v>
      </c>
      <c r="AB116" s="11" t="n">
        <v>0</v>
      </c>
      <c r="AC116" s="11" t="n">
        <v>0</v>
      </c>
      <c r="AD116" s="11" t="n">
        <v>0.375</v>
      </c>
      <c r="AE116" s="11" t="n">
        <v>0</v>
      </c>
      <c r="AF116" s="11" t="n">
        <v>2.44</v>
      </c>
      <c r="AG116" s="11" t="n">
        <v>0.375</v>
      </c>
      <c r="AH116" s="11" t="n">
        <f aca="false">SUM(AB116:AG116)</f>
        <v>3.19</v>
      </c>
    </row>
    <row r="117" customFormat="false" ht="15" hidden="false" customHeight="false" outlineLevel="2" collapsed="false">
      <c r="A117" s="8" t="s">
        <v>1180</v>
      </c>
      <c r="B117" s="12" t="s">
        <v>1178</v>
      </c>
      <c r="C117" s="8" t="s">
        <v>1179</v>
      </c>
      <c r="D117" s="12" t="s">
        <v>655</v>
      </c>
      <c r="E117" s="16"/>
      <c r="F117" s="9" t="str">
        <f aca="false">IF($E117="","",IFERROR(INDEX(担当者マスタ!$B$2:$B$101,MATCH($E117,担当者マスタ!$A$2:$A$101,0)),"※マスタ未登録"))</f>
        <v/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f aca="false">SUM(G117:L117)</f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f aca="false">SUM(N117:S117)</f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30</v>
      </c>
      <c r="Z117" s="11" t="n">
        <v>0</v>
      </c>
      <c r="AA117" s="11" t="n">
        <f aca="false">SUM(U117:Z117)</f>
        <v>30</v>
      </c>
      <c r="AB117" s="11" t="n">
        <v>0</v>
      </c>
      <c r="AC117" s="11" t="n">
        <v>0</v>
      </c>
      <c r="AD117" s="11" t="n">
        <v>0</v>
      </c>
      <c r="AE117" s="11" t="n">
        <v>0</v>
      </c>
      <c r="AF117" s="11" t="n">
        <v>0</v>
      </c>
      <c r="AG117" s="11" t="n">
        <v>0</v>
      </c>
      <c r="AH117" s="11" t="n">
        <f aca="false">SUM(AB117:AG117)</f>
        <v>0</v>
      </c>
    </row>
    <row r="118" customFormat="false" ht="15" hidden="false" customHeight="false" outlineLevel="2" collapsed="false">
      <c r="A118" s="8" t="s">
        <v>1181</v>
      </c>
      <c r="B118" s="12" t="s">
        <v>659</v>
      </c>
      <c r="C118" s="8" t="s">
        <v>1179</v>
      </c>
      <c r="D118" s="12" t="s">
        <v>655</v>
      </c>
      <c r="E118" s="16"/>
      <c r="F118" s="9" t="str">
        <f aca="false">IF($E118="","",IFERROR(INDEX(担当者マスタ!$B$2:$B$101,MATCH($E118,担当者マスタ!$A$2:$A$101,0)),"※マスタ未登録"))</f>
        <v/>
      </c>
      <c r="G118" s="11" t="n">
        <v>2.4</v>
      </c>
      <c r="H118" s="11" t="n">
        <v>0</v>
      </c>
      <c r="I118" s="11" t="n">
        <v>0</v>
      </c>
      <c r="J118" s="11" t="n">
        <v>1.5</v>
      </c>
      <c r="K118" s="11" t="n">
        <v>0</v>
      </c>
      <c r="L118" s="11" t="n">
        <v>0</v>
      </c>
      <c r="M118" s="11" t="n">
        <f aca="false">SUM(G118:L118)</f>
        <v>3.9</v>
      </c>
      <c r="N118" s="11" t="n">
        <v>0.288</v>
      </c>
      <c r="O118" s="11" t="n">
        <v>0</v>
      </c>
      <c r="P118" s="11" t="n">
        <v>0</v>
      </c>
      <c r="Q118" s="11" t="n">
        <v>0.18</v>
      </c>
      <c r="R118" s="11" t="n">
        <v>0</v>
      </c>
      <c r="S118" s="11" t="n">
        <v>0</v>
      </c>
      <c r="T118" s="11" t="n">
        <f aca="false">SUM(N118:S118)</f>
        <v>0.468</v>
      </c>
      <c r="U118" s="11" t="n">
        <v>1.35</v>
      </c>
      <c r="V118" s="11" t="n">
        <v>0</v>
      </c>
      <c r="W118" s="11" t="n">
        <v>0</v>
      </c>
      <c r="X118" s="11" t="n">
        <v>0.15</v>
      </c>
      <c r="Y118" s="11" t="n">
        <v>0</v>
      </c>
      <c r="Z118" s="11" t="n">
        <v>0</v>
      </c>
      <c r="AA118" s="11" t="n">
        <f aca="false">SUM(U118:Z118)</f>
        <v>1.5</v>
      </c>
      <c r="AB118" s="11" t="n">
        <v>0.162</v>
      </c>
      <c r="AC118" s="11" t="n">
        <v>0</v>
      </c>
      <c r="AD118" s="11" t="n">
        <v>0</v>
      </c>
      <c r="AE118" s="11" t="n">
        <v>0.018</v>
      </c>
      <c r="AF118" s="11" t="n">
        <v>0</v>
      </c>
      <c r="AG118" s="11" t="n">
        <v>0</v>
      </c>
      <c r="AH118" s="11" t="n">
        <f aca="false">SUM(AB118:AG118)</f>
        <v>0.18</v>
      </c>
    </row>
    <row r="119" customFormat="false" ht="15" hidden="false" customHeight="false" outlineLevel="2" collapsed="false">
      <c r="A119" s="8" t="s">
        <v>1182</v>
      </c>
      <c r="B119" s="12" t="s">
        <v>1183</v>
      </c>
      <c r="C119" s="8" t="s">
        <v>1179</v>
      </c>
      <c r="D119" s="12" t="s">
        <v>655</v>
      </c>
      <c r="E119" s="16"/>
      <c r="F119" s="9" t="str">
        <f aca="false">IF($E119="","",IFERROR(INDEX(担当者マスタ!$B$2:$B$101,MATCH($E119,担当者マスタ!$A$2:$A$101,0)),"※マスタ未登録"))</f>
        <v/>
      </c>
      <c r="G119" s="11" t="n">
        <v>10.9</v>
      </c>
      <c r="H119" s="11" t="n">
        <v>3.9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f aca="false">SUM(G119:L119)</f>
        <v>14.8</v>
      </c>
      <c r="N119" s="11" t="n">
        <v>3.36</v>
      </c>
      <c r="O119" s="11" t="n">
        <v>0.96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f aca="false">SUM(N119:S119)</f>
        <v>4.32</v>
      </c>
      <c r="U119" s="11" t="n">
        <v>0</v>
      </c>
      <c r="V119" s="11" t="n">
        <v>4.55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f aca="false">SUM(U119:Z119)</f>
        <v>4.55</v>
      </c>
      <c r="AB119" s="11" t="n">
        <v>0</v>
      </c>
      <c r="AC119" s="11" t="n">
        <v>1.12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f aca="false">SUM(AB119:AG119)</f>
        <v>1.12</v>
      </c>
    </row>
    <row r="120" customFormat="false" ht="15" hidden="false" customHeight="false" outlineLevel="2" collapsed="false">
      <c r="A120" s="8" t="s">
        <v>1184</v>
      </c>
      <c r="B120" s="12" t="s">
        <v>1185</v>
      </c>
      <c r="C120" s="8" t="s">
        <v>1179</v>
      </c>
      <c r="D120" s="12" t="s">
        <v>655</v>
      </c>
      <c r="E120" s="16"/>
      <c r="F120" s="9" t="str">
        <f aca="false">IF($E120="","",IFERROR(INDEX(担当者マスタ!$B$2:$B$101,MATCH($E120,担当者マスタ!$A$2:$A$101,0)),"※マスタ未登録"))</f>
        <v/>
      </c>
      <c r="G120" s="11" t="n">
        <v>0</v>
      </c>
      <c r="H120" s="11" t="n">
        <v>25.64</v>
      </c>
      <c r="I120" s="11" t="n">
        <v>22.34</v>
      </c>
      <c r="J120" s="11" t="n">
        <v>0</v>
      </c>
      <c r="K120" s="11" t="n">
        <v>0</v>
      </c>
      <c r="L120" s="11" t="n">
        <v>0</v>
      </c>
      <c r="M120" s="11" t="n">
        <f aca="false">SUM(G120:L120)</f>
        <v>47.98</v>
      </c>
      <c r="N120" s="11" t="n">
        <v>0</v>
      </c>
      <c r="O120" s="11" t="n">
        <v>9.567</v>
      </c>
      <c r="P120" s="11" t="n">
        <v>7.677</v>
      </c>
      <c r="Q120" s="11" t="n">
        <v>0</v>
      </c>
      <c r="R120" s="11" t="n">
        <v>0</v>
      </c>
      <c r="S120" s="11" t="n">
        <v>0</v>
      </c>
      <c r="T120" s="11" t="n">
        <f aca="false">SUM(N120:S120)</f>
        <v>17.244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f aca="false">SUM(U120:Z120)</f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0</v>
      </c>
      <c r="AH120" s="11" t="n">
        <f aca="false">SUM(AB120:AG120)</f>
        <v>0</v>
      </c>
    </row>
    <row r="121" customFormat="false" ht="15" hidden="false" customHeight="false" outlineLevel="2" collapsed="false">
      <c r="A121" s="8" t="s">
        <v>1186</v>
      </c>
      <c r="B121" s="12" t="s">
        <v>1187</v>
      </c>
      <c r="C121" s="8" t="s">
        <v>1179</v>
      </c>
      <c r="D121" s="12" t="s">
        <v>655</v>
      </c>
      <c r="E121" s="16"/>
      <c r="F121" s="9" t="str">
        <f aca="false">IF($E121="","",IFERROR(INDEX(担当者マスタ!$B$2:$B$101,MATCH($E121,担当者マスタ!$A$2:$A$101,0)),"※マスタ未登録"))</f>
        <v/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12.48</v>
      </c>
      <c r="L121" s="11" t="n">
        <v>0</v>
      </c>
      <c r="M121" s="11" t="n">
        <f aca="false">SUM(G121:L121)</f>
        <v>12.48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2.72</v>
      </c>
      <c r="S121" s="11" t="n">
        <v>0</v>
      </c>
      <c r="T121" s="11" t="n">
        <f aca="false">SUM(N121:S121)</f>
        <v>2.72</v>
      </c>
      <c r="U121" s="11" t="n">
        <v>0</v>
      </c>
      <c r="V121" s="11" t="n">
        <v>0</v>
      </c>
      <c r="W121" s="11" t="n">
        <v>30.595</v>
      </c>
      <c r="X121" s="11" t="n">
        <v>0</v>
      </c>
      <c r="Y121" s="11" t="n">
        <v>0</v>
      </c>
      <c r="Z121" s="11" t="n">
        <v>0</v>
      </c>
      <c r="AA121" s="11" t="n">
        <f aca="false">SUM(U121:Z121)</f>
        <v>30.595</v>
      </c>
      <c r="AB121" s="11" t="n">
        <v>0</v>
      </c>
      <c r="AC121" s="11" t="n">
        <v>0</v>
      </c>
      <c r="AD121" s="11" t="n">
        <v>7.235</v>
      </c>
      <c r="AE121" s="11" t="n">
        <v>0</v>
      </c>
      <c r="AF121" s="11" t="n">
        <v>0</v>
      </c>
      <c r="AG121" s="11" t="n">
        <v>0</v>
      </c>
      <c r="AH121" s="11" t="n">
        <f aca="false">SUM(AB121:AG121)</f>
        <v>7.235</v>
      </c>
    </row>
    <row r="122" customFormat="false" ht="15" hidden="false" customHeight="false" outlineLevel="1" collapsed="false">
      <c r="A122" s="19"/>
      <c r="B122" s="19"/>
      <c r="C122" s="17" t="s">
        <v>1948</v>
      </c>
      <c r="D122" s="19" t="s">
        <v>655</v>
      </c>
      <c r="E122" s="19"/>
      <c r="F122" s="19"/>
      <c r="G122" s="18" t="n">
        <f aca="false">SUBTOTAL(9,G116:G121)</f>
        <v>14.4</v>
      </c>
      <c r="H122" s="18" t="n">
        <f aca="false">SUBTOTAL(9,H116:H121)</f>
        <v>36.734</v>
      </c>
      <c r="I122" s="18" t="n">
        <f aca="false">SUBTOTAL(9,I116:I121)</f>
        <v>29.94</v>
      </c>
      <c r="J122" s="18" t="n">
        <f aca="false">SUBTOTAL(9,J116:J121)</f>
        <v>8.501</v>
      </c>
      <c r="K122" s="18" t="n">
        <f aca="false">SUBTOTAL(9,K116:K121)</f>
        <v>22.624</v>
      </c>
      <c r="L122" s="18" t="n">
        <f aca="false">SUBTOTAL(9,L116:L121)</f>
        <v>1.9</v>
      </c>
      <c r="M122" s="18" t="n">
        <f aca="false">SUBTOTAL(9,M116:M121)</f>
        <v>114.099</v>
      </c>
      <c r="N122" s="18" t="n">
        <f aca="false">SUBTOTAL(9,N116:N121)</f>
        <v>3.973</v>
      </c>
      <c r="O122" s="18" t="n">
        <f aca="false">SUBTOTAL(9,O116:O121)</f>
        <v>13.174</v>
      </c>
      <c r="P122" s="18" t="n">
        <f aca="false">SUBTOTAL(9,P116:P121)</f>
        <v>9.792</v>
      </c>
      <c r="Q122" s="18" t="n">
        <f aca="false">SUBTOTAL(9,Q116:Q121)</f>
        <v>1.634</v>
      </c>
      <c r="R122" s="18" t="n">
        <f aca="false">SUBTOTAL(9,R116:R121)</f>
        <v>4.91</v>
      </c>
      <c r="S122" s="18" t="n">
        <f aca="false">SUBTOTAL(9,S116:S121)</f>
        <v>0.45</v>
      </c>
      <c r="T122" s="18" t="n">
        <f aca="false">SUBTOTAL(9,T116:T121)</f>
        <v>33.933</v>
      </c>
      <c r="U122" s="18" t="n">
        <f aca="false">SUBTOTAL(9,U116:U121)</f>
        <v>1.35</v>
      </c>
      <c r="V122" s="18" t="n">
        <f aca="false">SUBTOTAL(9,V116:V121)</f>
        <v>4.55</v>
      </c>
      <c r="W122" s="18" t="n">
        <f aca="false">SUBTOTAL(9,W116:W121)</f>
        <v>31.695</v>
      </c>
      <c r="X122" s="18" t="n">
        <f aca="false">SUBTOTAL(9,X116:X121)</f>
        <v>0.15</v>
      </c>
      <c r="Y122" s="18" t="n">
        <f aca="false">SUBTOTAL(9,Y116:Y121)</f>
        <v>37.26</v>
      </c>
      <c r="Z122" s="18" t="n">
        <f aca="false">SUBTOTAL(9,Z116:Z121)</f>
        <v>1.1</v>
      </c>
      <c r="AA122" s="18" t="n">
        <f aca="false">SUBTOTAL(9,AA116:AA121)</f>
        <v>76.105</v>
      </c>
      <c r="AB122" s="18" t="n">
        <f aca="false">SUBTOTAL(9,AB116:AB121)</f>
        <v>0.162</v>
      </c>
      <c r="AC122" s="18" t="n">
        <f aca="false">SUBTOTAL(9,AC116:AC121)</f>
        <v>1.12</v>
      </c>
      <c r="AD122" s="18" t="n">
        <f aca="false">SUBTOTAL(9,AD116:AD121)</f>
        <v>7.61</v>
      </c>
      <c r="AE122" s="18" t="n">
        <f aca="false">SUBTOTAL(9,AE116:AE121)</f>
        <v>0.018</v>
      </c>
      <c r="AF122" s="18" t="n">
        <f aca="false">SUBTOTAL(9,AF116:AF121)</f>
        <v>2.44</v>
      </c>
      <c r="AG122" s="18" t="n">
        <f aca="false">SUBTOTAL(9,AG116:AG121)</f>
        <v>0.375</v>
      </c>
      <c r="AH122" s="18" t="n">
        <f aca="false">SUBTOTAL(9,AH116:AH121)</f>
        <v>11.725</v>
      </c>
    </row>
    <row r="123" customFormat="false" ht="15" hidden="false" customHeight="false" outlineLevel="2" collapsed="false">
      <c r="A123" s="8" t="s">
        <v>1523</v>
      </c>
      <c r="B123" s="12" t="s">
        <v>1524</v>
      </c>
      <c r="C123" s="8" t="s">
        <v>1525</v>
      </c>
      <c r="D123" s="12" t="s">
        <v>1526</v>
      </c>
      <c r="E123" s="16"/>
      <c r="F123" s="9" t="str">
        <f aca="false">IF($E123="","",IFERROR(INDEX(担当者マスタ!$B$2:$B$101,MATCH($E123,担当者マスタ!$A$2:$A$101,0)),"※マスタ未登録"))</f>
        <v/>
      </c>
      <c r="G123" s="11" t="n">
        <v>7.864</v>
      </c>
      <c r="H123" s="11" t="n">
        <v>0</v>
      </c>
      <c r="I123" s="11" t="n">
        <v>2.23</v>
      </c>
      <c r="J123" s="11" t="n">
        <v>0</v>
      </c>
      <c r="K123" s="11" t="n">
        <v>120.015</v>
      </c>
      <c r="L123" s="11" t="n">
        <v>0</v>
      </c>
      <c r="M123" s="11" t="n">
        <f aca="false">SUM(G123:L123)</f>
        <v>130.109</v>
      </c>
      <c r="N123" s="11" t="n">
        <v>2.086</v>
      </c>
      <c r="O123" s="11" t="n">
        <v>0</v>
      </c>
      <c r="P123" s="11" t="n">
        <v>0.36</v>
      </c>
      <c r="Q123" s="11" t="n">
        <v>0</v>
      </c>
      <c r="R123" s="11" t="n">
        <v>33.163</v>
      </c>
      <c r="S123" s="11" t="n">
        <v>0</v>
      </c>
      <c r="T123" s="11" t="n">
        <f aca="false">SUM(N123:S123)</f>
        <v>35.609</v>
      </c>
      <c r="U123" s="11" t="n">
        <v>3.75</v>
      </c>
      <c r="V123" s="11" t="n">
        <v>2.23</v>
      </c>
      <c r="W123" s="11" t="n">
        <v>7.5</v>
      </c>
      <c r="X123" s="11" t="n">
        <v>110.848</v>
      </c>
      <c r="Y123" s="11" t="n">
        <v>13.07</v>
      </c>
      <c r="Z123" s="11" t="n">
        <v>0</v>
      </c>
      <c r="AA123" s="11" t="n">
        <f aca="false">SUM(U123:Z123)</f>
        <v>137.398</v>
      </c>
      <c r="AB123" s="11" t="n">
        <v>1.14</v>
      </c>
      <c r="AC123" s="11" t="n">
        <v>0.38</v>
      </c>
      <c r="AD123" s="11" t="n">
        <v>2.28</v>
      </c>
      <c r="AE123" s="11" t="n">
        <v>30.982</v>
      </c>
      <c r="AF123" s="11" t="n">
        <v>3.581</v>
      </c>
      <c r="AG123" s="11" t="n">
        <v>0</v>
      </c>
      <c r="AH123" s="11" t="n">
        <f aca="false">SUM(AB123:AG123)</f>
        <v>38.363</v>
      </c>
    </row>
    <row r="124" customFormat="false" ht="15" hidden="false" customHeight="false" outlineLevel="2" collapsed="false">
      <c r="A124" s="8" t="s">
        <v>1527</v>
      </c>
      <c r="B124" s="9" t="s">
        <v>1528</v>
      </c>
      <c r="C124" s="8" t="s">
        <v>1525</v>
      </c>
      <c r="D124" s="12" t="s">
        <v>1526</v>
      </c>
      <c r="E124" s="16"/>
      <c r="F124" s="9" t="str">
        <f aca="false">IF($E124="","",IFERROR(INDEX(担当者マスタ!$B$2:$B$101,MATCH($E124,担当者マスタ!$A$2:$A$101,0)),"※マスタ未登録"))</f>
        <v/>
      </c>
      <c r="G124" s="11" t="n">
        <v>0</v>
      </c>
      <c r="H124" s="11" t="n">
        <v>0</v>
      </c>
      <c r="I124" s="11" t="n">
        <v>20.65</v>
      </c>
      <c r="J124" s="11" t="n">
        <v>0</v>
      </c>
      <c r="K124" s="11" t="n">
        <v>0</v>
      </c>
      <c r="L124" s="11" t="n">
        <v>0</v>
      </c>
      <c r="M124" s="11" t="n">
        <f aca="false">SUM(G124:L124)</f>
        <v>20.65</v>
      </c>
      <c r="N124" s="11" t="n">
        <v>0</v>
      </c>
      <c r="O124" s="11" t="n">
        <v>0</v>
      </c>
      <c r="P124" s="11" t="n">
        <v>6.915</v>
      </c>
      <c r="Q124" s="11" t="n">
        <v>0</v>
      </c>
      <c r="R124" s="11" t="n">
        <v>0</v>
      </c>
      <c r="S124" s="11" t="n">
        <v>0</v>
      </c>
      <c r="T124" s="11" t="n">
        <f aca="false">SUM(N124:S124)</f>
        <v>6.915</v>
      </c>
      <c r="U124" s="11" t="n">
        <v>0</v>
      </c>
      <c r="V124" s="11" t="n">
        <v>21.07</v>
      </c>
      <c r="W124" s="11" t="n">
        <v>0</v>
      </c>
      <c r="X124" s="11" t="n">
        <v>0</v>
      </c>
      <c r="Y124" s="11" t="n">
        <v>0</v>
      </c>
      <c r="Z124" s="11" t="n">
        <v>1.64</v>
      </c>
      <c r="AA124" s="11" t="n">
        <f aca="false">SUM(U124:Z124)</f>
        <v>22.71</v>
      </c>
      <c r="AB124" s="11" t="n">
        <v>0</v>
      </c>
      <c r="AC124" s="11" t="n">
        <v>8.78</v>
      </c>
      <c r="AD124" s="11" t="n">
        <v>0</v>
      </c>
      <c r="AE124" s="11" t="n">
        <v>0</v>
      </c>
      <c r="AF124" s="11" t="n">
        <v>0</v>
      </c>
      <c r="AG124" s="11" t="n">
        <v>0.116</v>
      </c>
      <c r="AH124" s="11" t="n">
        <f aca="false">SUM(AB124:AG124)</f>
        <v>8.896</v>
      </c>
    </row>
    <row r="125" customFormat="false" ht="15" hidden="false" customHeight="false" outlineLevel="2" collapsed="false">
      <c r="A125" s="8" t="s">
        <v>1529</v>
      </c>
      <c r="B125" s="9" t="s">
        <v>1530</v>
      </c>
      <c r="C125" s="8" t="s">
        <v>1525</v>
      </c>
      <c r="D125" s="12" t="s">
        <v>1526</v>
      </c>
      <c r="E125" s="16"/>
      <c r="F125" s="9" t="str">
        <f aca="false">IF($E125="","",IFERROR(INDEX(担当者マスタ!$B$2:$B$101,MATCH($E125,担当者マスタ!$A$2:$A$101,0)),"※マスタ未登録"))</f>
        <v/>
      </c>
      <c r="G125" s="11" t="n">
        <v>71.845</v>
      </c>
      <c r="H125" s="11" t="n">
        <v>31.296</v>
      </c>
      <c r="I125" s="11" t="n">
        <v>22.87</v>
      </c>
      <c r="J125" s="11" t="n">
        <v>17.019</v>
      </c>
      <c r="K125" s="11" t="n">
        <v>42.05</v>
      </c>
      <c r="L125" s="11" t="n">
        <v>52.317</v>
      </c>
      <c r="M125" s="11" t="n">
        <f aca="false">SUM(G125:L125)</f>
        <v>237.397</v>
      </c>
      <c r="N125" s="11" t="n">
        <v>9.174</v>
      </c>
      <c r="O125" s="11" t="n">
        <v>3.462</v>
      </c>
      <c r="P125" s="11" t="n">
        <v>2.52</v>
      </c>
      <c r="Q125" s="11" t="n">
        <v>1.874</v>
      </c>
      <c r="R125" s="11" t="n">
        <v>3.901</v>
      </c>
      <c r="S125" s="11" t="n">
        <v>6.087</v>
      </c>
      <c r="T125" s="11" t="n">
        <f aca="false">SUM(N125:S125)</f>
        <v>27.018</v>
      </c>
      <c r="U125" s="11" t="n">
        <v>51.501</v>
      </c>
      <c r="V125" s="11" t="n">
        <v>70.728</v>
      </c>
      <c r="W125" s="11" t="n">
        <v>93.364</v>
      </c>
      <c r="X125" s="11" t="n">
        <v>5.845</v>
      </c>
      <c r="Y125" s="11" t="n">
        <v>47.253</v>
      </c>
      <c r="Z125" s="11" t="n">
        <v>63.29</v>
      </c>
      <c r="AA125" s="11" t="n">
        <f aca="false">SUM(U125:Z125)</f>
        <v>331.981</v>
      </c>
      <c r="AB125" s="11" t="n">
        <v>4.821</v>
      </c>
      <c r="AC125" s="11" t="n">
        <v>7.805</v>
      </c>
      <c r="AD125" s="11" t="n">
        <v>10.462</v>
      </c>
      <c r="AE125" s="11" t="n">
        <v>0.644</v>
      </c>
      <c r="AF125" s="11" t="n">
        <v>5.231</v>
      </c>
      <c r="AG125" s="11" t="n">
        <v>6.261</v>
      </c>
      <c r="AH125" s="11" t="n">
        <f aca="false">SUM(AB125:AG125)</f>
        <v>35.224</v>
      </c>
    </row>
    <row r="126" customFormat="false" ht="15" hidden="false" customHeight="false" outlineLevel="2" collapsed="false">
      <c r="A126" s="8" t="s">
        <v>1531</v>
      </c>
      <c r="B126" s="12" t="s">
        <v>1532</v>
      </c>
      <c r="C126" s="8" t="s">
        <v>1525</v>
      </c>
      <c r="D126" s="12" t="s">
        <v>1526</v>
      </c>
      <c r="E126" s="16"/>
      <c r="F126" s="9" t="str">
        <f aca="false">IF($E126="","",IFERROR(INDEX(担当者マスタ!$B$2:$B$101,MATCH($E126,担当者マスタ!$A$2:$A$101,0)),"※マスタ未登録"))</f>
        <v/>
      </c>
      <c r="G126" s="11" t="n">
        <v>16.55</v>
      </c>
      <c r="H126" s="11" t="n">
        <v>31.9</v>
      </c>
      <c r="I126" s="11" t="n">
        <v>14.2</v>
      </c>
      <c r="J126" s="11" t="n">
        <v>9.8</v>
      </c>
      <c r="K126" s="11" t="n">
        <v>9.8</v>
      </c>
      <c r="L126" s="11" t="n">
        <v>21.25</v>
      </c>
      <c r="M126" s="11" t="n">
        <f aca="false">SUM(G126:L126)</f>
        <v>103.5</v>
      </c>
      <c r="N126" s="11" t="n">
        <v>6.85</v>
      </c>
      <c r="O126" s="11" t="n">
        <v>12.8</v>
      </c>
      <c r="P126" s="11" t="n">
        <v>5.52</v>
      </c>
      <c r="Q126" s="11" t="n">
        <v>3.52</v>
      </c>
      <c r="R126" s="11" t="n">
        <v>3.52</v>
      </c>
      <c r="S126" s="11" t="n">
        <v>7.79</v>
      </c>
      <c r="T126" s="11" t="n">
        <f aca="false">SUM(N126:S126)</f>
        <v>40</v>
      </c>
      <c r="U126" s="11" t="n">
        <v>12.55</v>
      </c>
      <c r="V126" s="11" t="n">
        <v>28.57</v>
      </c>
      <c r="W126" s="11" t="n">
        <v>11.45</v>
      </c>
      <c r="X126" s="11" t="n">
        <v>12.6</v>
      </c>
      <c r="Y126" s="11" t="n">
        <v>21.25</v>
      </c>
      <c r="Z126" s="11" t="n">
        <v>15.35</v>
      </c>
      <c r="AA126" s="11" t="n">
        <f aca="false">SUM(U126:Z126)</f>
        <v>101.77</v>
      </c>
      <c r="AB126" s="11" t="n">
        <v>4.77</v>
      </c>
      <c r="AC126" s="11" t="n">
        <v>11.345</v>
      </c>
      <c r="AD126" s="11" t="n">
        <v>4.27</v>
      </c>
      <c r="AE126" s="11" t="n">
        <v>5.06</v>
      </c>
      <c r="AF126" s="11" t="n">
        <v>7.79</v>
      </c>
      <c r="AG126" s="11" t="n">
        <v>5.98</v>
      </c>
      <c r="AH126" s="11" t="n">
        <f aca="false">SUM(AB126:AG126)</f>
        <v>39.215</v>
      </c>
    </row>
    <row r="127" customFormat="false" ht="15" hidden="false" customHeight="false" outlineLevel="2" collapsed="false">
      <c r="A127" s="8" t="s">
        <v>1533</v>
      </c>
      <c r="B127" s="9" t="s">
        <v>1534</v>
      </c>
      <c r="C127" s="8" t="s">
        <v>1525</v>
      </c>
      <c r="D127" s="12" t="s">
        <v>1526</v>
      </c>
      <c r="E127" s="16"/>
      <c r="F127" s="9" t="str">
        <f aca="false">IF($E127="","",IFERROR(INDEX(担当者マスタ!$B$2:$B$101,MATCH($E127,担当者マスタ!$A$2:$A$101,0)),"※マスタ未登録"))</f>
        <v/>
      </c>
      <c r="G127" s="11" t="n">
        <v>14.537</v>
      </c>
      <c r="H127" s="11" t="n">
        <v>8.419</v>
      </c>
      <c r="I127" s="11" t="n">
        <v>8.071</v>
      </c>
      <c r="J127" s="11" t="n">
        <v>23.587</v>
      </c>
      <c r="K127" s="11" t="n">
        <v>1.317</v>
      </c>
      <c r="L127" s="11" t="n">
        <v>15.27</v>
      </c>
      <c r="M127" s="11" t="n">
        <f aca="false">SUM(G127:L127)</f>
        <v>71.201</v>
      </c>
      <c r="N127" s="11" t="n">
        <v>4.537</v>
      </c>
      <c r="O127" s="11" t="n">
        <v>1.154</v>
      </c>
      <c r="P127" s="11" t="n">
        <v>1.533</v>
      </c>
      <c r="Q127" s="11" t="n">
        <v>5.364</v>
      </c>
      <c r="R127" s="11" t="n">
        <v>0.227</v>
      </c>
      <c r="S127" s="11" t="n">
        <v>4.137</v>
      </c>
      <c r="T127" s="11" t="n">
        <f aca="false">SUM(N127:S127)</f>
        <v>16.952</v>
      </c>
      <c r="U127" s="11" t="n">
        <v>18.637</v>
      </c>
      <c r="V127" s="11" t="n">
        <v>5.27</v>
      </c>
      <c r="W127" s="11" t="n">
        <v>14.802</v>
      </c>
      <c r="X127" s="11" t="n">
        <v>8.79</v>
      </c>
      <c r="Y127" s="11" t="n">
        <v>17.557</v>
      </c>
      <c r="Z127" s="11" t="n">
        <v>1.317</v>
      </c>
      <c r="AA127" s="11" t="n">
        <f aca="false">SUM(U127:Z127)</f>
        <v>66.373</v>
      </c>
      <c r="AB127" s="11" t="n">
        <v>3.777</v>
      </c>
      <c r="AC127" s="11" t="n">
        <v>0.662</v>
      </c>
      <c r="AD127" s="11" t="n">
        <v>2.776</v>
      </c>
      <c r="AE127" s="11" t="n">
        <v>1.708</v>
      </c>
      <c r="AF127" s="11" t="n">
        <v>3.669</v>
      </c>
      <c r="AG127" s="11" t="n">
        <v>0.165</v>
      </c>
      <c r="AH127" s="11" t="n">
        <f aca="false">SUM(AB127:AG127)</f>
        <v>12.757</v>
      </c>
    </row>
    <row r="128" customFormat="false" ht="15" hidden="false" customHeight="false" outlineLevel="2" collapsed="false">
      <c r="A128" s="8" t="s">
        <v>1535</v>
      </c>
      <c r="B128" s="12" t="s">
        <v>1536</v>
      </c>
      <c r="C128" s="8" t="s">
        <v>1525</v>
      </c>
      <c r="D128" s="12" t="s">
        <v>1526</v>
      </c>
      <c r="E128" s="16"/>
      <c r="F128" s="9" t="str">
        <f aca="false">IF($E128="","",IFERROR(INDEX(担当者マスタ!$B$2:$B$101,MATCH($E128,担当者マスタ!$A$2:$A$101,0)),"※マスタ未登録"))</f>
        <v/>
      </c>
      <c r="G128" s="11" t="n">
        <v>0</v>
      </c>
      <c r="H128" s="11" t="n">
        <v>0</v>
      </c>
      <c r="I128" s="11" t="n">
        <v>53.95</v>
      </c>
      <c r="J128" s="11" t="n">
        <v>0</v>
      </c>
      <c r="K128" s="11" t="n">
        <v>0</v>
      </c>
      <c r="L128" s="11" t="n">
        <v>0</v>
      </c>
      <c r="M128" s="11" t="n">
        <f aca="false">SUM(G128:L128)</f>
        <v>53.95</v>
      </c>
      <c r="N128" s="11" t="n">
        <v>0</v>
      </c>
      <c r="O128" s="11" t="n">
        <v>0</v>
      </c>
      <c r="P128" s="11" t="n">
        <v>5.95</v>
      </c>
      <c r="Q128" s="11" t="n">
        <v>0</v>
      </c>
      <c r="R128" s="11" t="n">
        <v>0</v>
      </c>
      <c r="S128" s="11" t="n">
        <v>0</v>
      </c>
      <c r="T128" s="11" t="n">
        <f aca="false">SUM(N128:S128)</f>
        <v>5.95</v>
      </c>
      <c r="U128" s="11" t="n">
        <v>53.95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f aca="false">SUM(U128:Z128)</f>
        <v>53.95</v>
      </c>
      <c r="AB128" s="11" t="n">
        <v>5.95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0</v>
      </c>
      <c r="AH128" s="11" t="n">
        <f aca="false">SUM(AB128:AG128)</f>
        <v>5.95</v>
      </c>
    </row>
    <row r="129" customFormat="false" ht="15" hidden="false" customHeight="false" outlineLevel="2" collapsed="false">
      <c r="A129" s="8" t="s">
        <v>1537</v>
      </c>
      <c r="B129" s="12" t="s">
        <v>1538</v>
      </c>
      <c r="C129" s="8" t="s">
        <v>1525</v>
      </c>
      <c r="D129" s="12" t="s">
        <v>1526</v>
      </c>
      <c r="E129" s="16"/>
      <c r="F129" s="9" t="str">
        <f aca="false">IF($E129="","",IFERROR(INDEX(担当者マスタ!$B$2:$B$101,MATCH($E129,担当者マスタ!$A$2:$A$101,0)),"※マスタ未登録"))</f>
        <v/>
      </c>
      <c r="G129" s="11" t="n">
        <v>10.45</v>
      </c>
      <c r="H129" s="11" t="n">
        <v>7.6</v>
      </c>
      <c r="I129" s="11" t="n">
        <v>3.8</v>
      </c>
      <c r="J129" s="11" t="n">
        <v>2.85</v>
      </c>
      <c r="K129" s="11" t="n">
        <v>4.4</v>
      </c>
      <c r="L129" s="11" t="n">
        <v>13.385</v>
      </c>
      <c r="M129" s="11" t="n">
        <f aca="false">SUM(G129:L129)</f>
        <v>42.485</v>
      </c>
      <c r="N129" s="11" t="n">
        <v>2.589</v>
      </c>
      <c r="O129" s="11" t="n">
        <v>1.984</v>
      </c>
      <c r="P129" s="11" t="n">
        <v>0.992</v>
      </c>
      <c r="Q129" s="11" t="n">
        <v>0.605</v>
      </c>
      <c r="R129" s="11" t="n">
        <v>1.9</v>
      </c>
      <c r="S129" s="11" t="n">
        <v>3.695</v>
      </c>
      <c r="T129" s="11" t="n">
        <f aca="false">SUM(N129:S129)</f>
        <v>11.765</v>
      </c>
      <c r="U129" s="11" t="n">
        <v>11.9</v>
      </c>
      <c r="V129" s="11" t="n">
        <v>16.2</v>
      </c>
      <c r="W129" s="11" t="n">
        <v>4.3</v>
      </c>
      <c r="X129" s="11" t="n">
        <v>14</v>
      </c>
      <c r="Y129" s="11" t="n">
        <v>4.3</v>
      </c>
      <c r="Z129" s="11" t="n">
        <v>17.175</v>
      </c>
      <c r="AA129" s="11" t="n">
        <f aca="false">SUM(U129:Z129)</f>
        <v>67.875</v>
      </c>
      <c r="AB129" s="11" t="n">
        <v>3.464</v>
      </c>
      <c r="AC129" s="11" t="n">
        <v>4.944</v>
      </c>
      <c r="AD129" s="11" t="n">
        <v>1.48</v>
      </c>
      <c r="AE129" s="11" t="n">
        <v>4.184</v>
      </c>
      <c r="AF129" s="11" t="n">
        <v>1.48</v>
      </c>
      <c r="AG129" s="11" t="n">
        <v>4.77</v>
      </c>
      <c r="AH129" s="11" t="n">
        <f aca="false">SUM(AB129:AG129)</f>
        <v>20.322</v>
      </c>
    </row>
    <row r="130" customFormat="false" ht="15" hidden="false" customHeight="false" outlineLevel="2" collapsed="false">
      <c r="A130" s="8" t="s">
        <v>1539</v>
      </c>
      <c r="B130" s="12" t="s">
        <v>1540</v>
      </c>
      <c r="C130" s="8" t="s">
        <v>1525</v>
      </c>
      <c r="D130" s="12" t="s">
        <v>1526</v>
      </c>
      <c r="E130" s="16"/>
      <c r="F130" s="9" t="str">
        <f aca="false">IF($E130="","",IFERROR(INDEX(担当者マスタ!$B$2:$B$101,MATCH($E130,担当者マスタ!$A$2:$A$101,0)),"※マスタ未登録"))</f>
        <v/>
      </c>
      <c r="G130" s="11" t="n">
        <v>0</v>
      </c>
      <c r="H130" s="11" t="n">
        <v>18.56</v>
      </c>
      <c r="I130" s="11" t="n">
        <v>18.56</v>
      </c>
      <c r="J130" s="11" t="n">
        <v>0</v>
      </c>
      <c r="K130" s="11" t="n">
        <v>0</v>
      </c>
      <c r="L130" s="11" t="n">
        <v>0</v>
      </c>
      <c r="M130" s="11" t="n">
        <f aca="false">SUM(G130:L130)</f>
        <v>37.12</v>
      </c>
      <c r="N130" s="11" t="n">
        <v>0</v>
      </c>
      <c r="O130" s="11" t="n">
        <v>1.952</v>
      </c>
      <c r="P130" s="11" t="n">
        <v>1.952</v>
      </c>
      <c r="Q130" s="11" t="n">
        <v>0</v>
      </c>
      <c r="R130" s="11" t="n">
        <v>0</v>
      </c>
      <c r="S130" s="11" t="n">
        <v>0</v>
      </c>
      <c r="T130" s="11" t="n">
        <f aca="false">SUM(N130:S130)</f>
        <v>3.904</v>
      </c>
      <c r="U130" s="11" t="n">
        <v>20.56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f aca="false">SUM(U130:Z130)</f>
        <v>20.56</v>
      </c>
      <c r="AB130" s="11" t="n">
        <v>3.952</v>
      </c>
      <c r="AC130" s="11" t="n">
        <v>0</v>
      </c>
      <c r="AD130" s="11" t="n">
        <v>0</v>
      </c>
      <c r="AE130" s="11" t="n">
        <v>0</v>
      </c>
      <c r="AF130" s="11" t="n">
        <v>0</v>
      </c>
      <c r="AG130" s="11" t="n">
        <v>0</v>
      </c>
      <c r="AH130" s="11" t="n">
        <f aca="false">SUM(AB130:AG130)</f>
        <v>3.952</v>
      </c>
    </row>
    <row r="131" customFormat="false" ht="15" hidden="false" customHeight="false" outlineLevel="2" collapsed="false">
      <c r="A131" s="8" t="s">
        <v>1541</v>
      </c>
      <c r="B131" s="12" t="s">
        <v>1542</v>
      </c>
      <c r="C131" s="8" t="s">
        <v>1525</v>
      </c>
      <c r="D131" s="12" t="s">
        <v>1526</v>
      </c>
      <c r="E131" s="16"/>
      <c r="F131" s="9" t="str">
        <f aca="false">IF($E131="","",IFERROR(INDEX(担当者マスタ!$B$2:$B$101,MATCH($E131,担当者マスタ!$A$2:$A$101,0)),"※マスタ未登録"))</f>
        <v/>
      </c>
      <c r="G131" s="11" t="n">
        <v>44.06</v>
      </c>
      <c r="H131" s="11" t="n">
        <v>65.12</v>
      </c>
      <c r="I131" s="11" t="n">
        <v>433.5</v>
      </c>
      <c r="J131" s="11" t="n">
        <v>28.3</v>
      </c>
      <c r="K131" s="11" t="n">
        <v>69.925</v>
      </c>
      <c r="L131" s="11" t="n">
        <v>160</v>
      </c>
      <c r="M131" s="11" t="n">
        <f aca="false">SUM(G131:L131)</f>
        <v>800.905</v>
      </c>
      <c r="N131" s="11" t="n">
        <v>8.42</v>
      </c>
      <c r="O131" s="11" t="n">
        <v>13.324</v>
      </c>
      <c r="P131" s="11" t="n">
        <v>72.872</v>
      </c>
      <c r="Q131" s="11" t="n">
        <v>5.44</v>
      </c>
      <c r="R131" s="11" t="n">
        <v>15.225</v>
      </c>
      <c r="S131" s="11" t="n">
        <v>43.5</v>
      </c>
      <c r="T131" s="11" t="n">
        <f aca="false">SUM(N131:S131)</f>
        <v>158.781</v>
      </c>
      <c r="U131" s="11" t="n">
        <v>474.03</v>
      </c>
      <c r="V131" s="11" t="n">
        <v>846.55</v>
      </c>
      <c r="W131" s="11" t="n">
        <v>28.61</v>
      </c>
      <c r="X131" s="11" t="n">
        <v>62.57</v>
      </c>
      <c r="Y131" s="11" t="n">
        <v>323.7</v>
      </c>
      <c r="Z131" s="11" t="n">
        <v>282.2</v>
      </c>
      <c r="AA131" s="11" t="n">
        <f aca="false">SUM(U131:Z131)</f>
        <v>2017.66</v>
      </c>
      <c r="AB131" s="11" t="n">
        <v>101.17</v>
      </c>
      <c r="AC131" s="11" t="n">
        <v>166.205</v>
      </c>
      <c r="AD131" s="11" t="n">
        <v>19.595</v>
      </c>
      <c r="AE131" s="11" t="n">
        <v>17.07</v>
      </c>
      <c r="AF131" s="11" t="n">
        <v>63.345</v>
      </c>
      <c r="AG131" s="11" t="n">
        <v>51.05</v>
      </c>
      <c r="AH131" s="11" t="n">
        <f aca="false">SUM(AB131:AG131)</f>
        <v>418.435</v>
      </c>
    </row>
    <row r="132" customFormat="false" ht="15" hidden="false" customHeight="false" outlineLevel="2" collapsed="false">
      <c r="A132" s="8" t="s">
        <v>1543</v>
      </c>
      <c r="B132" s="12" t="s">
        <v>1544</v>
      </c>
      <c r="C132" s="8" t="s">
        <v>1525</v>
      </c>
      <c r="D132" s="12" t="s">
        <v>1526</v>
      </c>
      <c r="E132" s="16"/>
      <c r="F132" s="9" t="str">
        <f aca="false">IF($E132="","",IFERROR(INDEX(担当者マスタ!$B$2:$B$101,MATCH($E132,担当者マスタ!$A$2:$A$101,0)),"※マスタ未登録"))</f>
        <v/>
      </c>
      <c r="G132" s="11" t="n">
        <v>11</v>
      </c>
      <c r="H132" s="11" t="n">
        <v>85.78</v>
      </c>
      <c r="I132" s="11" t="n">
        <v>20.52</v>
      </c>
      <c r="J132" s="11" t="n">
        <v>21.26</v>
      </c>
      <c r="K132" s="11" t="n">
        <v>11</v>
      </c>
      <c r="L132" s="11" t="n">
        <v>37.885</v>
      </c>
      <c r="M132" s="11" t="n">
        <f aca="false">SUM(G132:L132)</f>
        <v>187.445</v>
      </c>
      <c r="N132" s="11" t="n">
        <v>1.5</v>
      </c>
      <c r="O132" s="11" t="n">
        <v>12.9</v>
      </c>
      <c r="P132" s="11" t="n">
        <v>3.6</v>
      </c>
      <c r="Q132" s="11" t="n">
        <v>3.3</v>
      </c>
      <c r="R132" s="11" t="n">
        <v>1.5</v>
      </c>
      <c r="S132" s="11" t="n">
        <v>6.275</v>
      </c>
      <c r="T132" s="11" t="n">
        <f aca="false">SUM(N132:S132)</f>
        <v>29.075</v>
      </c>
      <c r="U132" s="11" t="n">
        <v>37.4</v>
      </c>
      <c r="V132" s="11" t="n">
        <v>66</v>
      </c>
      <c r="W132" s="11" t="n">
        <v>0</v>
      </c>
      <c r="X132" s="11" t="n">
        <v>22</v>
      </c>
      <c r="Y132" s="11" t="n">
        <v>55</v>
      </c>
      <c r="Z132" s="11" t="n">
        <v>7.416</v>
      </c>
      <c r="AA132" s="11" t="n">
        <f aca="false">SUM(U132:Z132)</f>
        <v>187.816</v>
      </c>
      <c r="AB132" s="11" t="n">
        <v>5.82</v>
      </c>
      <c r="AC132" s="11" t="n">
        <v>9</v>
      </c>
      <c r="AD132" s="11" t="n">
        <v>0</v>
      </c>
      <c r="AE132" s="11" t="n">
        <v>3</v>
      </c>
      <c r="AF132" s="11" t="n">
        <v>7.5</v>
      </c>
      <c r="AG132" s="11" t="n">
        <v>1.123</v>
      </c>
      <c r="AH132" s="11" t="n">
        <f aca="false">SUM(AB132:AG132)</f>
        <v>26.443</v>
      </c>
    </row>
    <row r="133" customFormat="false" ht="15" hidden="false" customHeight="false" outlineLevel="2" collapsed="false">
      <c r="A133" s="8" t="s">
        <v>1545</v>
      </c>
      <c r="B133" s="12" t="s">
        <v>1546</v>
      </c>
      <c r="C133" s="8" t="s">
        <v>1525</v>
      </c>
      <c r="D133" s="12" t="s">
        <v>1526</v>
      </c>
      <c r="E133" s="16"/>
      <c r="F133" s="9" t="str">
        <f aca="false">IF($E133="","",IFERROR(INDEX(担当者マスタ!$B$2:$B$101,MATCH($E133,担当者マスタ!$A$2:$A$101,0)),"※マスタ未登録"))</f>
        <v/>
      </c>
      <c r="G133" s="11" t="n">
        <v>0</v>
      </c>
      <c r="H133" s="11" t="n">
        <v>0</v>
      </c>
      <c r="I133" s="11" t="n">
        <v>26.36</v>
      </c>
      <c r="J133" s="11" t="n">
        <v>15.45</v>
      </c>
      <c r="K133" s="11" t="n">
        <v>14.214</v>
      </c>
      <c r="L133" s="11" t="n">
        <v>0</v>
      </c>
      <c r="M133" s="11" t="n">
        <f aca="false">SUM(G133:L133)</f>
        <v>56.024</v>
      </c>
      <c r="N133" s="11" t="n">
        <v>0</v>
      </c>
      <c r="O133" s="11" t="n">
        <v>0</v>
      </c>
      <c r="P133" s="11" t="n">
        <v>10.2</v>
      </c>
      <c r="Q133" s="11" t="n">
        <v>7.65</v>
      </c>
      <c r="R133" s="11" t="n">
        <v>7.038</v>
      </c>
      <c r="S133" s="11" t="n">
        <v>0</v>
      </c>
      <c r="T133" s="11" t="n">
        <f aca="false">SUM(N133:S133)</f>
        <v>24.888</v>
      </c>
      <c r="U133" s="11" t="n">
        <v>22.45</v>
      </c>
      <c r="V133" s="11" t="n">
        <v>0</v>
      </c>
      <c r="W133" s="11" t="n">
        <v>0</v>
      </c>
      <c r="X133" s="11" t="n">
        <v>22.45</v>
      </c>
      <c r="Y133" s="11" t="n">
        <v>15.45</v>
      </c>
      <c r="Z133" s="11" t="n">
        <v>0</v>
      </c>
      <c r="AA133" s="11" t="n">
        <f aca="false">SUM(U133:Z133)</f>
        <v>60.35</v>
      </c>
      <c r="AB133" s="11" t="n">
        <v>8.99</v>
      </c>
      <c r="AC133" s="11" t="n">
        <v>0</v>
      </c>
      <c r="AD133" s="11" t="n">
        <v>0</v>
      </c>
      <c r="AE133" s="11" t="n">
        <v>8.99</v>
      </c>
      <c r="AF133" s="11" t="n">
        <v>6.95</v>
      </c>
      <c r="AG133" s="11" t="n">
        <v>0</v>
      </c>
      <c r="AH133" s="11" t="n">
        <f aca="false">SUM(AB133:AG133)</f>
        <v>24.93</v>
      </c>
    </row>
    <row r="134" customFormat="false" ht="15" hidden="false" customHeight="false" outlineLevel="2" collapsed="false">
      <c r="A134" s="8" t="s">
        <v>1547</v>
      </c>
      <c r="B134" s="12" t="s">
        <v>1548</v>
      </c>
      <c r="C134" s="8" t="s">
        <v>1525</v>
      </c>
      <c r="D134" s="12" t="s">
        <v>1526</v>
      </c>
      <c r="E134" s="16"/>
      <c r="F134" s="9" t="str">
        <f aca="false">IF($E134="","",IFERROR(INDEX(担当者マスタ!$B$2:$B$101,MATCH($E134,担当者マスタ!$A$2:$A$101,0)),"※マスタ未登録"))</f>
        <v/>
      </c>
      <c r="G134" s="11" t="n">
        <v>0</v>
      </c>
      <c r="H134" s="11" t="n">
        <v>0</v>
      </c>
      <c r="I134" s="11" t="n">
        <v>74.4</v>
      </c>
      <c r="J134" s="11" t="n">
        <v>0</v>
      </c>
      <c r="K134" s="11" t="n">
        <v>32.8</v>
      </c>
      <c r="L134" s="11" t="n">
        <v>0</v>
      </c>
      <c r="M134" s="11" t="n">
        <f aca="false">SUM(G134:L134)</f>
        <v>107.2</v>
      </c>
      <c r="N134" s="11" t="n">
        <v>0</v>
      </c>
      <c r="O134" s="11" t="n">
        <v>0</v>
      </c>
      <c r="P134" s="11" t="n">
        <v>13.5</v>
      </c>
      <c r="Q134" s="11" t="n">
        <v>0</v>
      </c>
      <c r="R134" s="11" t="n">
        <v>6.32</v>
      </c>
      <c r="S134" s="11" t="n">
        <v>0</v>
      </c>
      <c r="T134" s="11" t="n">
        <f aca="false">SUM(N134:S134)</f>
        <v>19.82</v>
      </c>
      <c r="U134" s="11" t="n">
        <v>0</v>
      </c>
      <c r="V134" s="11" t="n">
        <v>0</v>
      </c>
      <c r="W134" s="11" t="n">
        <v>29.82</v>
      </c>
      <c r="X134" s="11" t="n">
        <v>0</v>
      </c>
      <c r="Y134" s="11" t="n">
        <v>0</v>
      </c>
      <c r="Z134" s="11" t="n">
        <v>0</v>
      </c>
      <c r="AA134" s="11" t="n">
        <f aca="false">SUM(U134:Z134)</f>
        <v>29.82</v>
      </c>
      <c r="AB134" s="11" t="n">
        <v>0</v>
      </c>
      <c r="AC134" s="11" t="n">
        <v>0</v>
      </c>
      <c r="AD134" s="11" t="n">
        <v>5.22</v>
      </c>
      <c r="AE134" s="11" t="n">
        <v>0</v>
      </c>
      <c r="AF134" s="11" t="n">
        <v>0</v>
      </c>
      <c r="AG134" s="11" t="n">
        <v>0</v>
      </c>
      <c r="AH134" s="11" t="n">
        <f aca="false">SUM(AB134:AG134)</f>
        <v>5.22</v>
      </c>
    </row>
    <row r="135" customFormat="false" ht="15" hidden="false" customHeight="false" outlineLevel="2" collapsed="false">
      <c r="A135" s="8" t="s">
        <v>1549</v>
      </c>
      <c r="B135" s="12" t="s">
        <v>1550</v>
      </c>
      <c r="C135" s="8" t="s">
        <v>1525</v>
      </c>
      <c r="D135" s="12" t="s">
        <v>1526</v>
      </c>
      <c r="E135" s="16"/>
      <c r="F135" s="9" t="str">
        <f aca="false">IF($E135="","",IFERROR(INDEX(担当者マスタ!$B$2:$B$101,MATCH($E135,担当者マスタ!$A$2:$A$101,0)),"※マスタ未登録"))</f>
        <v/>
      </c>
      <c r="G135" s="11" t="n">
        <v>0</v>
      </c>
      <c r="H135" s="11" t="n">
        <v>0</v>
      </c>
      <c r="I135" s="11" t="n">
        <v>88.5</v>
      </c>
      <c r="J135" s="11" t="n">
        <v>88.5</v>
      </c>
      <c r="K135" s="11" t="n">
        <v>0</v>
      </c>
      <c r="L135" s="11" t="n">
        <v>0</v>
      </c>
      <c r="M135" s="11" t="n">
        <f aca="false">SUM(G135:L135)</f>
        <v>177</v>
      </c>
      <c r="N135" s="11" t="n">
        <v>0</v>
      </c>
      <c r="O135" s="11" t="n">
        <v>0</v>
      </c>
      <c r="P135" s="11" t="n">
        <v>12</v>
      </c>
      <c r="Q135" s="11" t="n">
        <v>12</v>
      </c>
      <c r="R135" s="11" t="n">
        <v>0</v>
      </c>
      <c r="S135" s="11" t="n">
        <v>0</v>
      </c>
      <c r="T135" s="11" t="n">
        <f aca="false">SUM(N135:S135)</f>
        <v>24</v>
      </c>
      <c r="U135" s="11" t="n">
        <v>0</v>
      </c>
      <c r="V135" s="11" t="n">
        <v>0</v>
      </c>
      <c r="W135" s="11" t="n">
        <v>0</v>
      </c>
      <c r="X135" s="11" t="n">
        <v>88.5</v>
      </c>
      <c r="Y135" s="11" t="n">
        <v>0</v>
      </c>
      <c r="Z135" s="11" t="n">
        <v>88.5</v>
      </c>
      <c r="AA135" s="11" t="n">
        <f aca="false">SUM(U135:Z135)</f>
        <v>177</v>
      </c>
      <c r="AB135" s="11" t="n">
        <v>0</v>
      </c>
      <c r="AC135" s="11" t="n">
        <v>0</v>
      </c>
      <c r="AD135" s="11" t="n">
        <v>0</v>
      </c>
      <c r="AE135" s="11" t="n">
        <v>12</v>
      </c>
      <c r="AF135" s="11" t="n">
        <v>0</v>
      </c>
      <c r="AG135" s="11" t="n">
        <v>12</v>
      </c>
      <c r="AH135" s="11" t="n">
        <f aca="false">SUM(AB135:AG135)</f>
        <v>24</v>
      </c>
    </row>
    <row r="136" customFormat="false" ht="15" hidden="false" customHeight="false" outlineLevel="2" collapsed="false">
      <c r="A136" s="8" t="s">
        <v>1551</v>
      </c>
      <c r="B136" s="12" t="s">
        <v>1552</v>
      </c>
      <c r="C136" s="8" t="s">
        <v>1525</v>
      </c>
      <c r="D136" s="12" t="s">
        <v>1526</v>
      </c>
      <c r="E136" s="16"/>
      <c r="F136" s="9" t="str">
        <f aca="false">IF($E136="","",IFERROR(INDEX(担当者マスタ!$B$2:$B$101,MATCH($E136,担当者マスタ!$A$2:$A$101,0)),"※マスタ未登録"))</f>
        <v/>
      </c>
      <c r="G136" s="11" t="n">
        <v>405.4</v>
      </c>
      <c r="H136" s="11" t="n">
        <v>148.02</v>
      </c>
      <c r="I136" s="11" t="n">
        <v>142.255</v>
      </c>
      <c r="J136" s="11" t="n">
        <v>69.5</v>
      </c>
      <c r="K136" s="11" t="n">
        <v>221.4</v>
      </c>
      <c r="L136" s="11" t="n">
        <v>1604.23</v>
      </c>
      <c r="M136" s="11" t="n">
        <f aca="false">SUM(G136:L136)</f>
        <v>2590.805</v>
      </c>
      <c r="N136" s="11" t="n">
        <v>114.711</v>
      </c>
      <c r="O136" s="11" t="n">
        <v>50.917</v>
      </c>
      <c r="P136" s="11" t="n">
        <v>30.125</v>
      </c>
      <c r="Q136" s="11" t="n">
        <v>14.415</v>
      </c>
      <c r="R136" s="11" t="n">
        <v>44.08</v>
      </c>
      <c r="S136" s="11" t="n">
        <v>218.703</v>
      </c>
      <c r="T136" s="11" t="n">
        <f aca="false">SUM(N136:S136)</f>
        <v>472.951</v>
      </c>
      <c r="U136" s="11" t="n">
        <v>141.2</v>
      </c>
      <c r="V136" s="11" t="n">
        <v>131.94</v>
      </c>
      <c r="W136" s="11" t="n">
        <v>149.82</v>
      </c>
      <c r="X136" s="11" t="n">
        <v>1662.49</v>
      </c>
      <c r="Y136" s="11" t="n">
        <v>81.22</v>
      </c>
      <c r="Z136" s="11" t="n">
        <v>94.46</v>
      </c>
      <c r="AA136" s="11" t="n">
        <f aca="false">SUM(U136:Z136)</f>
        <v>2261.13</v>
      </c>
      <c r="AB136" s="11" t="n">
        <v>29.642</v>
      </c>
      <c r="AC136" s="11" t="n">
        <v>37.133</v>
      </c>
      <c r="AD136" s="11" t="n">
        <v>26.92</v>
      </c>
      <c r="AE136" s="11" t="n">
        <v>175.322</v>
      </c>
      <c r="AF136" s="11" t="n">
        <v>23.34</v>
      </c>
      <c r="AG136" s="11" t="n">
        <v>33.91</v>
      </c>
      <c r="AH136" s="11" t="n">
        <f aca="false">SUM(AB136:AG136)</f>
        <v>326.267</v>
      </c>
    </row>
    <row r="137" customFormat="false" ht="15" hidden="false" customHeight="false" outlineLevel="2" collapsed="false">
      <c r="A137" s="8" t="s">
        <v>1553</v>
      </c>
      <c r="B137" s="12" t="s">
        <v>1554</v>
      </c>
      <c r="C137" s="8" t="s">
        <v>1525</v>
      </c>
      <c r="D137" s="12" t="s">
        <v>1526</v>
      </c>
      <c r="E137" s="16"/>
      <c r="F137" s="9" t="str">
        <f aca="false">IF($E137="","",IFERROR(INDEX(担当者マスタ!$B$2:$B$101,MATCH($E137,担当者マスタ!$A$2:$A$101,0)),"※マスタ未登録"))</f>
        <v/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5550</v>
      </c>
      <c r="M137" s="11" t="n">
        <f aca="false">SUM(G137:L137)</f>
        <v>5550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1050</v>
      </c>
      <c r="T137" s="11" t="n">
        <f aca="false">SUM(N137:S137)</f>
        <v>1050</v>
      </c>
      <c r="U137" s="11" t="n">
        <v>0</v>
      </c>
      <c r="V137" s="11" t="n">
        <v>0</v>
      </c>
      <c r="W137" s="11" t="n">
        <v>0</v>
      </c>
      <c r="X137" s="11" t="n">
        <v>2750</v>
      </c>
      <c r="Y137" s="11" t="n">
        <v>0</v>
      </c>
      <c r="Z137" s="11" t="n">
        <v>0</v>
      </c>
      <c r="AA137" s="11" t="n">
        <f aca="false">SUM(U137:Z137)</f>
        <v>2750</v>
      </c>
      <c r="AB137" s="11" t="n">
        <v>0</v>
      </c>
      <c r="AC137" s="11" t="n">
        <v>0</v>
      </c>
      <c r="AD137" s="11" t="n">
        <v>0</v>
      </c>
      <c r="AE137" s="11" t="n">
        <v>614.3</v>
      </c>
      <c r="AF137" s="11" t="n">
        <v>0</v>
      </c>
      <c r="AG137" s="11" t="n">
        <v>0</v>
      </c>
      <c r="AH137" s="11" t="n">
        <f aca="false">SUM(AB137:AG137)</f>
        <v>614.3</v>
      </c>
    </row>
    <row r="138" customFormat="false" ht="15" hidden="false" customHeight="false" outlineLevel="2" collapsed="false">
      <c r="A138" s="8" t="s">
        <v>1555</v>
      </c>
      <c r="B138" s="12" t="s">
        <v>1556</v>
      </c>
      <c r="C138" s="8" t="s">
        <v>1525</v>
      </c>
      <c r="D138" s="12" t="s">
        <v>1526</v>
      </c>
      <c r="E138" s="16"/>
      <c r="F138" s="9" t="str">
        <f aca="false">IF($E138="","",IFERROR(INDEX(担当者マスタ!$B$2:$B$101,MATCH($E138,担当者マスタ!$A$2:$A$101,0)),"※マスタ未登録"))</f>
        <v/>
      </c>
      <c r="G138" s="11" t="n">
        <v>792.461</v>
      </c>
      <c r="H138" s="11" t="n">
        <v>482.062</v>
      </c>
      <c r="I138" s="11" t="n">
        <v>521.149</v>
      </c>
      <c r="J138" s="11" t="n">
        <v>858.614</v>
      </c>
      <c r="K138" s="11" t="n">
        <v>580.607</v>
      </c>
      <c r="L138" s="11" t="n">
        <v>802.32</v>
      </c>
      <c r="M138" s="11" t="n">
        <f aca="false">SUM(G138:L138)</f>
        <v>4037.213</v>
      </c>
      <c r="N138" s="11" t="n">
        <v>159.998</v>
      </c>
      <c r="O138" s="11" t="n">
        <v>91.527</v>
      </c>
      <c r="P138" s="11" t="n">
        <v>121.406</v>
      </c>
      <c r="Q138" s="11" t="n">
        <v>159.162</v>
      </c>
      <c r="R138" s="11" t="n">
        <v>142.022</v>
      </c>
      <c r="S138" s="11" t="n">
        <v>169.887</v>
      </c>
      <c r="T138" s="11" t="n">
        <f aca="false">SUM(N138:S138)</f>
        <v>844.002</v>
      </c>
      <c r="U138" s="11" t="n">
        <v>1086.249</v>
      </c>
      <c r="V138" s="11" t="n">
        <v>616.501</v>
      </c>
      <c r="W138" s="11" t="n">
        <v>856.709</v>
      </c>
      <c r="X138" s="11" t="n">
        <v>1041.017</v>
      </c>
      <c r="Y138" s="11" t="n">
        <v>329.484</v>
      </c>
      <c r="Z138" s="11" t="n">
        <v>712.271</v>
      </c>
      <c r="AA138" s="11" t="n">
        <f aca="false">SUM(U138:Z138)</f>
        <v>4642.231</v>
      </c>
      <c r="AB138" s="11" t="n">
        <v>194.834</v>
      </c>
      <c r="AC138" s="11" t="n">
        <v>50.068</v>
      </c>
      <c r="AD138" s="11" t="n">
        <v>156.306</v>
      </c>
      <c r="AE138" s="11" t="n">
        <v>219.754</v>
      </c>
      <c r="AF138" s="11" t="n">
        <v>76.996</v>
      </c>
      <c r="AG138" s="11" t="n">
        <v>187.15</v>
      </c>
      <c r="AH138" s="11" t="n">
        <f aca="false">SUM(AB138:AG138)</f>
        <v>885.108</v>
      </c>
    </row>
    <row r="139" customFormat="false" ht="15" hidden="false" customHeight="false" outlineLevel="2" collapsed="false">
      <c r="A139" s="8" t="s">
        <v>1557</v>
      </c>
      <c r="B139" s="12" t="s">
        <v>1558</v>
      </c>
      <c r="C139" s="8" t="s">
        <v>1525</v>
      </c>
      <c r="D139" s="12" t="s">
        <v>1526</v>
      </c>
      <c r="E139" s="16"/>
      <c r="F139" s="9" t="str">
        <f aca="false">IF($E139="","",IFERROR(INDEX(担当者マスタ!$B$2:$B$101,MATCH($E139,担当者マスタ!$A$2:$A$101,0)),"※マスタ未登録"))</f>
        <v/>
      </c>
      <c r="G139" s="11" t="n">
        <v>0</v>
      </c>
      <c r="H139" s="11" t="n">
        <v>22</v>
      </c>
      <c r="I139" s="11" t="n">
        <v>0</v>
      </c>
      <c r="J139" s="11" t="n">
        <v>27.5</v>
      </c>
      <c r="K139" s="11" t="n">
        <v>0</v>
      </c>
      <c r="L139" s="11" t="n">
        <v>22</v>
      </c>
      <c r="M139" s="11" t="n">
        <f aca="false">SUM(G139:L139)</f>
        <v>71.5</v>
      </c>
      <c r="N139" s="11" t="n">
        <v>0</v>
      </c>
      <c r="O139" s="11" t="n">
        <v>6</v>
      </c>
      <c r="P139" s="11" t="n">
        <v>0</v>
      </c>
      <c r="Q139" s="11" t="n">
        <v>7.5</v>
      </c>
      <c r="R139" s="11" t="n">
        <v>0</v>
      </c>
      <c r="S139" s="11" t="n">
        <v>6</v>
      </c>
      <c r="T139" s="11" t="n">
        <f aca="false">SUM(N139:S139)</f>
        <v>19.5</v>
      </c>
      <c r="U139" s="11" t="n">
        <v>22</v>
      </c>
      <c r="V139" s="11" t="n">
        <v>57.5</v>
      </c>
      <c r="W139" s="11" t="n">
        <v>7.7</v>
      </c>
      <c r="X139" s="11" t="n">
        <v>33</v>
      </c>
      <c r="Y139" s="11" t="n">
        <v>0</v>
      </c>
      <c r="Z139" s="11" t="n">
        <v>0</v>
      </c>
      <c r="AA139" s="11" t="n">
        <f aca="false">SUM(U139:Z139)</f>
        <v>120.2</v>
      </c>
      <c r="AB139" s="11" t="n">
        <v>5</v>
      </c>
      <c r="AC139" s="11" t="n">
        <v>19.8</v>
      </c>
      <c r="AD139" s="11" t="n">
        <v>1.85</v>
      </c>
      <c r="AE139" s="11" t="n">
        <v>7.6</v>
      </c>
      <c r="AF139" s="11" t="n">
        <v>0</v>
      </c>
      <c r="AG139" s="11" t="n">
        <v>0</v>
      </c>
      <c r="AH139" s="11" t="n">
        <f aca="false">SUM(AB139:AG139)</f>
        <v>34.25</v>
      </c>
    </row>
    <row r="140" customFormat="false" ht="15" hidden="false" customHeight="false" outlineLevel="2" collapsed="false">
      <c r="A140" s="8" t="s">
        <v>1559</v>
      </c>
      <c r="B140" s="12" t="s">
        <v>1560</v>
      </c>
      <c r="C140" s="8" t="s">
        <v>1525</v>
      </c>
      <c r="D140" s="12" t="s">
        <v>1526</v>
      </c>
      <c r="E140" s="16"/>
      <c r="F140" s="9" t="str">
        <f aca="false">IF($E140="","",IFERROR(INDEX(担当者マスタ!$B$2:$B$101,MATCH($E140,担当者マスタ!$A$2:$A$101,0)),"※マスタ未登録"))</f>
        <v/>
      </c>
      <c r="G140" s="11" t="n">
        <v>464.247</v>
      </c>
      <c r="H140" s="11" t="n">
        <v>382.08</v>
      </c>
      <c r="I140" s="11" t="n">
        <v>199.392</v>
      </c>
      <c r="J140" s="11" t="n">
        <v>65.8</v>
      </c>
      <c r="K140" s="11" t="n">
        <v>60.35</v>
      </c>
      <c r="L140" s="11" t="n">
        <v>46.462</v>
      </c>
      <c r="M140" s="11" t="n">
        <f aca="false">SUM(G140:L140)</f>
        <v>1218.331</v>
      </c>
      <c r="N140" s="11" t="n">
        <v>98.592</v>
      </c>
      <c r="O140" s="11" t="n">
        <v>92.106</v>
      </c>
      <c r="P140" s="11" t="n">
        <v>42.218</v>
      </c>
      <c r="Q140" s="11" t="n">
        <v>19.178</v>
      </c>
      <c r="R140" s="11" t="n">
        <v>16.85</v>
      </c>
      <c r="S140" s="11" t="n">
        <v>7.512</v>
      </c>
      <c r="T140" s="11" t="n">
        <f aca="false">SUM(N140:S140)</f>
        <v>276.456</v>
      </c>
      <c r="U140" s="11" t="n">
        <v>122.15</v>
      </c>
      <c r="V140" s="11" t="n">
        <v>179.212</v>
      </c>
      <c r="W140" s="11" t="n">
        <v>153.25</v>
      </c>
      <c r="X140" s="11" t="n">
        <v>67.032</v>
      </c>
      <c r="Y140" s="11" t="n">
        <v>40.85</v>
      </c>
      <c r="Z140" s="11" t="n">
        <v>176.25</v>
      </c>
      <c r="AA140" s="11" t="n">
        <f aca="false">SUM(U140:Z140)</f>
        <v>738.744</v>
      </c>
      <c r="AB140" s="11" t="n">
        <v>10.51</v>
      </c>
      <c r="AC140" s="11" t="n">
        <v>28.462</v>
      </c>
      <c r="AD140" s="11" t="n">
        <v>18.74</v>
      </c>
      <c r="AE140" s="11" t="n">
        <v>17.112</v>
      </c>
      <c r="AF140" s="11" t="n">
        <v>7.225</v>
      </c>
      <c r="AG140" s="11" t="n">
        <v>11.26</v>
      </c>
      <c r="AH140" s="11" t="n">
        <f aca="false">SUM(AB140:AG140)</f>
        <v>93.309</v>
      </c>
    </row>
    <row r="141" customFormat="false" ht="15" hidden="false" customHeight="false" outlineLevel="2" collapsed="false">
      <c r="A141" s="8" t="s">
        <v>1561</v>
      </c>
      <c r="B141" s="9" t="s">
        <v>1562</v>
      </c>
      <c r="C141" s="8" t="s">
        <v>1525</v>
      </c>
      <c r="D141" s="12" t="s">
        <v>1526</v>
      </c>
      <c r="E141" s="16"/>
      <c r="F141" s="9" t="str">
        <f aca="false">IF($E141="","",IFERROR(INDEX(担当者マスタ!$B$2:$B$101,MATCH($E141,担当者マスタ!$A$2:$A$101,0)),"※マスタ未登録"))</f>
        <v/>
      </c>
      <c r="G141" s="11" t="n">
        <v>0</v>
      </c>
      <c r="H141" s="11" t="n">
        <v>33.488</v>
      </c>
      <c r="I141" s="11" t="n">
        <v>33.166</v>
      </c>
      <c r="J141" s="11" t="n">
        <v>0</v>
      </c>
      <c r="K141" s="11" t="n">
        <v>34.454</v>
      </c>
      <c r="L141" s="11" t="n">
        <v>0</v>
      </c>
      <c r="M141" s="11" t="n">
        <f aca="false">SUM(G141:L141)</f>
        <v>101.108</v>
      </c>
      <c r="N141" s="11" t="n">
        <v>0</v>
      </c>
      <c r="O141" s="11" t="n">
        <v>5.408</v>
      </c>
      <c r="P141" s="11" t="n">
        <v>5.356</v>
      </c>
      <c r="Q141" s="11" t="n">
        <v>0</v>
      </c>
      <c r="R141" s="11" t="n">
        <v>5.564</v>
      </c>
      <c r="S141" s="11" t="n">
        <v>0</v>
      </c>
      <c r="T141" s="11" t="n">
        <f aca="false">SUM(N141:S141)</f>
        <v>16.328</v>
      </c>
      <c r="U141" s="11" t="n">
        <v>87.644</v>
      </c>
      <c r="V141" s="11" t="n">
        <v>0</v>
      </c>
      <c r="W141" s="11" t="n">
        <v>0</v>
      </c>
      <c r="X141" s="11" t="n">
        <v>25.707</v>
      </c>
      <c r="Y141" s="11" t="n">
        <v>0</v>
      </c>
      <c r="Z141" s="11" t="n">
        <v>38.734</v>
      </c>
      <c r="AA141" s="11" t="n">
        <f aca="false">SUM(U141:Z141)</f>
        <v>152.085</v>
      </c>
      <c r="AB141" s="11" t="n">
        <v>17.834</v>
      </c>
      <c r="AC141" s="11" t="n">
        <v>0</v>
      </c>
      <c r="AD141" s="11" t="n">
        <v>0</v>
      </c>
      <c r="AE141" s="11" t="n">
        <v>5.267</v>
      </c>
      <c r="AF141" s="11" t="n">
        <v>0</v>
      </c>
      <c r="AG141" s="11" t="n">
        <v>7.811</v>
      </c>
      <c r="AH141" s="11" t="n">
        <f aca="false">SUM(AB141:AG141)</f>
        <v>30.912</v>
      </c>
    </row>
    <row r="142" customFormat="false" ht="15" hidden="false" customHeight="false" outlineLevel="2" collapsed="false">
      <c r="A142" s="8" t="s">
        <v>1563</v>
      </c>
      <c r="B142" s="12" t="s">
        <v>1564</v>
      </c>
      <c r="C142" s="8" t="s">
        <v>1525</v>
      </c>
      <c r="D142" s="12" t="s">
        <v>1526</v>
      </c>
      <c r="E142" s="16"/>
      <c r="F142" s="9" t="str">
        <f aca="false">IF($E142="","",IFERROR(INDEX(担当者マスタ!$B$2:$B$101,MATCH($E142,担当者マスタ!$A$2:$A$101,0)),"※マスタ未登録"))</f>
        <v/>
      </c>
      <c r="G142" s="11" t="n">
        <v>2.08</v>
      </c>
      <c r="H142" s="11" t="n">
        <v>10.43</v>
      </c>
      <c r="I142" s="11" t="n">
        <v>12.705</v>
      </c>
      <c r="J142" s="11" t="n">
        <v>4.365</v>
      </c>
      <c r="K142" s="11" t="n">
        <v>0.56</v>
      </c>
      <c r="L142" s="11" t="n">
        <v>0.56</v>
      </c>
      <c r="M142" s="11" t="n">
        <f aca="false">SUM(G142:L142)</f>
        <v>30.7</v>
      </c>
      <c r="N142" s="11" t="n">
        <v>0.528</v>
      </c>
      <c r="O142" s="11" t="n">
        <v>2.84</v>
      </c>
      <c r="P142" s="11" t="n">
        <v>3.366</v>
      </c>
      <c r="Q142" s="11" t="n">
        <v>1.182</v>
      </c>
      <c r="R142" s="11" t="n">
        <v>0.135</v>
      </c>
      <c r="S142" s="11" t="n">
        <v>0.135</v>
      </c>
      <c r="T142" s="11" t="n">
        <f aca="false">SUM(N142:S142)</f>
        <v>8.186</v>
      </c>
      <c r="U142" s="11" t="n">
        <v>1.22</v>
      </c>
      <c r="V142" s="11" t="n">
        <v>7.835</v>
      </c>
      <c r="W142" s="11" t="n">
        <v>13.06</v>
      </c>
      <c r="X142" s="11" t="n">
        <v>2.08</v>
      </c>
      <c r="Y142" s="11" t="n">
        <v>3.6</v>
      </c>
      <c r="Z142" s="11" t="n">
        <v>0</v>
      </c>
      <c r="AA142" s="11" t="n">
        <f aca="false">SUM(U142:Z142)</f>
        <v>27.795</v>
      </c>
      <c r="AB142" s="11" t="n">
        <v>0.366</v>
      </c>
      <c r="AC142" s="11" t="n">
        <v>2.149</v>
      </c>
      <c r="AD142" s="11" t="n">
        <v>3.393</v>
      </c>
      <c r="AE142" s="11" t="n">
        <v>0.508</v>
      </c>
      <c r="AF142" s="11" t="n">
        <v>1.01</v>
      </c>
      <c r="AG142" s="11" t="n">
        <v>0</v>
      </c>
      <c r="AH142" s="11" t="n">
        <f aca="false">SUM(AB142:AG142)</f>
        <v>7.426</v>
      </c>
    </row>
    <row r="143" customFormat="false" ht="15" hidden="false" customHeight="false" outlineLevel="2" collapsed="false">
      <c r="A143" s="8" t="s">
        <v>1565</v>
      </c>
      <c r="B143" s="12" t="s">
        <v>1566</v>
      </c>
      <c r="C143" s="8" t="s">
        <v>1525</v>
      </c>
      <c r="D143" s="12" t="s">
        <v>1526</v>
      </c>
      <c r="E143" s="16"/>
      <c r="F143" s="9" t="str">
        <f aca="false">IF($E143="","",IFERROR(INDEX(担当者マスタ!$B$2:$B$101,MATCH($E143,担当者マスタ!$A$2:$A$101,0)),"※マスタ未登録"))</f>
        <v/>
      </c>
      <c r="G143" s="11" t="n">
        <v>297.4</v>
      </c>
      <c r="H143" s="11" t="n">
        <v>483.15</v>
      </c>
      <c r="I143" s="11" t="n">
        <v>133.47</v>
      </c>
      <c r="J143" s="11" t="n">
        <v>510.9</v>
      </c>
      <c r="K143" s="11" t="n">
        <v>132.78</v>
      </c>
      <c r="L143" s="11" t="n">
        <v>92.35</v>
      </c>
      <c r="M143" s="11" t="n">
        <f aca="false">SUM(G143:L143)</f>
        <v>1650.05</v>
      </c>
      <c r="N143" s="11" t="n">
        <v>56.8</v>
      </c>
      <c r="O143" s="11" t="n">
        <v>92.7</v>
      </c>
      <c r="P143" s="11" t="n">
        <v>18.066</v>
      </c>
      <c r="Q143" s="11" t="n">
        <v>95.46</v>
      </c>
      <c r="R143" s="11" t="n">
        <v>45.094</v>
      </c>
      <c r="S143" s="11" t="n">
        <v>13.892</v>
      </c>
      <c r="T143" s="11" t="n">
        <f aca="false">SUM(N143:S143)</f>
        <v>322.012</v>
      </c>
      <c r="U143" s="11" t="n">
        <v>563.26</v>
      </c>
      <c r="V143" s="11" t="n">
        <v>494.44</v>
      </c>
      <c r="W143" s="11" t="n">
        <v>588.03</v>
      </c>
      <c r="X143" s="11" t="n">
        <v>15.6</v>
      </c>
      <c r="Y143" s="11" t="n">
        <v>51</v>
      </c>
      <c r="Z143" s="11" t="n">
        <v>225.21</v>
      </c>
      <c r="AA143" s="11" t="n">
        <f aca="false">SUM(U143:Z143)</f>
        <v>1937.54</v>
      </c>
      <c r="AB143" s="11" t="n">
        <v>112.561</v>
      </c>
      <c r="AC143" s="11" t="n">
        <v>91.805</v>
      </c>
      <c r="AD143" s="11" t="n">
        <v>124.481</v>
      </c>
      <c r="AE143" s="11" t="n">
        <v>2</v>
      </c>
      <c r="AF143" s="11" t="n">
        <v>7.84</v>
      </c>
      <c r="AG143" s="11" t="n">
        <v>34.142</v>
      </c>
      <c r="AH143" s="11" t="n">
        <f aca="false">SUM(AB143:AG143)</f>
        <v>372.829</v>
      </c>
    </row>
    <row r="144" customFormat="false" ht="15" hidden="false" customHeight="false" outlineLevel="2" collapsed="false">
      <c r="A144" s="8" t="s">
        <v>1567</v>
      </c>
      <c r="B144" s="9" t="s">
        <v>1568</v>
      </c>
      <c r="C144" s="8" t="s">
        <v>1525</v>
      </c>
      <c r="D144" s="12" t="s">
        <v>1526</v>
      </c>
      <c r="E144" s="16"/>
      <c r="F144" s="9" t="str">
        <f aca="false">IF($E144="","",IFERROR(INDEX(担当者マスタ!$B$2:$B$101,MATCH($E144,担当者マスタ!$A$2:$A$101,0)),"※マスタ未登録"))</f>
        <v/>
      </c>
      <c r="G144" s="11" t="n">
        <v>0</v>
      </c>
      <c r="H144" s="11" t="n">
        <v>0</v>
      </c>
      <c r="I144" s="11" t="n">
        <v>17.44</v>
      </c>
      <c r="J144" s="11" t="n">
        <v>0</v>
      </c>
      <c r="K144" s="11" t="n">
        <v>0</v>
      </c>
      <c r="L144" s="11" t="n">
        <v>17.44</v>
      </c>
      <c r="M144" s="11" t="n">
        <f aca="false">SUM(G144:L144)</f>
        <v>34.88</v>
      </c>
      <c r="N144" s="11" t="n">
        <v>0</v>
      </c>
      <c r="O144" s="11" t="n">
        <v>0</v>
      </c>
      <c r="P144" s="11" t="n">
        <v>2.936</v>
      </c>
      <c r="Q144" s="11" t="n">
        <v>0</v>
      </c>
      <c r="R144" s="11" t="n">
        <v>0</v>
      </c>
      <c r="S144" s="11" t="n">
        <v>2.936</v>
      </c>
      <c r="T144" s="11" t="n">
        <f aca="false">SUM(N144:S144)</f>
        <v>5.872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f aca="false">SUM(U144:Z144)</f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n">
        <f aca="false">SUM(AB144:AG144)</f>
        <v>0</v>
      </c>
    </row>
    <row r="145" customFormat="false" ht="15" hidden="false" customHeight="false" outlineLevel="2" collapsed="false">
      <c r="A145" s="8" t="s">
        <v>1569</v>
      </c>
      <c r="B145" s="12" t="s">
        <v>1570</v>
      </c>
      <c r="C145" s="8" t="s">
        <v>1525</v>
      </c>
      <c r="D145" s="12" t="s">
        <v>1526</v>
      </c>
      <c r="E145" s="16"/>
      <c r="F145" s="9" t="str">
        <f aca="false">IF($E145="","",IFERROR(INDEX(担当者マスタ!$B$2:$B$101,MATCH($E145,担当者マスタ!$A$2:$A$101,0)),"※マスタ未登録"))</f>
        <v/>
      </c>
      <c r="G145" s="11" t="n">
        <v>194.19</v>
      </c>
      <c r="H145" s="11" t="n">
        <v>664.9</v>
      </c>
      <c r="I145" s="11" t="n">
        <v>112.91</v>
      </c>
      <c r="J145" s="11" t="n">
        <v>0</v>
      </c>
      <c r="K145" s="11" t="n">
        <v>0</v>
      </c>
      <c r="L145" s="11" t="n">
        <v>0</v>
      </c>
      <c r="M145" s="11" t="n">
        <f aca="false">SUM(G145:L145)</f>
        <v>972</v>
      </c>
      <c r="N145" s="11" t="n">
        <v>42.99</v>
      </c>
      <c r="O145" s="11" t="n">
        <v>129.469</v>
      </c>
      <c r="P145" s="11" t="n">
        <v>23.085</v>
      </c>
      <c r="Q145" s="11" t="n">
        <v>0</v>
      </c>
      <c r="R145" s="11" t="n">
        <v>0</v>
      </c>
      <c r="S145" s="11" t="n">
        <v>0</v>
      </c>
      <c r="T145" s="11" t="n">
        <f aca="false">SUM(N145:S145)</f>
        <v>195.544</v>
      </c>
      <c r="U145" s="11" t="n">
        <v>316.443</v>
      </c>
      <c r="V145" s="11" t="n">
        <v>155.5</v>
      </c>
      <c r="W145" s="11" t="n">
        <v>133.77</v>
      </c>
      <c r="X145" s="11" t="n">
        <v>0</v>
      </c>
      <c r="Y145" s="11" t="n">
        <v>0</v>
      </c>
      <c r="Z145" s="11" t="n">
        <v>0</v>
      </c>
      <c r="AA145" s="11" t="n">
        <f aca="false">SUM(U145:Z145)</f>
        <v>605.713</v>
      </c>
      <c r="AB145" s="11" t="n">
        <v>63.3825</v>
      </c>
      <c r="AC145" s="11" t="n">
        <v>35.95</v>
      </c>
      <c r="AD145" s="11" t="n">
        <v>27.85</v>
      </c>
      <c r="AE145" s="11" t="n">
        <v>0</v>
      </c>
      <c r="AF145" s="11" t="n">
        <v>0</v>
      </c>
      <c r="AG145" s="11" t="n">
        <v>0</v>
      </c>
      <c r="AH145" s="11" t="n">
        <f aca="false">SUM(AB145:AG145)</f>
        <v>127.1825</v>
      </c>
    </row>
    <row r="146" customFormat="false" ht="15" hidden="false" customHeight="false" outlineLevel="2" collapsed="false">
      <c r="A146" s="8" t="s">
        <v>1571</v>
      </c>
      <c r="B146" s="12" t="s">
        <v>1572</v>
      </c>
      <c r="C146" s="8" t="s">
        <v>1525</v>
      </c>
      <c r="D146" s="12" t="s">
        <v>1526</v>
      </c>
      <c r="E146" s="16"/>
      <c r="F146" s="9" t="str">
        <f aca="false">IF($E146="","",IFERROR(INDEX(担当者マスタ!$B$2:$B$101,MATCH($E146,担当者マスタ!$A$2:$A$101,0)),"※マスタ未登録"))</f>
        <v/>
      </c>
      <c r="G146" s="11" t="n">
        <v>5.53</v>
      </c>
      <c r="H146" s="11" t="n">
        <v>76.44</v>
      </c>
      <c r="I146" s="11" t="n">
        <v>49.666</v>
      </c>
      <c r="J146" s="11" t="n">
        <v>9.36</v>
      </c>
      <c r="K146" s="11" t="n">
        <v>15.33</v>
      </c>
      <c r="L146" s="11" t="n">
        <v>62.82</v>
      </c>
      <c r="M146" s="11" t="n">
        <f aca="false">SUM(G146:L146)</f>
        <v>219.146</v>
      </c>
      <c r="N146" s="11" t="n">
        <v>0.744</v>
      </c>
      <c r="O146" s="11" t="n">
        <v>26.184</v>
      </c>
      <c r="P146" s="11" t="n">
        <v>9.829</v>
      </c>
      <c r="Q146" s="11" t="n">
        <v>3.19</v>
      </c>
      <c r="R146" s="11" t="n">
        <v>4.052</v>
      </c>
      <c r="S146" s="11" t="n">
        <v>27.38</v>
      </c>
      <c r="T146" s="11" t="n">
        <f aca="false">SUM(N146:S146)</f>
        <v>71.379</v>
      </c>
      <c r="U146" s="11" t="n">
        <v>18.6</v>
      </c>
      <c r="V146" s="11" t="n">
        <v>6.4</v>
      </c>
      <c r="W146" s="11" t="n">
        <v>16.121</v>
      </c>
      <c r="X146" s="11" t="n">
        <v>0</v>
      </c>
      <c r="Y146" s="11" t="n">
        <v>35.575</v>
      </c>
      <c r="Z146" s="11" t="n">
        <v>25.29</v>
      </c>
      <c r="AA146" s="11" t="n">
        <f aca="false">SUM(U146:Z146)</f>
        <v>101.986</v>
      </c>
      <c r="AB146" s="11" t="n">
        <v>3.069</v>
      </c>
      <c r="AC146" s="11" t="n">
        <v>1.61</v>
      </c>
      <c r="AD146" s="11" t="n">
        <v>1.837</v>
      </c>
      <c r="AE146" s="11" t="n">
        <v>0</v>
      </c>
      <c r="AF146" s="11" t="n">
        <v>3.339</v>
      </c>
      <c r="AG146" s="11" t="n">
        <v>7.55</v>
      </c>
      <c r="AH146" s="11" t="n">
        <f aca="false">SUM(AB146:AG146)</f>
        <v>17.405</v>
      </c>
    </row>
    <row r="147" customFormat="false" ht="15" hidden="false" customHeight="false" outlineLevel="2" collapsed="false">
      <c r="A147" s="8" t="s">
        <v>1573</v>
      </c>
      <c r="B147" s="12" t="s">
        <v>1574</v>
      </c>
      <c r="C147" s="8" t="s">
        <v>1525</v>
      </c>
      <c r="D147" s="12" t="s">
        <v>1526</v>
      </c>
      <c r="E147" s="16"/>
      <c r="F147" s="9" t="str">
        <f aca="false">IF($E147="","",IFERROR(INDEX(担当者マスタ!$B$2:$B$101,MATCH($E147,担当者マスタ!$A$2:$A$101,0)),"※マスタ未登録"))</f>
        <v/>
      </c>
      <c r="G147" s="11" t="n">
        <v>0</v>
      </c>
      <c r="H147" s="11" t="n">
        <v>1570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f aca="false">SUM(G147:L147)</f>
        <v>1570</v>
      </c>
      <c r="N147" s="11" t="n">
        <v>0</v>
      </c>
      <c r="O147" s="11" t="n">
        <v>150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f aca="false">SUM(N147:S147)</f>
        <v>150</v>
      </c>
      <c r="U147" s="11" t="n">
        <v>1410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f aca="false">SUM(U147:Z147)</f>
        <v>1410</v>
      </c>
      <c r="AB147" s="11" t="n">
        <v>310</v>
      </c>
      <c r="AC147" s="11" t="n">
        <v>0</v>
      </c>
      <c r="AD147" s="11" t="n">
        <v>0</v>
      </c>
      <c r="AE147" s="11" t="n">
        <v>0</v>
      </c>
      <c r="AF147" s="11" t="n">
        <v>0</v>
      </c>
      <c r="AG147" s="11" t="n">
        <v>0</v>
      </c>
      <c r="AH147" s="11" t="n">
        <f aca="false">SUM(AB147:AG147)</f>
        <v>310</v>
      </c>
    </row>
    <row r="148" customFormat="false" ht="15" hidden="false" customHeight="false" outlineLevel="2" collapsed="false">
      <c r="A148" s="8" t="s">
        <v>1575</v>
      </c>
      <c r="B148" s="9" t="s">
        <v>1576</v>
      </c>
      <c r="C148" s="8" t="s">
        <v>1525</v>
      </c>
      <c r="D148" s="12" t="s">
        <v>1526</v>
      </c>
      <c r="E148" s="16"/>
      <c r="F148" s="9" t="str">
        <f aca="false">IF($E148="","",IFERROR(INDEX(担当者マスタ!$B$2:$B$101,MATCH($E148,担当者マスタ!$A$2:$A$101,0)),"※マスタ未登録"))</f>
        <v/>
      </c>
      <c r="G148" s="11" t="n">
        <v>19.45</v>
      </c>
      <c r="H148" s="11" t="n">
        <v>20.588</v>
      </c>
      <c r="I148" s="11" t="n">
        <v>28.08</v>
      </c>
      <c r="J148" s="11" t="n">
        <v>17</v>
      </c>
      <c r="K148" s="11" t="n">
        <v>0</v>
      </c>
      <c r="L148" s="11" t="n">
        <v>24.198</v>
      </c>
      <c r="M148" s="11" t="n">
        <f aca="false">SUM(G148:L148)</f>
        <v>109.316</v>
      </c>
      <c r="N148" s="11" t="n">
        <v>8.38</v>
      </c>
      <c r="O148" s="11" t="n">
        <v>6.45</v>
      </c>
      <c r="P148" s="11" t="n">
        <v>9.474</v>
      </c>
      <c r="Q148" s="11" t="n">
        <v>6.47</v>
      </c>
      <c r="R148" s="11" t="n">
        <v>0</v>
      </c>
      <c r="S148" s="11" t="n">
        <v>8.384</v>
      </c>
      <c r="T148" s="11" t="n">
        <f aca="false">SUM(N148:S148)</f>
        <v>39.158</v>
      </c>
      <c r="U148" s="11" t="n">
        <v>20.53</v>
      </c>
      <c r="V148" s="11" t="n">
        <v>6.148</v>
      </c>
      <c r="W148" s="11" t="n">
        <v>45.575</v>
      </c>
      <c r="X148" s="11" t="n">
        <v>12.72</v>
      </c>
      <c r="Y148" s="11" t="n">
        <v>7.82</v>
      </c>
      <c r="Z148" s="11" t="n">
        <v>13.3</v>
      </c>
      <c r="AA148" s="11" t="n">
        <f aca="false">SUM(U148:Z148)</f>
        <v>106.093</v>
      </c>
      <c r="AB148" s="11" t="n">
        <v>7.937</v>
      </c>
      <c r="AC148" s="11" t="n">
        <v>2.308</v>
      </c>
      <c r="AD148" s="11" t="n">
        <v>17.491</v>
      </c>
      <c r="AE148" s="11" t="n">
        <v>3.289</v>
      </c>
      <c r="AF148" s="11" t="n">
        <v>2.227</v>
      </c>
      <c r="AG148" s="11" t="n">
        <v>4.928</v>
      </c>
      <c r="AH148" s="11" t="n">
        <f aca="false">SUM(AB148:AG148)</f>
        <v>38.18</v>
      </c>
    </row>
    <row r="149" customFormat="false" ht="15" hidden="false" customHeight="false" outlineLevel="2" collapsed="false">
      <c r="A149" s="8" t="s">
        <v>1577</v>
      </c>
      <c r="B149" s="12" t="s">
        <v>1578</v>
      </c>
      <c r="C149" s="8" t="s">
        <v>1525</v>
      </c>
      <c r="D149" s="12" t="s">
        <v>1526</v>
      </c>
      <c r="E149" s="16"/>
      <c r="F149" s="9" t="str">
        <f aca="false">IF($E149="","",IFERROR(INDEX(担当者マスタ!$B$2:$B$101,MATCH($E149,担当者マスタ!$A$2:$A$101,0)),"※マスタ未登録"))</f>
        <v/>
      </c>
      <c r="G149" s="11" t="n">
        <v>7.427</v>
      </c>
      <c r="H149" s="11" t="n">
        <v>37.6</v>
      </c>
      <c r="I149" s="11" t="n">
        <v>44.533</v>
      </c>
      <c r="J149" s="11" t="n">
        <v>0</v>
      </c>
      <c r="K149" s="11" t="n">
        <v>24.1</v>
      </c>
      <c r="L149" s="11" t="n">
        <v>32.406</v>
      </c>
      <c r="M149" s="11" t="n">
        <f aca="false">SUM(G149:L149)</f>
        <v>146.066</v>
      </c>
      <c r="N149" s="11" t="n">
        <v>0.949</v>
      </c>
      <c r="O149" s="11" t="n">
        <v>4.373</v>
      </c>
      <c r="P149" s="11" t="n">
        <v>5.263</v>
      </c>
      <c r="Q149" s="11" t="n">
        <v>0</v>
      </c>
      <c r="R149" s="11" t="n">
        <v>2.79</v>
      </c>
      <c r="S149" s="11" t="n">
        <v>3.684</v>
      </c>
      <c r="T149" s="11" t="n">
        <f aca="false">SUM(N149:S149)</f>
        <v>17.059</v>
      </c>
      <c r="U149" s="11" t="n">
        <v>23.832</v>
      </c>
      <c r="V149" s="11" t="n">
        <v>45.85</v>
      </c>
      <c r="W149" s="11" t="n">
        <v>84.538</v>
      </c>
      <c r="X149" s="11" t="n">
        <v>32.773</v>
      </c>
      <c r="Y149" s="11" t="n">
        <v>2.598</v>
      </c>
      <c r="Z149" s="11" t="n">
        <v>3.7</v>
      </c>
      <c r="AA149" s="11" t="n">
        <f aca="false">SUM(U149:Z149)</f>
        <v>193.291</v>
      </c>
      <c r="AB149" s="11" t="n">
        <v>1.605</v>
      </c>
      <c r="AC149" s="11" t="n">
        <v>5.104</v>
      </c>
      <c r="AD149" s="11" t="n">
        <v>9.381</v>
      </c>
      <c r="AE149" s="11" t="n">
        <v>3.943</v>
      </c>
      <c r="AF149" s="11" t="n">
        <v>0.286</v>
      </c>
      <c r="AG149" s="11" t="n">
        <v>0.408</v>
      </c>
      <c r="AH149" s="11" t="n">
        <f aca="false">SUM(AB149:AG149)</f>
        <v>20.727</v>
      </c>
    </row>
    <row r="150" customFormat="false" ht="15" hidden="false" customHeight="false" outlineLevel="2" collapsed="false">
      <c r="A150" s="8" t="s">
        <v>1579</v>
      </c>
      <c r="B150" s="12" t="s">
        <v>1580</v>
      </c>
      <c r="C150" s="8" t="s">
        <v>1525</v>
      </c>
      <c r="D150" s="12" t="s">
        <v>1526</v>
      </c>
      <c r="E150" s="16"/>
      <c r="F150" s="9" t="str">
        <f aca="false">IF($E150="","",IFERROR(INDEX(担当者マスタ!$B$2:$B$101,MATCH($E150,担当者マスタ!$A$2:$A$101,0)),"※マスタ未登録"))</f>
        <v/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f aca="false">SUM(G150:L150)</f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f aca="false">SUM(N150:S150)</f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3</v>
      </c>
      <c r="Z150" s="11" t="n">
        <v>0</v>
      </c>
      <c r="AA150" s="11" t="n">
        <f aca="false">SUM(U150:Z150)</f>
        <v>3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0.96</v>
      </c>
      <c r="AG150" s="11" t="n">
        <v>0</v>
      </c>
      <c r="AH150" s="11" t="n">
        <f aca="false">SUM(AB150:AG150)</f>
        <v>0.96</v>
      </c>
    </row>
    <row r="151" customFormat="false" ht="15" hidden="false" customHeight="false" outlineLevel="2" collapsed="false">
      <c r="A151" s="8" t="s">
        <v>1581</v>
      </c>
      <c r="B151" s="9" t="s">
        <v>1582</v>
      </c>
      <c r="C151" s="8" t="s">
        <v>1525</v>
      </c>
      <c r="D151" s="12" t="s">
        <v>1526</v>
      </c>
      <c r="E151" s="16"/>
      <c r="F151" s="9" t="str">
        <f aca="false">IF($E151="","",IFERROR(INDEX(担当者マスタ!$B$2:$B$101,MATCH($E151,担当者マスタ!$A$2:$A$101,0)),"※マスタ未登録"))</f>
        <v/>
      </c>
      <c r="G151" s="11" t="n">
        <v>132.72</v>
      </c>
      <c r="H151" s="11" t="n">
        <v>162.855</v>
      </c>
      <c r="I151" s="11" t="n">
        <v>79</v>
      </c>
      <c r="J151" s="11" t="n">
        <v>0</v>
      </c>
      <c r="K151" s="11" t="n">
        <v>18.4</v>
      </c>
      <c r="L151" s="11" t="n">
        <v>0</v>
      </c>
      <c r="M151" s="11" t="n">
        <f aca="false">SUM(G151:L151)</f>
        <v>392.975</v>
      </c>
      <c r="N151" s="11" t="n">
        <v>8.32</v>
      </c>
      <c r="O151" s="11" t="n">
        <v>12.425</v>
      </c>
      <c r="P151" s="11" t="n">
        <v>4.15</v>
      </c>
      <c r="Q151" s="11" t="n">
        <v>0</v>
      </c>
      <c r="R151" s="11" t="n">
        <v>5</v>
      </c>
      <c r="S151" s="11" t="n">
        <v>0</v>
      </c>
      <c r="T151" s="11" t="n">
        <f aca="false">SUM(N151:S151)</f>
        <v>29.895</v>
      </c>
      <c r="U151" s="11" t="n">
        <v>0</v>
      </c>
      <c r="V151" s="11" t="n">
        <v>133.855</v>
      </c>
      <c r="W151" s="11" t="n">
        <v>110.6</v>
      </c>
      <c r="X151" s="11" t="n">
        <v>15.8</v>
      </c>
      <c r="Y151" s="11" t="n">
        <v>0</v>
      </c>
      <c r="Z151" s="11" t="n">
        <v>0</v>
      </c>
      <c r="AA151" s="11" t="n">
        <f aca="false">SUM(U151:Z151)</f>
        <v>260.255</v>
      </c>
      <c r="AB151" s="11" t="n">
        <v>0</v>
      </c>
      <c r="AC151" s="11" t="n">
        <v>12.765</v>
      </c>
      <c r="AD151" s="11" t="n">
        <v>5.81</v>
      </c>
      <c r="AE151" s="11" t="n">
        <v>0.83</v>
      </c>
      <c r="AF151" s="11" t="n">
        <v>0</v>
      </c>
      <c r="AG151" s="11" t="n">
        <v>0</v>
      </c>
      <c r="AH151" s="11" t="n">
        <f aca="false">SUM(AB151:AG151)</f>
        <v>19.405</v>
      </c>
    </row>
    <row r="152" customFormat="false" ht="15" hidden="false" customHeight="false" outlineLevel="2" collapsed="false">
      <c r="A152" s="8" t="s">
        <v>1583</v>
      </c>
      <c r="B152" s="12" t="s">
        <v>1584</v>
      </c>
      <c r="C152" s="8" t="s">
        <v>1525</v>
      </c>
      <c r="D152" s="12" t="s">
        <v>1526</v>
      </c>
      <c r="E152" s="16"/>
      <c r="F152" s="9" t="str">
        <f aca="false">IF($E152="","",IFERROR(INDEX(担当者マスタ!$B$2:$B$101,MATCH($E152,担当者マスタ!$A$2:$A$101,0)),"※マスタ未登録"))</f>
        <v/>
      </c>
      <c r="G152" s="11" t="n">
        <v>8.88</v>
      </c>
      <c r="H152" s="11" t="n">
        <v>0</v>
      </c>
      <c r="I152" s="11" t="n">
        <v>8</v>
      </c>
      <c r="J152" s="11" t="n">
        <v>0</v>
      </c>
      <c r="K152" s="11" t="n">
        <v>0</v>
      </c>
      <c r="L152" s="11" t="n">
        <v>0</v>
      </c>
      <c r="M152" s="11" t="n">
        <f aca="false">SUM(G152:L152)</f>
        <v>16.88</v>
      </c>
      <c r="N152" s="11" t="n">
        <v>1.86</v>
      </c>
      <c r="O152" s="11" t="n">
        <v>0</v>
      </c>
      <c r="P152" s="11" t="n">
        <v>8</v>
      </c>
      <c r="Q152" s="11" t="n">
        <v>0</v>
      </c>
      <c r="R152" s="11" t="n">
        <v>0</v>
      </c>
      <c r="S152" s="11" t="n">
        <v>0</v>
      </c>
      <c r="T152" s="11" t="n">
        <f aca="false">SUM(N152:S152)</f>
        <v>9.86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f aca="false">SUM(U152:Z152)</f>
        <v>0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0</v>
      </c>
      <c r="AH152" s="11" t="n">
        <f aca="false">SUM(AB152:AG152)</f>
        <v>0</v>
      </c>
    </row>
    <row r="153" customFormat="false" ht="15" hidden="false" customHeight="false" outlineLevel="2" collapsed="false">
      <c r="A153" s="8" t="s">
        <v>1585</v>
      </c>
      <c r="B153" s="9" t="s">
        <v>1586</v>
      </c>
      <c r="C153" s="8" t="s">
        <v>1525</v>
      </c>
      <c r="D153" s="12" t="s">
        <v>1526</v>
      </c>
      <c r="E153" s="16"/>
      <c r="F153" s="9" t="str">
        <f aca="false">IF($E153="","",IFERROR(INDEX(担当者マスタ!$B$2:$B$101,MATCH($E153,担当者マスタ!$A$2:$A$101,0)),"※マスタ未登録"))</f>
        <v/>
      </c>
      <c r="G153" s="11" t="n">
        <v>4.83</v>
      </c>
      <c r="H153" s="11" t="n">
        <v>40.515</v>
      </c>
      <c r="I153" s="11" t="n">
        <v>59.587</v>
      </c>
      <c r="J153" s="11" t="n">
        <v>68.815</v>
      </c>
      <c r="K153" s="11" t="n">
        <v>14.85</v>
      </c>
      <c r="L153" s="11" t="n">
        <v>17.36</v>
      </c>
      <c r="M153" s="11" t="n">
        <f aca="false">SUM(G153:L153)</f>
        <v>205.957</v>
      </c>
      <c r="N153" s="11" t="n">
        <v>1.654</v>
      </c>
      <c r="O153" s="11" t="n">
        <v>7.125</v>
      </c>
      <c r="P153" s="11" t="n">
        <v>15.039</v>
      </c>
      <c r="Q153" s="11" t="n">
        <v>12.676</v>
      </c>
      <c r="R153" s="11" t="n">
        <v>3.16</v>
      </c>
      <c r="S153" s="11" t="n">
        <v>4.275</v>
      </c>
      <c r="T153" s="11" t="n">
        <f aca="false">SUM(N153:S153)</f>
        <v>43.929</v>
      </c>
      <c r="U153" s="11" t="n">
        <v>62.52</v>
      </c>
      <c r="V153" s="11" t="n">
        <v>0.45</v>
      </c>
      <c r="W153" s="11" t="n">
        <v>119.555</v>
      </c>
      <c r="X153" s="11" t="n">
        <v>1.7</v>
      </c>
      <c r="Y153" s="11" t="n">
        <v>23.705</v>
      </c>
      <c r="Z153" s="11" t="n">
        <v>21</v>
      </c>
      <c r="AA153" s="11" t="n">
        <f aca="false">SUM(U153:Z153)</f>
        <v>228.93</v>
      </c>
      <c r="AB153" s="11" t="n">
        <v>13.094</v>
      </c>
      <c r="AC153" s="11" t="n">
        <v>0.1</v>
      </c>
      <c r="AD153" s="11" t="n">
        <v>26.703</v>
      </c>
      <c r="AE153" s="11" t="n">
        <v>0.56</v>
      </c>
      <c r="AF153" s="11" t="n">
        <v>8.46</v>
      </c>
      <c r="AG153" s="11" t="n">
        <v>4.2</v>
      </c>
      <c r="AH153" s="11" t="n">
        <f aca="false">SUM(AB153:AG153)</f>
        <v>53.117</v>
      </c>
    </row>
    <row r="154" customFormat="false" ht="15" hidden="false" customHeight="false" outlineLevel="2" collapsed="false">
      <c r="A154" s="8" t="s">
        <v>1587</v>
      </c>
      <c r="B154" s="9" t="s">
        <v>1588</v>
      </c>
      <c r="C154" s="8" t="s">
        <v>1525</v>
      </c>
      <c r="D154" s="12" t="s">
        <v>1526</v>
      </c>
      <c r="E154" s="16"/>
      <c r="F154" s="9" t="str">
        <f aca="false">IF($E154="","",IFERROR(INDEX(担当者マスタ!$B$2:$B$101,MATCH($E154,担当者マスタ!$A$2:$A$101,0)),"※マスタ未登録"))</f>
        <v/>
      </c>
      <c r="G154" s="11" t="n">
        <v>104.775</v>
      </c>
      <c r="H154" s="11" t="n">
        <v>65.417</v>
      </c>
      <c r="I154" s="11" t="n">
        <v>36.07</v>
      </c>
      <c r="J154" s="11" t="n">
        <v>149.425</v>
      </c>
      <c r="K154" s="11" t="n">
        <v>61.62</v>
      </c>
      <c r="L154" s="11" t="n">
        <v>33.93</v>
      </c>
      <c r="M154" s="11" t="n">
        <f aca="false">SUM(G154:L154)</f>
        <v>451.237</v>
      </c>
      <c r="N154" s="11" t="n">
        <v>26.732</v>
      </c>
      <c r="O154" s="11" t="n">
        <v>17.606</v>
      </c>
      <c r="P154" s="11" t="n">
        <v>15.491</v>
      </c>
      <c r="Q154" s="11" t="n">
        <v>33.137</v>
      </c>
      <c r="R154" s="11" t="n">
        <v>14.393</v>
      </c>
      <c r="S154" s="11" t="n">
        <v>12.625</v>
      </c>
      <c r="T154" s="11" t="n">
        <f aca="false">SUM(N154:S154)</f>
        <v>119.984</v>
      </c>
      <c r="U154" s="11" t="n">
        <v>88.197</v>
      </c>
      <c r="V154" s="11" t="n">
        <v>27.81</v>
      </c>
      <c r="W154" s="11" t="n">
        <v>79.505</v>
      </c>
      <c r="X154" s="11" t="n">
        <v>38.23</v>
      </c>
      <c r="Y154" s="11" t="n">
        <v>54.68</v>
      </c>
      <c r="Z154" s="11" t="n">
        <v>62.923</v>
      </c>
      <c r="AA154" s="11" t="n">
        <f aca="false">SUM(U154:Z154)</f>
        <v>351.345</v>
      </c>
      <c r="AB154" s="11" t="n">
        <v>33.352</v>
      </c>
      <c r="AC154" s="11" t="n">
        <v>10.593</v>
      </c>
      <c r="AD154" s="11" t="n">
        <v>24.539</v>
      </c>
      <c r="AE154" s="11" t="n">
        <v>14.909</v>
      </c>
      <c r="AF154" s="11" t="n">
        <v>15.738</v>
      </c>
      <c r="AG154" s="11" t="n">
        <v>24.078</v>
      </c>
      <c r="AH154" s="11" t="n">
        <f aca="false">SUM(AB154:AG154)</f>
        <v>123.209</v>
      </c>
    </row>
    <row r="155" customFormat="false" ht="15" hidden="false" customHeight="false" outlineLevel="2" collapsed="false">
      <c r="A155" s="8" t="s">
        <v>1589</v>
      </c>
      <c r="B155" s="12" t="s">
        <v>1590</v>
      </c>
      <c r="C155" s="8" t="s">
        <v>1525</v>
      </c>
      <c r="D155" s="12" t="s">
        <v>1526</v>
      </c>
      <c r="E155" s="16"/>
      <c r="F155" s="9" t="str">
        <f aca="false">IF($E155="","",IFERROR(INDEX(担当者マスタ!$B$2:$B$101,MATCH($E155,担当者マスタ!$A$2:$A$101,0)),"※マスタ未登録"))</f>
        <v/>
      </c>
      <c r="G155" s="11" t="n">
        <v>171.5</v>
      </c>
      <c r="H155" s="11" t="n">
        <v>198.094</v>
      </c>
      <c r="I155" s="11" t="n">
        <v>385.117</v>
      </c>
      <c r="J155" s="11" t="n">
        <v>0</v>
      </c>
      <c r="K155" s="11" t="n">
        <v>6.2</v>
      </c>
      <c r="L155" s="11" t="n">
        <v>26.4</v>
      </c>
      <c r="M155" s="11" t="n">
        <f aca="false">SUM(G155:L155)</f>
        <v>787.311</v>
      </c>
      <c r="N155" s="11" t="n">
        <v>32.2</v>
      </c>
      <c r="O155" s="11" t="n">
        <v>48.154</v>
      </c>
      <c r="P155" s="11" t="n">
        <v>79.722</v>
      </c>
      <c r="Q155" s="11" t="n">
        <v>0</v>
      </c>
      <c r="R155" s="11" t="n">
        <v>1.2</v>
      </c>
      <c r="S155" s="11" t="n">
        <v>6</v>
      </c>
      <c r="T155" s="11" t="n">
        <f aca="false">SUM(N155:S155)</f>
        <v>167.276</v>
      </c>
      <c r="U155" s="11" t="n">
        <v>265.35</v>
      </c>
      <c r="V155" s="11" t="n">
        <v>81</v>
      </c>
      <c r="W155" s="11" t="n">
        <v>632.644</v>
      </c>
      <c r="X155" s="11" t="n">
        <v>207.87</v>
      </c>
      <c r="Y155" s="11" t="n">
        <v>6.2</v>
      </c>
      <c r="Z155" s="11" t="n">
        <v>81.6</v>
      </c>
      <c r="AA155" s="11" t="n">
        <f aca="false">SUM(U155:Z155)</f>
        <v>1274.664</v>
      </c>
      <c r="AB155" s="11" t="n">
        <v>58.35</v>
      </c>
      <c r="AC155" s="11" t="n">
        <v>24.092</v>
      </c>
      <c r="AD155" s="11" t="n">
        <v>127.509</v>
      </c>
      <c r="AE155" s="11" t="n">
        <v>41.73</v>
      </c>
      <c r="AF155" s="11" t="n">
        <v>1.2</v>
      </c>
      <c r="AG155" s="11" t="n">
        <v>16.16</v>
      </c>
      <c r="AH155" s="11" t="n">
        <f aca="false">SUM(AB155:AG155)</f>
        <v>269.041</v>
      </c>
    </row>
    <row r="156" customFormat="false" ht="15" hidden="false" customHeight="false" outlineLevel="2" collapsed="false">
      <c r="A156" s="8" t="s">
        <v>1591</v>
      </c>
      <c r="B156" s="12" t="s">
        <v>1592</v>
      </c>
      <c r="C156" s="8" t="s">
        <v>1525</v>
      </c>
      <c r="D156" s="12" t="s">
        <v>1526</v>
      </c>
      <c r="E156" s="16"/>
      <c r="F156" s="9" t="str">
        <f aca="false">IF($E156="","",IFERROR(INDEX(担当者マスタ!$B$2:$B$101,MATCH($E156,担当者マスタ!$A$2:$A$101,0)),"※マスタ未登録"))</f>
        <v/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200</v>
      </c>
      <c r="L156" s="11" t="n">
        <v>0</v>
      </c>
      <c r="M156" s="11" t="n">
        <f aca="false">SUM(G156:L156)</f>
        <v>200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44.9</v>
      </c>
      <c r="S156" s="11" t="n">
        <v>0</v>
      </c>
      <c r="T156" s="11" t="n">
        <f aca="false">SUM(N156:S156)</f>
        <v>44.9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f aca="false">SUM(U156:Z156)</f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0</v>
      </c>
      <c r="AG156" s="11" t="n">
        <v>0</v>
      </c>
      <c r="AH156" s="11" t="n">
        <f aca="false">SUM(AB156:AG156)</f>
        <v>0</v>
      </c>
    </row>
    <row r="157" customFormat="false" ht="15" hidden="false" customHeight="false" outlineLevel="2" collapsed="false">
      <c r="A157" s="8" t="s">
        <v>1593</v>
      </c>
      <c r="B157" s="9" t="s">
        <v>1594</v>
      </c>
      <c r="C157" s="8" t="s">
        <v>1525</v>
      </c>
      <c r="D157" s="12" t="s">
        <v>1526</v>
      </c>
      <c r="E157" s="16"/>
      <c r="F157" s="9" t="str">
        <f aca="false">IF($E157="","",IFERROR(INDEX(担当者マスタ!$B$2:$B$101,MATCH($E157,担当者マスタ!$A$2:$A$101,0)),"※マスタ未登録"))</f>
        <v/>
      </c>
      <c r="G157" s="11" t="n">
        <v>114.703</v>
      </c>
      <c r="H157" s="11" t="n">
        <v>185.82</v>
      </c>
      <c r="I157" s="11" t="n">
        <v>0</v>
      </c>
      <c r="J157" s="11" t="n">
        <v>28.915</v>
      </c>
      <c r="K157" s="11" t="n">
        <v>107.15</v>
      </c>
      <c r="L157" s="11" t="n">
        <v>14.3</v>
      </c>
      <c r="M157" s="11" t="n">
        <f aca="false">SUM(G157:L157)</f>
        <v>450.888</v>
      </c>
      <c r="N157" s="11" t="n">
        <v>21.436</v>
      </c>
      <c r="O157" s="11" t="n">
        <v>21.6</v>
      </c>
      <c r="P157" s="11" t="n">
        <v>0</v>
      </c>
      <c r="Q157" s="11" t="n">
        <v>4.095</v>
      </c>
      <c r="R157" s="11" t="n">
        <v>20.63</v>
      </c>
      <c r="S157" s="11" t="n">
        <v>2.3</v>
      </c>
      <c r="T157" s="11" t="n">
        <f aca="false">SUM(N157:S157)</f>
        <v>70.061</v>
      </c>
      <c r="U157" s="11" t="n">
        <v>106.05</v>
      </c>
      <c r="V157" s="11" t="n">
        <v>117.63</v>
      </c>
      <c r="W157" s="11" t="n">
        <v>68.8</v>
      </c>
      <c r="X157" s="11" t="n">
        <v>24.38</v>
      </c>
      <c r="Y157" s="11" t="n">
        <v>0</v>
      </c>
      <c r="Z157" s="11" t="n">
        <v>47.554</v>
      </c>
      <c r="AA157" s="11" t="n">
        <f aca="false">SUM(U157:Z157)</f>
        <v>364.414</v>
      </c>
      <c r="AB157" s="11" t="n">
        <v>8.13</v>
      </c>
      <c r="AC157" s="11" t="n">
        <v>22.8</v>
      </c>
      <c r="AD157" s="11" t="n">
        <v>11.488</v>
      </c>
      <c r="AE157" s="11" t="n">
        <v>8.14</v>
      </c>
      <c r="AF157" s="11" t="n">
        <v>0</v>
      </c>
      <c r="AG157" s="11" t="n">
        <v>4.764</v>
      </c>
      <c r="AH157" s="11" t="n">
        <f aca="false">SUM(AB157:AG157)</f>
        <v>55.322</v>
      </c>
    </row>
    <row r="158" customFormat="false" ht="15" hidden="false" customHeight="false" outlineLevel="2" collapsed="false">
      <c r="A158" s="8" t="s">
        <v>1595</v>
      </c>
      <c r="B158" s="9" t="s">
        <v>1596</v>
      </c>
      <c r="C158" s="8" t="s">
        <v>1525</v>
      </c>
      <c r="D158" s="12" t="s">
        <v>1526</v>
      </c>
      <c r="E158" s="16"/>
      <c r="F158" s="9" t="str">
        <f aca="false">IF($E158="","",IFERROR(INDEX(担当者マスタ!$B$2:$B$101,MATCH($E158,担当者マスタ!$A$2:$A$101,0)),"※マスタ未登録"))</f>
        <v/>
      </c>
      <c r="G158" s="11" t="n">
        <v>0</v>
      </c>
      <c r="H158" s="11" t="n">
        <v>0</v>
      </c>
      <c r="I158" s="11" t="n">
        <v>0</v>
      </c>
      <c r="J158" s="11" t="n">
        <v>110.1</v>
      </c>
      <c r="K158" s="11" t="n">
        <v>6.18</v>
      </c>
      <c r="L158" s="11" t="n">
        <v>0</v>
      </c>
      <c r="M158" s="11" t="n">
        <f aca="false">SUM(G158:L158)</f>
        <v>116.28</v>
      </c>
      <c r="N158" s="11" t="n">
        <v>0</v>
      </c>
      <c r="O158" s="11" t="n">
        <v>0</v>
      </c>
      <c r="P158" s="11" t="n">
        <v>0</v>
      </c>
      <c r="Q158" s="11" t="n">
        <v>37.4</v>
      </c>
      <c r="R158" s="11" t="n">
        <v>0.99</v>
      </c>
      <c r="S158" s="11" t="n">
        <v>0</v>
      </c>
      <c r="T158" s="11" t="n">
        <f aca="false">SUM(N158:S158)</f>
        <v>38.39</v>
      </c>
      <c r="U158" s="11" t="n">
        <v>58.4</v>
      </c>
      <c r="V158" s="11" t="n">
        <v>0</v>
      </c>
      <c r="W158" s="11" t="n">
        <v>0</v>
      </c>
      <c r="X158" s="11" t="n">
        <v>0</v>
      </c>
      <c r="Y158" s="11" t="n">
        <v>78.9</v>
      </c>
      <c r="Z158" s="11" t="n">
        <v>11.385</v>
      </c>
      <c r="AA158" s="11" t="n">
        <f aca="false">SUM(U158:Z158)</f>
        <v>148.685</v>
      </c>
      <c r="AB158" s="11" t="n">
        <v>27</v>
      </c>
      <c r="AC158" s="11" t="n">
        <v>0</v>
      </c>
      <c r="AD158" s="11" t="n">
        <v>0</v>
      </c>
      <c r="AE158" s="11" t="n">
        <v>0</v>
      </c>
      <c r="AF158" s="11" t="n">
        <v>17.763</v>
      </c>
      <c r="AG158" s="11" t="n">
        <v>3.064</v>
      </c>
      <c r="AH158" s="11" t="n">
        <f aca="false">SUM(AB158:AG158)</f>
        <v>47.827</v>
      </c>
    </row>
    <row r="159" customFormat="false" ht="15" hidden="false" customHeight="false" outlineLevel="2" collapsed="false">
      <c r="A159" s="8" t="s">
        <v>1597</v>
      </c>
      <c r="B159" s="12" t="s">
        <v>1598</v>
      </c>
      <c r="C159" s="8" t="s">
        <v>1525</v>
      </c>
      <c r="D159" s="12" t="s">
        <v>1526</v>
      </c>
      <c r="E159" s="16"/>
      <c r="F159" s="9" t="str">
        <f aca="false">IF($E159="","",IFERROR(INDEX(担当者マスタ!$B$2:$B$101,MATCH($E159,担当者マスタ!$A$2:$A$101,0)),"※マスタ未登録"))</f>
        <v/>
      </c>
      <c r="G159" s="11" t="n">
        <v>0</v>
      </c>
      <c r="H159" s="11" t="n">
        <v>0</v>
      </c>
      <c r="I159" s="11" t="n">
        <v>96</v>
      </c>
      <c r="J159" s="11" t="n">
        <v>0</v>
      </c>
      <c r="K159" s="11" t="n">
        <v>0</v>
      </c>
      <c r="L159" s="11" t="n">
        <v>0</v>
      </c>
      <c r="M159" s="11" t="n">
        <f aca="false">SUM(G159:L159)</f>
        <v>96</v>
      </c>
      <c r="N159" s="11" t="n">
        <v>0</v>
      </c>
      <c r="O159" s="11" t="n">
        <v>0</v>
      </c>
      <c r="P159" s="11" t="n">
        <v>18</v>
      </c>
      <c r="Q159" s="11" t="n">
        <v>0</v>
      </c>
      <c r="R159" s="11" t="n">
        <v>0</v>
      </c>
      <c r="S159" s="11" t="n">
        <v>0</v>
      </c>
      <c r="T159" s="11" t="n">
        <f aca="false">SUM(N159:S159)</f>
        <v>18</v>
      </c>
      <c r="U159" s="11" t="n">
        <v>0</v>
      </c>
      <c r="V159" s="11" t="n">
        <v>0</v>
      </c>
      <c r="W159" s="11" t="n">
        <v>68</v>
      </c>
      <c r="X159" s="11" t="n">
        <v>31.8</v>
      </c>
      <c r="Y159" s="11" t="n">
        <v>0</v>
      </c>
      <c r="Z159" s="11" t="n">
        <v>0</v>
      </c>
      <c r="AA159" s="11" t="n">
        <f aca="false">SUM(U159:Z159)</f>
        <v>99.8</v>
      </c>
      <c r="AB159" s="11" t="n">
        <v>0</v>
      </c>
      <c r="AC159" s="11" t="n">
        <v>0</v>
      </c>
      <c r="AD159" s="11" t="n">
        <v>12</v>
      </c>
      <c r="AE159" s="11" t="n">
        <v>5.6</v>
      </c>
      <c r="AF159" s="11" t="n">
        <v>0</v>
      </c>
      <c r="AG159" s="11" t="n">
        <v>0</v>
      </c>
      <c r="AH159" s="11" t="n">
        <f aca="false">SUM(AB159:AG159)</f>
        <v>17.6</v>
      </c>
    </row>
    <row r="160" customFormat="false" ht="15" hidden="false" customHeight="false" outlineLevel="2" collapsed="false">
      <c r="A160" s="8" t="s">
        <v>1599</v>
      </c>
      <c r="B160" s="12" t="s">
        <v>1600</v>
      </c>
      <c r="C160" s="8" t="s">
        <v>1525</v>
      </c>
      <c r="D160" s="12" t="s">
        <v>1526</v>
      </c>
      <c r="E160" s="16"/>
      <c r="F160" s="9" t="str">
        <f aca="false">IF($E160="","",IFERROR(INDEX(担当者マスタ!$B$2:$B$101,MATCH($E160,担当者マスタ!$A$2:$A$101,0)),"※マスタ未登録"))</f>
        <v/>
      </c>
      <c r="G160" s="11" t="n">
        <v>53</v>
      </c>
      <c r="H160" s="11" t="n">
        <v>34.75</v>
      </c>
      <c r="I160" s="11" t="n">
        <v>0</v>
      </c>
      <c r="J160" s="11" t="n">
        <v>0</v>
      </c>
      <c r="K160" s="11" t="n">
        <v>34.75</v>
      </c>
      <c r="L160" s="11" t="n">
        <v>0</v>
      </c>
      <c r="M160" s="11" t="n">
        <f aca="false">SUM(G160:L160)</f>
        <v>122.5</v>
      </c>
      <c r="N160" s="11" t="n">
        <v>5.5</v>
      </c>
      <c r="O160" s="11" t="n">
        <v>3.5</v>
      </c>
      <c r="P160" s="11" t="n">
        <v>0</v>
      </c>
      <c r="Q160" s="11" t="n">
        <v>0</v>
      </c>
      <c r="R160" s="11" t="n">
        <v>3.5</v>
      </c>
      <c r="S160" s="11" t="n">
        <v>0</v>
      </c>
      <c r="T160" s="11" t="n">
        <f aca="false">SUM(N160:S160)</f>
        <v>12.5</v>
      </c>
      <c r="U160" s="11" t="n">
        <v>61.15</v>
      </c>
      <c r="V160" s="11" t="n">
        <v>34.75</v>
      </c>
      <c r="W160" s="11" t="n">
        <v>0</v>
      </c>
      <c r="X160" s="11" t="n">
        <v>34.75</v>
      </c>
      <c r="Y160" s="11" t="n">
        <v>0</v>
      </c>
      <c r="Z160" s="11" t="n">
        <v>0</v>
      </c>
      <c r="AA160" s="11" t="n">
        <f aca="false">SUM(U160:Z160)</f>
        <v>130.65</v>
      </c>
      <c r="AB160" s="11" t="n">
        <v>6.2</v>
      </c>
      <c r="AC160" s="11" t="n">
        <v>3.5</v>
      </c>
      <c r="AD160" s="11" t="n">
        <v>0</v>
      </c>
      <c r="AE160" s="11" t="n">
        <v>3.5</v>
      </c>
      <c r="AF160" s="11" t="n">
        <v>0</v>
      </c>
      <c r="AG160" s="11" t="n">
        <v>0</v>
      </c>
      <c r="AH160" s="11" t="n">
        <f aca="false">SUM(AB160:AG160)</f>
        <v>13.2</v>
      </c>
    </row>
    <row r="161" customFormat="false" ht="15" hidden="false" customHeight="false" outlineLevel="2" collapsed="false">
      <c r="A161" s="8" t="s">
        <v>1601</v>
      </c>
      <c r="B161" s="12" t="s">
        <v>1602</v>
      </c>
      <c r="C161" s="8" t="s">
        <v>1525</v>
      </c>
      <c r="D161" s="12" t="s">
        <v>1526</v>
      </c>
      <c r="E161" s="16"/>
      <c r="F161" s="9" t="str">
        <f aca="false">IF($E161="","",IFERROR(INDEX(担当者マスタ!$B$2:$B$101,MATCH($E161,担当者マスタ!$A$2:$A$101,0)),"※マスタ未登録"))</f>
        <v/>
      </c>
      <c r="G161" s="11" t="n">
        <v>49.495</v>
      </c>
      <c r="H161" s="11" t="n">
        <v>1087.677</v>
      </c>
      <c r="I161" s="11" t="n">
        <v>70.335</v>
      </c>
      <c r="J161" s="11" t="n">
        <v>58.43</v>
      </c>
      <c r="K161" s="11" t="n">
        <v>27.875</v>
      </c>
      <c r="L161" s="11" t="n">
        <v>30.91</v>
      </c>
      <c r="M161" s="11" t="n">
        <f aca="false">SUM(G161:L161)</f>
        <v>1324.722</v>
      </c>
      <c r="N161" s="11" t="n">
        <v>10.226</v>
      </c>
      <c r="O161" s="11" t="n">
        <v>173.998</v>
      </c>
      <c r="P161" s="11" t="n">
        <v>15.046</v>
      </c>
      <c r="Q161" s="11" t="n">
        <v>15.629</v>
      </c>
      <c r="R161" s="11" t="n">
        <v>6.499</v>
      </c>
      <c r="S161" s="11" t="n">
        <v>8.808</v>
      </c>
      <c r="T161" s="11" t="n">
        <f aca="false">SUM(N161:S161)</f>
        <v>230.206</v>
      </c>
      <c r="U161" s="11" t="n">
        <v>136.24</v>
      </c>
      <c r="V161" s="11" t="n">
        <v>99.215</v>
      </c>
      <c r="W161" s="11" t="n">
        <v>56.1</v>
      </c>
      <c r="X161" s="11" t="n">
        <v>38.385</v>
      </c>
      <c r="Y161" s="11" t="n">
        <v>24.24</v>
      </c>
      <c r="Z161" s="11" t="n">
        <v>26.88</v>
      </c>
      <c r="AA161" s="11" t="n">
        <f aca="false">SUM(U161:Z161)</f>
        <v>381.06</v>
      </c>
      <c r="AB161" s="11" t="n">
        <v>38.236</v>
      </c>
      <c r="AC161" s="11" t="n">
        <v>21.543</v>
      </c>
      <c r="AD161" s="11" t="n">
        <v>12.014</v>
      </c>
      <c r="AE161" s="11" t="n">
        <v>8.911</v>
      </c>
      <c r="AF161" s="11" t="n">
        <v>4.386</v>
      </c>
      <c r="AG161" s="11" t="n">
        <v>6.436</v>
      </c>
      <c r="AH161" s="11" t="n">
        <f aca="false">SUM(AB161:AG161)</f>
        <v>91.526</v>
      </c>
    </row>
    <row r="162" customFormat="false" ht="15" hidden="false" customHeight="false" outlineLevel="2" collapsed="false">
      <c r="A162" s="8" t="s">
        <v>1603</v>
      </c>
      <c r="B162" s="12" t="s">
        <v>1604</v>
      </c>
      <c r="C162" s="8" t="s">
        <v>1525</v>
      </c>
      <c r="D162" s="12" t="s">
        <v>1526</v>
      </c>
      <c r="E162" s="16"/>
      <c r="F162" s="9" t="str">
        <f aca="false">IF($E162="","",IFERROR(INDEX(担当者マスタ!$B$2:$B$101,MATCH($E162,担当者マスタ!$A$2:$A$101,0)),"※マスタ未登録"))</f>
        <v/>
      </c>
      <c r="G162" s="11" t="n">
        <v>0</v>
      </c>
      <c r="H162" s="11" t="n">
        <v>29.6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f aca="false">SUM(G162:L162)</f>
        <v>29.6</v>
      </c>
      <c r="N162" s="11" t="n">
        <v>0</v>
      </c>
      <c r="O162" s="11" t="n">
        <v>7.4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f aca="false">SUM(N162:S162)</f>
        <v>7.4</v>
      </c>
      <c r="U162" s="11" t="n">
        <v>0</v>
      </c>
      <c r="V162" s="11" t="n">
        <v>14.8</v>
      </c>
      <c r="W162" s="11" t="n">
        <v>0</v>
      </c>
      <c r="X162" s="11" t="n">
        <v>0</v>
      </c>
      <c r="Y162" s="11" t="n">
        <v>14.8</v>
      </c>
      <c r="Z162" s="11" t="n">
        <v>0</v>
      </c>
      <c r="AA162" s="11" t="n">
        <f aca="false">SUM(U162:Z162)</f>
        <v>29.6</v>
      </c>
      <c r="AB162" s="11" t="n">
        <v>0</v>
      </c>
      <c r="AC162" s="11" t="n">
        <v>3.7</v>
      </c>
      <c r="AD162" s="11" t="n">
        <v>0</v>
      </c>
      <c r="AE162" s="11" t="n">
        <v>0</v>
      </c>
      <c r="AF162" s="11" t="n">
        <v>3.7</v>
      </c>
      <c r="AG162" s="11" t="n">
        <v>0</v>
      </c>
      <c r="AH162" s="11" t="n">
        <f aca="false">SUM(AB162:AG162)</f>
        <v>7.4</v>
      </c>
    </row>
    <row r="163" customFormat="false" ht="15" hidden="false" customHeight="false" outlineLevel="2" collapsed="false">
      <c r="A163" s="8" t="s">
        <v>1605</v>
      </c>
      <c r="B163" s="12" t="s">
        <v>1606</v>
      </c>
      <c r="C163" s="8" t="s">
        <v>1525</v>
      </c>
      <c r="D163" s="12" t="s">
        <v>1526</v>
      </c>
      <c r="E163" s="16"/>
      <c r="F163" s="9" t="str">
        <f aca="false">IF($E163="","",IFERROR(INDEX(担当者マスタ!$B$2:$B$101,MATCH($E163,担当者マスタ!$A$2:$A$101,0)),"※マスタ未登録"))</f>
        <v/>
      </c>
      <c r="G163" s="11" t="n">
        <v>192.73</v>
      </c>
      <c r="H163" s="11" t="n">
        <v>25.44</v>
      </c>
      <c r="I163" s="11" t="n">
        <v>135.659</v>
      </c>
      <c r="J163" s="11" t="n">
        <v>0</v>
      </c>
      <c r="K163" s="11" t="n">
        <v>0</v>
      </c>
      <c r="L163" s="11" t="n">
        <v>0</v>
      </c>
      <c r="M163" s="11" t="n">
        <f aca="false">SUM(G163:L163)</f>
        <v>353.829</v>
      </c>
      <c r="N163" s="11" t="n">
        <v>60.714</v>
      </c>
      <c r="O163" s="11" t="n">
        <v>6.4</v>
      </c>
      <c r="P163" s="11" t="n">
        <v>26.034</v>
      </c>
      <c r="Q163" s="11" t="n">
        <v>0</v>
      </c>
      <c r="R163" s="11" t="n">
        <v>0</v>
      </c>
      <c r="S163" s="11" t="n">
        <v>0</v>
      </c>
      <c r="T163" s="11" t="n">
        <f aca="false">SUM(N163:S163)</f>
        <v>93.148</v>
      </c>
      <c r="U163" s="11" t="n">
        <v>6.08</v>
      </c>
      <c r="V163" s="11" t="n">
        <v>92.98</v>
      </c>
      <c r="W163" s="11" t="n">
        <v>0</v>
      </c>
      <c r="X163" s="11" t="n">
        <v>0</v>
      </c>
      <c r="Y163" s="11" t="n">
        <v>7.35</v>
      </c>
      <c r="Z163" s="11" t="n">
        <v>12</v>
      </c>
      <c r="AA163" s="11" t="n">
        <f aca="false">SUM(U163:Z163)</f>
        <v>118.41</v>
      </c>
      <c r="AB163" s="11" t="n">
        <v>1.535</v>
      </c>
      <c r="AC163" s="11" t="n">
        <v>25.76</v>
      </c>
      <c r="AD163" s="11" t="n">
        <v>0</v>
      </c>
      <c r="AE163" s="11" t="n">
        <v>0</v>
      </c>
      <c r="AF163" s="11" t="n">
        <v>1.5</v>
      </c>
      <c r="AG163" s="11" t="n">
        <v>3.6</v>
      </c>
      <c r="AH163" s="11" t="n">
        <f aca="false">SUM(AB163:AG163)</f>
        <v>32.395</v>
      </c>
    </row>
    <row r="164" customFormat="false" ht="15" hidden="false" customHeight="false" outlineLevel="2" collapsed="false">
      <c r="A164" s="8" t="s">
        <v>1607</v>
      </c>
      <c r="B164" s="12" t="s">
        <v>1608</v>
      </c>
      <c r="C164" s="8" t="s">
        <v>1525</v>
      </c>
      <c r="D164" s="12" t="s">
        <v>1526</v>
      </c>
      <c r="E164" s="16"/>
      <c r="F164" s="9" t="str">
        <f aca="false">IF($E164="","",IFERROR(INDEX(担当者マスタ!$B$2:$B$101,MATCH($E164,担当者マスタ!$A$2:$A$101,0)),"※マスタ未登録"))</f>
        <v/>
      </c>
      <c r="G164" s="11" t="n">
        <v>0</v>
      </c>
      <c r="H164" s="11" t="n">
        <v>24.5</v>
      </c>
      <c r="I164" s="11" t="n">
        <v>45.1</v>
      </c>
      <c r="J164" s="11" t="n">
        <v>0</v>
      </c>
      <c r="K164" s="11" t="n">
        <v>0</v>
      </c>
      <c r="L164" s="11" t="n">
        <v>0</v>
      </c>
      <c r="M164" s="11" t="n">
        <f aca="false">SUM(G164:L164)</f>
        <v>69.6</v>
      </c>
      <c r="N164" s="11" t="n">
        <v>0</v>
      </c>
      <c r="O164" s="11" t="n">
        <v>6.5</v>
      </c>
      <c r="P164" s="11" t="n">
        <v>8.839</v>
      </c>
      <c r="Q164" s="11" t="n">
        <v>0</v>
      </c>
      <c r="R164" s="11" t="n">
        <v>0</v>
      </c>
      <c r="S164" s="11" t="n">
        <v>0</v>
      </c>
      <c r="T164" s="11" t="n">
        <f aca="false">SUM(N164:S164)</f>
        <v>15.339</v>
      </c>
      <c r="U164" s="11" t="n">
        <v>0</v>
      </c>
      <c r="V164" s="11" t="n">
        <v>180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f aca="false">SUM(U164:Z164)</f>
        <v>180</v>
      </c>
      <c r="AB164" s="11" t="n">
        <v>0</v>
      </c>
      <c r="AC164" s="11" t="n">
        <v>44.679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f aca="false">SUM(AB164:AG164)</f>
        <v>44.679</v>
      </c>
    </row>
    <row r="165" customFormat="false" ht="15" hidden="false" customHeight="false" outlineLevel="2" collapsed="false">
      <c r="A165" s="8" t="s">
        <v>1609</v>
      </c>
      <c r="B165" s="12" t="s">
        <v>1610</v>
      </c>
      <c r="C165" s="8" t="s">
        <v>1525</v>
      </c>
      <c r="D165" s="12" t="s">
        <v>1526</v>
      </c>
      <c r="E165" s="16"/>
      <c r="F165" s="9" t="str">
        <f aca="false">IF($E165="","",IFERROR(INDEX(担当者マスタ!$B$2:$B$101,MATCH($E165,担当者マスタ!$A$2:$A$101,0)),"※マスタ未登録"))</f>
        <v/>
      </c>
      <c r="G165" s="11" t="n">
        <v>0</v>
      </c>
      <c r="H165" s="11" t="n">
        <v>0</v>
      </c>
      <c r="I165" s="11" t="n">
        <v>9.762</v>
      </c>
      <c r="J165" s="11" t="n">
        <v>0</v>
      </c>
      <c r="K165" s="11" t="n">
        <v>0</v>
      </c>
      <c r="L165" s="11" t="n">
        <v>41.332</v>
      </c>
      <c r="M165" s="11" t="n">
        <f aca="false">SUM(G165:L165)</f>
        <v>51.094</v>
      </c>
      <c r="N165" s="11" t="n">
        <v>0</v>
      </c>
      <c r="O165" s="11" t="n">
        <v>0</v>
      </c>
      <c r="P165" s="11" t="n">
        <v>1.952</v>
      </c>
      <c r="Q165" s="11" t="n">
        <v>0</v>
      </c>
      <c r="R165" s="11" t="n">
        <v>0</v>
      </c>
      <c r="S165" s="11" t="n">
        <v>8.01</v>
      </c>
      <c r="T165" s="11" t="n">
        <f aca="false">SUM(N165:S165)</f>
        <v>9.962</v>
      </c>
      <c r="U165" s="11" t="n">
        <v>19.191</v>
      </c>
      <c r="V165" s="11" t="n">
        <v>29.88</v>
      </c>
      <c r="W165" s="11" t="n">
        <v>1.579</v>
      </c>
      <c r="X165" s="11" t="n">
        <v>16.084</v>
      </c>
      <c r="Y165" s="11" t="n">
        <v>0</v>
      </c>
      <c r="Z165" s="11" t="n">
        <v>0</v>
      </c>
      <c r="AA165" s="11" t="n">
        <f aca="false">SUM(U165:Z165)</f>
        <v>66.734</v>
      </c>
      <c r="AB165" s="11" t="n">
        <v>4.678</v>
      </c>
      <c r="AC165" s="11" t="n">
        <v>5.976</v>
      </c>
      <c r="AD165" s="11" t="n">
        <v>0.591</v>
      </c>
      <c r="AE165" s="11" t="n">
        <v>3.703</v>
      </c>
      <c r="AF165" s="11" t="n">
        <v>0</v>
      </c>
      <c r="AG165" s="11" t="n">
        <v>0</v>
      </c>
      <c r="AH165" s="11" t="n">
        <f aca="false">SUM(AB165:AG165)</f>
        <v>14.948</v>
      </c>
    </row>
    <row r="166" customFormat="false" ht="15" hidden="false" customHeight="false" outlineLevel="2" collapsed="false">
      <c r="A166" s="8" t="s">
        <v>1611</v>
      </c>
      <c r="B166" s="12" t="s">
        <v>1612</v>
      </c>
      <c r="C166" s="8" t="s">
        <v>1525</v>
      </c>
      <c r="D166" s="12" t="s">
        <v>1526</v>
      </c>
      <c r="E166" s="16"/>
      <c r="F166" s="9" t="str">
        <f aca="false">IF($E166="","",IFERROR(INDEX(担当者マスタ!$B$2:$B$101,MATCH($E166,担当者マスタ!$A$2:$A$101,0)),"※マスタ未登録"))</f>
        <v/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15.9</v>
      </c>
      <c r="L166" s="11" t="n">
        <v>0</v>
      </c>
      <c r="M166" s="11" t="n">
        <f aca="false">SUM(G166:L166)</f>
        <v>15.9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5.4</v>
      </c>
      <c r="S166" s="11" t="n">
        <v>0</v>
      </c>
      <c r="T166" s="11" t="n">
        <f aca="false">SUM(N166:S166)</f>
        <v>5.4</v>
      </c>
      <c r="U166" s="11" t="n">
        <v>0</v>
      </c>
      <c r="V166" s="11" t="n">
        <v>0</v>
      </c>
      <c r="W166" s="11" t="n">
        <v>15.9</v>
      </c>
      <c r="X166" s="11" t="n">
        <v>0</v>
      </c>
      <c r="Y166" s="11" t="n">
        <v>0</v>
      </c>
      <c r="Z166" s="11" t="n">
        <v>0</v>
      </c>
      <c r="AA166" s="11" t="n">
        <f aca="false">SUM(U166:Z166)</f>
        <v>15.9</v>
      </c>
      <c r="AB166" s="11" t="n">
        <v>0</v>
      </c>
      <c r="AC166" s="11" t="n">
        <v>0</v>
      </c>
      <c r="AD166" s="11" t="n">
        <v>5.4</v>
      </c>
      <c r="AE166" s="11" t="n">
        <v>0</v>
      </c>
      <c r="AF166" s="11" t="n">
        <v>0</v>
      </c>
      <c r="AG166" s="11" t="n">
        <v>0</v>
      </c>
      <c r="AH166" s="11" t="n">
        <f aca="false">SUM(AB166:AG166)</f>
        <v>5.4</v>
      </c>
    </row>
    <row r="167" customFormat="false" ht="15" hidden="false" customHeight="false" outlineLevel="2" collapsed="false">
      <c r="A167" s="8" t="s">
        <v>1613</v>
      </c>
      <c r="B167" s="12" t="s">
        <v>1614</v>
      </c>
      <c r="C167" s="8" t="s">
        <v>1525</v>
      </c>
      <c r="D167" s="12" t="s">
        <v>1526</v>
      </c>
      <c r="E167" s="16"/>
      <c r="F167" s="9" t="str">
        <f aca="false">IF($E167="","",IFERROR(INDEX(担当者マスタ!$B$2:$B$101,MATCH($E167,担当者マスタ!$A$2:$A$101,0)),"※マスタ未登録"))</f>
        <v/>
      </c>
      <c r="G167" s="11" t="n">
        <v>0</v>
      </c>
      <c r="H167" s="11" t="n">
        <v>0</v>
      </c>
      <c r="I167" s="11" t="n">
        <v>15</v>
      </c>
      <c r="J167" s="11" t="n">
        <v>0</v>
      </c>
      <c r="K167" s="11" t="n">
        <v>0</v>
      </c>
      <c r="L167" s="11" t="n">
        <v>0</v>
      </c>
      <c r="M167" s="11" t="n">
        <f aca="false">SUM(G167:L167)</f>
        <v>15</v>
      </c>
      <c r="N167" s="11" t="n">
        <v>0</v>
      </c>
      <c r="O167" s="11" t="n">
        <v>0</v>
      </c>
      <c r="P167" s="11" t="n">
        <v>4.5</v>
      </c>
      <c r="Q167" s="11" t="n">
        <v>0</v>
      </c>
      <c r="R167" s="11" t="n">
        <v>0</v>
      </c>
      <c r="S167" s="11" t="n">
        <v>0</v>
      </c>
      <c r="T167" s="11" t="n">
        <f aca="false">SUM(N167:S167)</f>
        <v>4.5</v>
      </c>
      <c r="U167" s="11" t="n">
        <v>0</v>
      </c>
      <c r="V167" s="11" t="n">
        <v>15</v>
      </c>
      <c r="W167" s="11" t="n">
        <v>0</v>
      </c>
      <c r="X167" s="11" t="n">
        <v>0</v>
      </c>
      <c r="Y167" s="11" t="n">
        <v>15</v>
      </c>
      <c r="Z167" s="11" t="n">
        <v>0</v>
      </c>
      <c r="AA167" s="11" t="n">
        <f aca="false">SUM(U167:Z167)</f>
        <v>30</v>
      </c>
      <c r="AB167" s="11" t="n">
        <v>0</v>
      </c>
      <c r="AC167" s="11" t="n">
        <v>4.5</v>
      </c>
      <c r="AD167" s="11" t="n">
        <v>0</v>
      </c>
      <c r="AE167" s="11" t="n">
        <v>0</v>
      </c>
      <c r="AF167" s="11" t="n">
        <v>4.5</v>
      </c>
      <c r="AG167" s="11" t="n">
        <v>0</v>
      </c>
      <c r="AH167" s="11" t="n">
        <f aca="false">SUM(AB167:AG167)</f>
        <v>9</v>
      </c>
    </row>
    <row r="168" customFormat="false" ht="15" hidden="false" customHeight="false" outlineLevel="2" collapsed="false">
      <c r="A168" s="8" t="s">
        <v>1615</v>
      </c>
      <c r="B168" s="12" t="s">
        <v>1616</v>
      </c>
      <c r="C168" s="8" t="s">
        <v>1525</v>
      </c>
      <c r="D168" s="12" t="s">
        <v>1526</v>
      </c>
      <c r="E168" s="16"/>
      <c r="F168" s="9" t="str">
        <f aca="false">IF($E168="","",IFERROR(INDEX(担当者マスタ!$B$2:$B$101,MATCH($E168,担当者マスタ!$A$2:$A$101,0)),"※マスタ未登録"))</f>
        <v/>
      </c>
      <c r="G168" s="11" t="n">
        <v>10.5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f aca="false">SUM(G168:L168)</f>
        <v>10.5</v>
      </c>
      <c r="N168" s="11" t="n">
        <v>2.1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f aca="false">SUM(N168:S168)</f>
        <v>2.1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f aca="false">SUM(U168:Z168)</f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f aca="false">SUM(AB168:AG168)</f>
        <v>0</v>
      </c>
    </row>
    <row r="169" customFormat="false" ht="15" hidden="false" customHeight="false" outlineLevel="2" collapsed="false">
      <c r="A169" s="8" t="s">
        <v>1617</v>
      </c>
      <c r="B169" s="12" t="s">
        <v>1618</v>
      </c>
      <c r="C169" s="8" t="s">
        <v>1525</v>
      </c>
      <c r="D169" s="12" t="s">
        <v>1526</v>
      </c>
      <c r="E169" s="16"/>
      <c r="F169" s="9" t="str">
        <f aca="false">IF($E169="","",IFERROR(INDEX(担当者マスタ!$B$2:$B$101,MATCH($E169,担当者マスタ!$A$2:$A$101,0)),"※マスタ未登録"))</f>
        <v/>
      </c>
      <c r="G169" s="11" t="n">
        <v>275.06</v>
      </c>
      <c r="H169" s="11" t="n">
        <v>228.846</v>
      </c>
      <c r="I169" s="11" t="n">
        <v>424.111</v>
      </c>
      <c r="J169" s="11" t="n">
        <v>145.612</v>
      </c>
      <c r="K169" s="11" t="n">
        <v>345.299</v>
      </c>
      <c r="L169" s="11" t="n">
        <v>151.451</v>
      </c>
      <c r="M169" s="11" t="n">
        <f aca="false">SUM(G169:L169)</f>
        <v>1570.379</v>
      </c>
      <c r="N169" s="11" t="n">
        <v>73.467</v>
      </c>
      <c r="O169" s="11" t="n">
        <v>56.523</v>
      </c>
      <c r="P169" s="11" t="n">
        <v>95.486</v>
      </c>
      <c r="Q169" s="11" t="n">
        <v>36.266</v>
      </c>
      <c r="R169" s="11" t="n">
        <v>56.636</v>
      </c>
      <c r="S169" s="11" t="n">
        <v>37.134</v>
      </c>
      <c r="T169" s="11" t="n">
        <f aca="false">SUM(N169:S169)</f>
        <v>355.512</v>
      </c>
      <c r="U169" s="11" t="n">
        <v>263.658</v>
      </c>
      <c r="V169" s="11" t="n">
        <v>140.005</v>
      </c>
      <c r="W169" s="11" t="n">
        <v>434.759</v>
      </c>
      <c r="X169" s="11" t="n">
        <v>156.655</v>
      </c>
      <c r="Y169" s="11" t="n">
        <v>257.833</v>
      </c>
      <c r="Z169" s="11" t="n">
        <v>98.785</v>
      </c>
      <c r="AA169" s="11" t="n">
        <f aca="false">SUM(U169:Z169)</f>
        <v>1351.695</v>
      </c>
      <c r="AB169" s="11" t="n">
        <v>62.971</v>
      </c>
      <c r="AC169" s="11" t="n">
        <v>38.618</v>
      </c>
      <c r="AD169" s="11" t="n">
        <v>102.203</v>
      </c>
      <c r="AE169" s="11" t="n">
        <v>37.354</v>
      </c>
      <c r="AF169" s="11" t="n">
        <v>60.987</v>
      </c>
      <c r="AG169" s="11" t="n">
        <v>26.661</v>
      </c>
      <c r="AH169" s="11" t="n">
        <f aca="false">SUM(AB169:AG169)</f>
        <v>328.794</v>
      </c>
    </row>
    <row r="170" customFormat="false" ht="15" hidden="false" customHeight="false" outlineLevel="2" collapsed="false">
      <c r="A170" s="8" t="s">
        <v>1619</v>
      </c>
      <c r="B170" s="12" t="s">
        <v>1620</v>
      </c>
      <c r="C170" s="8" t="s">
        <v>1525</v>
      </c>
      <c r="D170" s="12" t="s">
        <v>1526</v>
      </c>
      <c r="E170" s="16"/>
      <c r="F170" s="9" t="str">
        <f aca="false">IF($E170="","",IFERROR(INDEX(担当者マスタ!$B$2:$B$101,MATCH($E170,担当者マスタ!$A$2:$A$101,0)),"※マスタ未登録"))</f>
        <v/>
      </c>
      <c r="G170" s="11" t="n">
        <v>0</v>
      </c>
      <c r="H170" s="11" t="n">
        <v>55.56</v>
      </c>
      <c r="I170" s="11" t="n">
        <v>24.8</v>
      </c>
      <c r="J170" s="11" t="n">
        <v>80.4</v>
      </c>
      <c r="K170" s="11" t="n">
        <v>0</v>
      </c>
      <c r="L170" s="11" t="n">
        <v>0</v>
      </c>
      <c r="M170" s="11" t="n">
        <f aca="false">SUM(G170:L170)</f>
        <v>160.76</v>
      </c>
      <c r="N170" s="11" t="n">
        <v>0</v>
      </c>
      <c r="O170" s="11" t="n">
        <v>11.165</v>
      </c>
      <c r="P170" s="11" t="n">
        <v>7.3</v>
      </c>
      <c r="Q170" s="11" t="n">
        <v>16.83</v>
      </c>
      <c r="R170" s="11" t="n">
        <v>0</v>
      </c>
      <c r="S170" s="11" t="n">
        <v>0</v>
      </c>
      <c r="T170" s="11" t="n">
        <f aca="false">SUM(N170:S170)</f>
        <v>35.295</v>
      </c>
      <c r="U170" s="11" t="n">
        <v>0</v>
      </c>
      <c r="V170" s="11" t="n">
        <v>0</v>
      </c>
      <c r="W170" s="11" t="n">
        <v>0</v>
      </c>
      <c r="X170" s="11" t="n">
        <v>65.47</v>
      </c>
      <c r="Y170" s="11" t="n">
        <v>0</v>
      </c>
      <c r="Z170" s="11" t="n">
        <v>0</v>
      </c>
      <c r="AA170" s="11" t="n">
        <f aca="false">SUM(U170:Z170)</f>
        <v>65.47</v>
      </c>
      <c r="AB170" s="11" t="n">
        <v>0</v>
      </c>
      <c r="AC170" s="11" t="n">
        <v>0</v>
      </c>
      <c r="AD170" s="11" t="n">
        <v>0</v>
      </c>
      <c r="AE170" s="11" t="n">
        <v>12.38</v>
      </c>
      <c r="AF170" s="11" t="n">
        <v>0</v>
      </c>
      <c r="AG170" s="11" t="n">
        <v>0</v>
      </c>
      <c r="AH170" s="11" t="n">
        <f aca="false">SUM(AB170:AG170)</f>
        <v>12.38</v>
      </c>
    </row>
    <row r="171" customFormat="false" ht="15" hidden="false" customHeight="false" outlineLevel="2" collapsed="false">
      <c r="A171" s="8" t="s">
        <v>1621</v>
      </c>
      <c r="B171" s="9" t="s">
        <v>1622</v>
      </c>
      <c r="C171" s="8" t="s">
        <v>1525</v>
      </c>
      <c r="D171" s="12" t="s">
        <v>1526</v>
      </c>
      <c r="E171" s="16"/>
      <c r="F171" s="9" t="str">
        <f aca="false">IF($E171="","",IFERROR(INDEX(担当者マスタ!$B$2:$B$101,MATCH($E171,担当者マスタ!$A$2:$A$101,0)),"※マスタ未登録"))</f>
        <v/>
      </c>
      <c r="G171" s="11" t="n">
        <v>73.5</v>
      </c>
      <c r="H171" s="11" t="n">
        <v>17.5</v>
      </c>
      <c r="I171" s="11" t="n">
        <v>16.05</v>
      </c>
      <c r="J171" s="11" t="n">
        <v>54.83</v>
      </c>
      <c r="K171" s="11" t="n">
        <v>39.81</v>
      </c>
      <c r="L171" s="11" t="n">
        <v>27.93</v>
      </c>
      <c r="M171" s="11" t="n">
        <f aca="false">SUM(G171:L171)</f>
        <v>229.62</v>
      </c>
      <c r="N171" s="11" t="n">
        <v>13.981</v>
      </c>
      <c r="O171" s="11" t="n">
        <v>3.3</v>
      </c>
      <c r="P171" s="11" t="n">
        <v>3.53</v>
      </c>
      <c r="Q171" s="11" t="n">
        <v>10.031</v>
      </c>
      <c r="R171" s="11" t="n">
        <v>6.957</v>
      </c>
      <c r="S171" s="11" t="n">
        <v>6.41</v>
      </c>
      <c r="T171" s="11" t="n">
        <f aca="false">SUM(N171:S171)</f>
        <v>44.209</v>
      </c>
      <c r="U171" s="11" t="n">
        <v>71.6</v>
      </c>
      <c r="V171" s="11" t="n">
        <v>79.24</v>
      </c>
      <c r="W171" s="11" t="n">
        <v>158.43</v>
      </c>
      <c r="X171" s="11" t="n">
        <v>16.1</v>
      </c>
      <c r="Y171" s="11" t="n">
        <v>22.575</v>
      </c>
      <c r="Z171" s="11" t="n">
        <v>63.76</v>
      </c>
      <c r="AA171" s="11" t="n">
        <f aca="false">SUM(U171:Z171)</f>
        <v>411.705</v>
      </c>
      <c r="AB171" s="11" t="n">
        <v>10.846</v>
      </c>
      <c r="AC171" s="11" t="n">
        <v>13.662</v>
      </c>
      <c r="AD171" s="11" t="n">
        <v>24.757</v>
      </c>
      <c r="AE171" s="11" t="n">
        <v>3.3</v>
      </c>
      <c r="AF171" s="11" t="n">
        <v>3.213</v>
      </c>
      <c r="AG171" s="11" t="n">
        <v>11.436</v>
      </c>
      <c r="AH171" s="11" t="n">
        <f aca="false">SUM(AB171:AG171)</f>
        <v>67.214</v>
      </c>
    </row>
    <row r="172" customFormat="false" ht="15" hidden="false" customHeight="false" outlineLevel="2" collapsed="false">
      <c r="A172" s="8" t="s">
        <v>1623</v>
      </c>
      <c r="B172" s="12" t="s">
        <v>1624</v>
      </c>
      <c r="C172" s="8" t="s">
        <v>1525</v>
      </c>
      <c r="D172" s="12" t="s">
        <v>1526</v>
      </c>
      <c r="E172" s="16"/>
      <c r="F172" s="9" t="str">
        <f aca="false">IF($E172="","",IFERROR(INDEX(担当者マスタ!$B$2:$B$101,MATCH($E172,担当者マスタ!$A$2:$A$101,0)),"※マスタ未登録"))</f>
        <v/>
      </c>
      <c r="G172" s="11" t="n">
        <v>0</v>
      </c>
      <c r="H172" s="11" t="n">
        <v>18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f aca="false">SUM(G172:L172)</f>
        <v>18</v>
      </c>
      <c r="N172" s="11" t="n">
        <v>0</v>
      </c>
      <c r="O172" s="11" t="n">
        <v>10.72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f aca="false">SUM(N172:S172)</f>
        <v>10.72</v>
      </c>
      <c r="U172" s="11" t="n">
        <v>0</v>
      </c>
      <c r="V172" s="11" t="n">
        <v>0</v>
      </c>
      <c r="W172" s="11" t="n">
        <v>4</v>
      </c>
      <c r="X172" s="11" t="n">
        <v>0</v>
      </c>
      <c r="Y172" s="11" t="n">
        <v>4</v>
      </c>
      <c r="Z172" s="11" t="n">
        <v>0</v>
      </c>
      <c r="AA172" s="11" t="n">
        <f aca="false">SUM(U172:Z172)</f>
        <v>8</v>
      </c>
      <c r="AB172" s="11" t="n">
        <v>0</v>
      </c>
      <c r="AC172" s="11" t="n">
        <v>0</v>
      </c>
      <c r="AD172" s="11" t="n">
        <v>1.1</v>
      </c>
      <c r="AE172" s="11" t="n">
        <v>0</v>
      </c>
      <c r="AF172" s="11" t="n">
        <v>1.1</v>
      </c>
      <c r="AG172" s="11" t="n">
        <v>0</v>
      </c>
      <c r="AH172" s="11" t="n">
        <f aca="false">SUM(AB172:AG172)</f>
        <v>2.2</v>
      </c>
    </row>
    <row r="173" customFormat="false" ht="15" hidden="false" customHeight="false" outlineLevel="2" collapsed="false">
      <c r="A173" s="8" t="s">
        <v>1625</v>
      </c>
      <c r="B173" s="12" t="s">
        <v>1626</v>
      </c>
      <c r="C173" s="8" t="s">
        <v>1525</v>
      </c>
      <c r="D173" s="12" t="s">
        <v>1526</v>
      </c>
      <c r="E173" s="16"/>
      <c r="F173" s="9" t="str">
        <f aca="false">IF($E173="","",IFERROR(INDEX(担当者マスタ!$B$2:$B$101,MATCH($E173,担当者マスタ!$A$2:$A$101,0)),"※マスタ未登録"))</f>
        <v/>
      </c>
      <c r="G173" s="11" t="n">
        <v>24.78</v>
      </c>
      <c r="H173" s="11" t="n">
        <v>73.46</v>
      </c>
      <c r="I173" s="11" t="n">
        <v>786.42</v>
      </c>
      <c r="J173" s="11" t="n">
        <v>0</v>
      </c>
      <c r="K173" s="11" t="n">
        <v>32</v>
      </c>
      <c r="L173" s="11" t="n">
        <v>16.52</v>
      </c>
      <c r="M173" s="11" t="n">
        <f aca="false">SUM(G173:L173)</f>
        <v>933.18</v>
      </c>
      <c r="N173" s="11" t="n">
        <v>5.22</v>
      </c>
      <c r="O173" s="11" t="n">
        <v>8.24</v>
      </c>
      <c r="P173" s="11" t="n">
        <v>84.46</v>
      </c>
      <c r="Q173" s="11" t="n">
        <v>0</v>
      </c>
      <c r="R173" s="11" t="n">
        <v>6.97</v>
      </c>
      <c r="S173" s="11" t="n">
        <v>2.6</v>
      </c>
      <c r="T173" s="11" t="n">
        <f aca="false">SUM(N173:S173)</f>
        <v>107.49</v>
      </c>
      <c r="U173" s="11" t="n">
        <v>36.86</v>
      </c>
      <c r="V173" s="11" t="n">
        <v>16.52</v>
      </c>
      <c r="W173" s="11" t="n">
        <v>172.16</v>
      </c>
      <c r="X173" s="11" t="n">
        <v>0</v>
      </c>
      <c r="Y173" s="11" t="n">
        <v>0</v>
      </c>
      <c r="Z173" s="11" t="n">
        <v>0</v>
      </c>
      <c r="AA173" s="11" t="n">
        <f aca="false">SUM(U173:Z173)</f>
        <v>225.54</v>
      </c>
      <c r="AB173" s="11" t="n">
        <v>5.66</v>
      </c>
      <c r="AC173" s="11" t="n">
        <v>2.6</v>
      </c>
      <c r="AD173" s="11" t="n">
        <v>22.48</v>
      </c>
      <c r="AE173" s="11" t="n">
        <v>0</v>
      </c>
      <c r="AF173" s="11" t="n">
        <v>0</v>
      </c>
      <c r="AG173" s="11" t="n">
        <v>0</v>
      </c>
      <c r="AH173" s="11" t="n">
        <f aca="false">SUM(AB173:AG173)</f>
        <v>30.74</v>
      </c>
    </row>
    <row r="174" customFormat="false" ht="15" hidden="false" customHeight="false" outlineLevel="2" collapsed="false">
      <c r="A174" s="8" t="s">
        <v>1627</v>
      </c>
      <c r="B174" s="12" t="s">
        <v>1628</v>
      </c>
      <c r="C174" s="8" t="s">
        <v>1525</v>
      </c>
      <c r="D174" s="12" t="s">
        <v>1526</v>
      </c>
      <c r="E174" s="16"/>
      <c r="F174" s="9" t="str">
        <f aca="false">IF($E174="","",IFERROR(INDEX(担当者マスタ!$B$2:$B$101,MATCH($E174,担当者マスタ!$A$2:$A$101,0)),"※マスタ未登録"))</f>
        <v/>
      </c>
      <c r="G174" s="11" t="n">
        <v>0</v>
      </c>
      <c r="H174" s="11" t="n">
        <v>0</v>
      </c>
      <c r="I174" s="11" t="n">
        <v>10.99</v>
      </c>
      <c r="J174" s="11" t="n">
        <v>0</v>
      </c>
      <c r="K174" s="11" t="n">
        <v>0</v>
      </c>
      <c r="L174" s="11" t="n">
        <v>0</v>
      </c>
      <c r="M174" s="11" t="n">
        <f aca="false">SUM(G174:L174)</f>
        <v>10.99</v>
      </c>
      <c r="N174" s="11" t="n">
        <v>0</v>
      </c>
      <c r="O174" s="11" t="n">
        <v>0</v>
      </c>
      <c r="P174" s="11" t="n">
        <v>1.8</v>
      </c>
      <c r="Q174" s="11" t="n">
        <v>0</v>
      </c>
      <c r="R174" s="11" t="n">
        <v>0</v>
      </c>
      <c r="S174" s="11" t="n">
        <v>0</v>
      </c>
      <c r="T174" s="11" t="n">
        <f aca="false">SUM(N174:S174)</f>
        <v>1.8</v>
      </c>
      <c r="U174" s="11" t="n">
        <v>0</v>
      </c>
      <c r="V174" s="11" t="n">
        <v>0</v>
      </c>
      <c r="W174" s="11" t="n">
        <v>0</v>
      </c>
      <c r="X174" s="11" t="n">
        <v>10.99</v>
      </c>
      <c r="Y174" s="11" t="n">
        <v>0</v>
      </c>
      <c r="Z174" s="11" t="n">
        <v>0</v>
      </c>
      <c r="AA174" s="11" t="n">
        <f aca="false">SUM(U174:Z174)</f>
        <v>10.99</v>
      </c>
      <c r="AB174" s="11" t="n">
        <v>0</v>
      </c>
      <c r="AC174" s="11" t="n">
        <v>0</v>
      </c>
      <c r="AD174" s="11" t="n">
        <v>0</v>
      </c>
      <c r="AE174" s="11" t="n">
        <v>1.8</v>
      </c>
      <c r="AF174" s="11" t="n">
        <v>0</v>
      </c>
      <c r="AG174" s="11" t="n">
        <v>0</v>
      </c>
      <c r="AH174" s="11" t="n">
        <f aca="false">SUM(AB174:AG174)</f>
        <v>1.8</v>
      </c>
    </row>
    <row r="175" customFormat="false" ht="15" hidden="false" customHeight="false" outlineLevel="2" collapsed="false">
      <c r="A175" s="8" t="s">
        <v>1629</v>
      </c>
      <c r="B175" s="12" t="s">
        <v>1630</v>
      </c>
      <c r="C175" s="8" t="s">
        <v>1525</v>
      </c>
      <c r="D175" s="12" t="s">
        <v>1526</v>
      </c>
      <c r="E175" s="16"/>
      <c r="F175" s="9" t="str">
        <f aca="false">IF($E175="","",IFERROR(INDEX(担当者マスタ!$B$2:$B$101,MATCH($E175,担当者マスタ!$A$2:$A$101,0)),"※マスタ未登録"))</f>
        <v/>
      </c>
      <c r="G175" s="11" t="n">
        <v>0</v>
      </c>
      <c r="H175" s="11" t="n">
        <v>31.71</v>
      </c>
      <c r="I175" s="11" t="n">
        <v>16.34</v>
      </c>
      <c r="J175" s="11" t="n">
        <v>0</v>
      </c>
      <c r="K175" s="11" t="n">
        <v>1.28</v>
      </c>
      <c r="L175" s="11" t="n">
        <v>0</v>
      </c>
      <c r="M175" s="11" t="n">
        <f aca="false">SUM(G175:L175)</f>
        <v>49.33</v>
      </c>
      <c r="N175" s="11" t="n">
        <v>0</v>
      </c>
      <c r="O175" s="11" t="n">
        <v>9.468</v>
      </c>
      <c r="P175" s="11" t="n">
        <v>4.86</v>
      </c>
      <c r="Q175" s="11" t="n">
        <v>0</v>
      </c>
      <c r="R175" s="11" t="n">
        <v>0.249</v>
      </c>
      <c r="S175" s="11" t="n">
        <v>0</v>
      </c>
      <c r="T175" s="11" t="n">
        <f aca="false">SUM(N175:S175)</f>
        <v>14.577</v>
      </c>
      <c r="U175" s="11" t="n">
        <v>0</v>
      </c>
      <c r="V175" s="11" t="n">
        <v>16.555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f aca="false">SUM(U175:Z175)</f>
        <v>16.555</v>
      </c>
      <c r="AB175" s="11" t="n">
        <v>0</v>
      </c>
      <c r="AC175" s="11" t="n">
        <v>5.202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f aca="false">SUM(AB175:AG175)</f>
        <v>5.202</v>
      </c>
    </row>
    <row r="176" customFormat="false" ht="15" hidden="false" customHeight="false" outlineLevel="2" collapsed="false">
      <c r="A176" s="8" t="s">
        <v>1631</v>
      </c>
      <c r="B176" s="12" t="s">
        <v>1632</v>
      </c>
      <c r="C176" s="8" t="s">
        <v>1525</v>
      </c>
      <c r="D176" s="12" t="s">
        <v>1526</v>
      </c>
      <c r="E176" s="16"/>
      <c r="F176" s="9" t="str">
        <f aca="false">IF($E176="","",IFERROR(INDEX(担当者マスタ!$B$2:$B$101,MATCH($E176,担当者マスタ!$A$2:$A$101,0)),"※マスタ未登録"))</f>
        <v/>
      </c>
      <c r="G176" s="11" t="n">
        <v>2.86</v>
      </c>
      <c r="H176" s="11" t="n">
        <v>2.21</v>
      </c>
      <c r="I176" s="11" t="n">
        <v>0.78</v>
      </c>
      <c r="J176" s="11" t="n">
        <v>2.412</v>
      </c>
      <c r="K176" s="11" t="n">
        <v>1.19</v>
      </c>
      <c r="L176" s="11" t="n">
        <v>2.44</v>
      </c>
      <c r="M176" s="11" t="n">
        <f aca="false">SUM(G176:L176)</f>
        <v>11.892</v>
      </c>
      <c r="N176" s="11" t="n">
        <v>1.24</v>
      </c>
      <c r="O176" s="11" t="n">
        <v>0.916</v>
      </c>
      <c r="P176" s="11" t="n">
        <v>0.33</v>
      </c>
      <c r="Q176" s="11" t="n">
        <v>0.383</v>
      </c>
      <c r="R176" s="11" t="n">
        <v>0.496</v>
      </c>
      <c r="S176" s="11" t="n">
        <v>1.026</v>
      </c>
      <c r="T176" s="11" t="n">
        <f aca="false">SUM(N176:S176)</f>
        <v>4.391</v>
      </c>
      <c r="U176" s="11" t="n">
        <v>6.66</v>
      </c>
      <c r="V176" s="11" t="n">
        <v>1.51</v>
      </c>
      <c r="W176" s="11" t="n">
        <v>1.19</v>
      </c>
      <c r="X176" s="11" t="n">
        <v>5.439</v>
      </c>
      <c r="Y176" s="11" t="n">
        <v>1.115</v>
      </c>
      <c r="Z176" s="11" t="n">
        <v>0.94</v>
      </c>
      <c r="AA176" s="11" t="n">
        <f aca="false">SUM(U176:Z176)</f>
        <v>16.854</v>
      </c>
      <c r="AB176" s="11" t="n">
        <v>2.026</v>
      </c>
      <c r="AC176" s="11" t="n">
        <v>0.52</v>
      </c>
      <c r="AD176" s="11" t="n">
        <v>0.496</v>
      </c>
      <c r="AE176" s="11" t="n">
        <v>2.264</v>
      </c>
      <c r="AF176" s="11" t="n">
        <v>0.468</v>
      </c>
      <c r="AG176" s="11" t="n">
        <v>0.34</v>
      </c>
      <c r="AH176" s="11" t="n">
        <f aca="false">SUM(AB176:AG176)</f>
        <v>6.114</v>
      </c>
    </row>
    <row r="177" customFormat="false" ht="15" hidden="false" customHeight="false" outlineLevel="2" collapsed="false">
      <c r="A177" s="8" t="s">
        <v>1633</v>
      </c>
      <c r="B177" s="9" t="s">
        <v>1634</v>
      </c>
      <c r="C177" s="8" t="s">
        <v>1525</v>
      </c>
      <c r="D177" s="12" t="s">
        <v>1526</v>
      </c>
      <c r="E177" s="16"/>
      <c r="F177" s="9" t="str">
        <f aca="false">IF($E177="","",IFERROR(INDEX(担当者マスタ!$B$2:$B$101,MATCH($E177,担当者マスタ!$A$2:$A$101,0)),"※マスタ未登録"))</f>
        <v/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14.6</v>
      </c>
      <c r="L177" s="11" t="n">
        <v>0</v>
      </c>
      <c r="M177" s="11" t="n">
        <f aca="false">SUM(G177:L177)</f>
        <v>14.6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2.36</v>
      </c>
      <c r="S177" s="11" t="n">
        <v>0</v>
      </c>
      <c r="T177" s="11" t="n">
        <f aca="false">SUM(N177:S177)</f>
        <v>2.36</v>
      </c>
      <c r="U177" s="11" t="n">
        <v>0</v>
      </c>
      <c r="V177" s="11" t="n">
        <v>0</v>
      </c>
      <c r="W177" s="11" t="n">
        <v>17.2</v>
      </c>
      <c r="X177" s="11" t="n">
        <v>0</v>
      </c>
      <c r="Y177" s="11" t="n">
        <v>0</v>
      </c>
      <c r="Z177" s="11" t="n">
        <v>0</v>
      </c>
      <c r="AA177" s="11" t="n">
        <f aca="false">SUM(U177:Z177)</f>
        <v>17.2</v>
      </c>
      <c r="AB177" s="11" t="n">
        <v>0</v>
      </c>
      <c r="AC177" s="11" t="n">
        <v>0</v>
      </c>
      <c r="AD177" s="11" t="n">
        <v>9.65</v>
      </c>
      <c r="AE177" s="11" t="n">
        <v>0</v>
      </c>
      <c r="AF177" s="11" t="n">
        <v>0</v>
      </c>
      <c r="AG177" s="11" t="n">
        <v>0</v>
      </c>
      <c r="AH177" s="11" t="n">
        <f aca="false">SUM(AB177:AG177)</f>
        <v>9.65</v>
      </c>
    </row>
    <row r="178" customFormat="false" ht="15" hidden="false" customHeight="false" outlineLevel="2" collapsed="false">
      <c r="A178" s="8" t="s">
        <v>1635</v>
      </c>
      <c r="B178" s="12" t="s">
        <v>1636</v>
      </c>
      <c r="C178" s="8" t="s">
        <v>1525</v>
      </c>
      <c r="D178" s="12" t="s">
        <v>1526</v>
      </c>
      <c r="E178" s="16"/>
      <c r="F178" s="9" t="str">
        <f aca="false">IF($E178="","",IFERROR(INDEX(担当者マスタ!$B$2:$B$101,MATCH($E178,担当者マスタ!$A$2:$A$101,0)),"※マスタ未登録"))</f>
        <v/>
      </c>
      <c r="G178" s="11" t="n">
        <v>18.378</v>
      </c>
      <c r="H178" s="11" t="n">
        <v>8.004</v>
      </c>
      <c r="I178" s="11" t="n">
        <v>16.513</v>
      </c>
      <c r="J178" s="11" t="n">
        <v>0</v>
      </c>
      <c r="K178" s="11" t="n">
        <v>6.503</v>
      </c>
      <c r="L178" s="11" t="n">
        <v>14.768</v>
      </c>
      <c r="M178" s="11" t="n">
        <f aca="false">SUM(G178:L178)</f>
        <v>64.166</v>
      </c>
      <c r="N178" s="11" t="n">
        <v>4.415</v>
      </c>
      <c r="O178" s="11" t="n">
        <v>2.046</v>
      </c>
      <c r="P178" s="11" t="n">
        <v>4.433</v>
      </c>
      <c r="Q178" s="11" t="n">
        <v>0</v>
      </c>
      <c r="R178" s="11" t="n">
        <v>1.608</v>
      </c>
      <c r="S178" s="11" t="n">
        <v>2.918</v>
      </c>
      <c r="T178" s="11" t="n">
        <f aca="false">SUM(N178:S178)</f>
        <v>15.42</v>
      </c>
      <c r="U178" s="11" t="n">
        <v>16.595</v>
      </c>
      <c r="V178" s="11" t="n">
        <v>5.948</v>
      </c>
      <c r="W178" s="11" t="n">
        <v>4.38</v>
      </c>
      <c r="X178" s="11" t="n">
        <v>1.648</v>
      </c>
      <c r="Y178" s="11" t="n">
        <v>18.745</v>
      </c>
      <c r="Z178" s="11" t="n">
        <v>1.72</v>
      </c>
      <c r="AA178" s="11" t="n">
        <f aca="false">SUM(U178:Z178)</f>
        <v>49.036</v>
      </c>
      <c r="AB178" s="11" t="n">
        <v>4.152</v>
      </c>
      <c r="AC178" s="11" t="n">
        <v>1.516</v>
      </c>
      <c r="AD178" s="11" t="n">
        <v>1.35</v>
      </c>
      <c r="AE178" s="11" t="n">
        <v>0.508</v>
      </c>
      <c r="AF178" s="11" t="n">
        <v>3.666</v>
      </c>
      <c r="AG178" s="11" t="n">
        <v>0.53</v>
      </c>
      <c r="AH178" s="11" t="n">
        <f aca="false">SUM(AB178:AG178)</f>
        <v>11.722</v>
      </c>
    </row>
    <row r="179" customFormat="false" ht="15" hidden="false" customHeight="false" outlineLevel="2" collapsed="false">
      <c r="A179" s="8" t="s">
        <v>1637</v>
      </c>
      <c r="B179" s="12" t="s">
        <v>1638</v>
      </c>
      <c r="C179" s="8" t="s">
        <v>1525</v>
      </c>
      <c r="D179" s="12" t="s">
        <v>1526</v>
      </c>
      <c r="E179" s="16"/>
      <c r="F179" s="9" t="str">
        <f aca="false">IF($E179="","",IFERROR(INDEX(担当者マスタ!$B$2:$B$101,MATCH($E179,担当者マスタ!$A$2:$A$101,0)),"※マスタ未登録"))</f>
        <v/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9.95</v>
      </c>
      <c r="M179" s="11" t="n">
        <f aca="false">SUM(G179:L179)</f>
        <v>9.95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2.67</v>
      </c>
      <c r="T179" s="11" t="n">
        <f aca="false">SUM(N179:S179)</f>
        <v>2.67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f aca="false">SUM(U179:Z179)</f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f aca="false">SUM(AB179:AG179)</f>
        <v>0</v>
      </c>
    </row>
    <row r="180" customFormat="false" ht="15" hidden="false" customHeight="false" outlineLevel="2" collapsed="false">
      <c r="A180" s="8" t="s">
        <v>1639</v>
      </c>
      <c r="B180" s="12" t="s">
        <v>1640</v>
      </c>
      <c r="C180" s="8" t="s">
        <v>1525</v>
      </c>
      <c r="D180" s="12" t="s">
        <v>1526</v>
      </c>
      <c r="E180" s="16"/>
      <c r="F180" s="9" t="str">
        <f aca="false">IF($E180="","",IFERROR(INDEX(担当者マスタ!$B$2:$B$101,MATCH($E180,担当者マスタ!$A$2:$A$101,0)),"※マスタ未登録"))</f>
        <v/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f aca="false">SUM(G180:L180)</f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f aca="false">SUM(N180:S180)</f>
        <v>0</v>
      </c>
      <c r="U180" s="11" t="n">
        <v>0</v>
      </c>
      <c r="V180" s="11" t="n">
        <v>0</v>
      </c>
      <c r="W180" s="11" t="n">
        <v>0</v>
      </c>
      <c r="X180" s="11" t="n">
        <v>4.55</v>
      </c>
      <c r="Y180" s="11" t="n">
        <v>0</v>
      </c>
      <c r="Z180" s="11" t="n">
        <v>0</v>
      </c>
      <c r="AA180" s="11" t="n">
        <f aca="false">SUM(U180:Z180)</f>
        <v>4.55</v>
      </c>
      <c r="AB180" s="11" t="n">
        <v>0</v>
      </c>
      <c r="AC180" s="11" t="n">
        <v>0</v>
      </c>
      <c r="AD180" s="11" t="n">
        <v>0</v>
      </c>
      <c r="AE180" s="11" t="n">
        <v>2.47</v>
      </c>
      <c r="AF180" s="11" t="n">
        <v>0</v>
      </c>
      <c r="AG180" s="11" t="n">
        <v>0</v>
      </c>
      <c r="AH180" s="11" t="n">
        <f aca="false">SUM(AB180:AG180)</f>
        <v>2.47</v>
      </c>
    </row>
    <row r="181" customFormat="false" ht="15" hidden="false" customHeight="false" outlineLevel="2" collapsed="false">
      <c r="A181" s="8" t="s">
        <v>1641</v>
      </c>
      <c r="B181" s="9" t="s">
        <v>1642</v>
      </c>
      <c r="C181" s="8" t="s">
        <v>1525</v>
      </c>
      <c r="D181" s="12" t="s">
        <v>1526</v>
      </c>
      <c r="E181" s="16"/>
      <c r="F181" s="9" t="str">
        <f aca="false">IF($E181="","",IFERROR(INDEX(担当者マスタ!$B$2:$B$101,MATCH($E181,担当者マスタ!$A$2:$A$101,0)),"※マスタ未登録"))</f>
        <v/>
      </c>
      <c r="G181" s="11" t="n">
        <v>0</v>
      </c>
      <c r="H181" s="11" t="n">
        <v>0</v>
      </c>
      <c r="I181" s="11" t="n">
        <v>46.92</v>
      </c>
      <c r="J181" s="11" t="n">
        <v>46.92</v>
      </c>
      <c r="K181" s="11" t="n">
        <v>31.35</v>
      </c>
      <c r="L181" s="11" t="n">
        <v>46.92</v>
      </c>
      <c r="M181" s="11" t="n">
        <f aca="false">SUM(G181:L181)</f>
        <v>172.11</v>
      </c>
      <c r="N181" s="11" t="n">
        <v>0</v>
      </c>
      <c r="O181" s="11" t="n">
        <v>0</v>
      </c>
      <c r="P181" s="11" t="n">
        <v>7.17</v>
      </c>
      <c r="Q181" s="11" t="n">
        <v>7.17</v>
      </c>
      <c r="R181" s="11" t="n">
        <v>4.83</v>
      </c>
      <c r="S181" s="11" t="n">
        <v>7.17</v>
      </c>
      <c r="T181" s="11" t="n">
        <f aca="false">SUM(N181:S181)</f>
        <v>26.34</v>
      </c>
      <c r="U181" s="11" t="n">
        <v>55.5</v>
      </c>
      <c r="V181" s="11" t="n">
        <v>22.77</v>
      </c>
      <c r="W181" s="11" t="n">
        <v>46.92</v>
      </c>
      <c r="X181" s="11" t="n">
        <v>24.15</v>
      </c>
      <c r="Y181" s="11" t="n">
        <v>47.13</v>
      </c>
      <c r="Z181" s="11" t="n">
        <v>47.13</v>
      </c>
      <c r="AA181" s="11" t="n">
        <f aca="false">SUM(U181:Z181)</f>
        <v>243.6</v>
      </c>
      <c r="AB181" s="11" t="n">
        <v>8.46</v>
      </c>
      <c r="AC181" s="11" t="n">
        <v>3.54</v>
      </c>
      <c r="AD181" s="11" t="n">
        <v>7.17</v>
      </c>
      <c r="AE181" s="11" t="n">
        <v>3.63</v>
      </c>
      <c r="AF181" s="11" t="n">
        <v>7.32</v>
      </c>
      <c r="AG181" s="11" t="n">
        <v>7.32</v>
      </c>
      <c r="AH181" s="11" t="n">
        <f aca="false">SUM(AB181:AG181)</f>
        <v>37.44</v>
      </c>
    </row>
    <row r="182" customFormat="false" ht="15" hidden="false" customHeight="false" outlineLevel="2" collapsed="false">
      <c r="A182" s="8" t="s">
        <v>1643</v>
      </c>
      <c r="B182" s="12" t="s">
        <v>1644</v>
      </c>
      <c r="C182" s="8" t="s">
        <v>1525</v>
      </c>
      <c r="D182" s="12" t="s">
        <v>1526</v>
      </c>
      <c r="E182" s="16"/>
      <c r="F182" s="9" t="str">
        <f aca="false">IF($E182="","",IFERROR(INDEX(担当者マスタ!$B$2:$B$101,MATCH($E182,担当者マスタ!$A$2:$A$101,0)),"※マスタ未登録"))</f>
        <v/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f aca="false">SUM(G182:L182)</f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f aca="false">SUM(N182:S182)</f>
        <v>0</v>
      </c>
      <c r="U182" s="11" t="n">
        <v>0</v>
      </c>
      <c r="V182" s="11" t="n">
        <v>0</v>
      </c>
      <c r="W182" s="11" t="n">
        <v>22.2</v>
      </c>
      <c r="X182" s="11" t="n">
        <v>13.8</v>
      </c>
      <c r="Y182" s="11" t="n">
        <v>184.65</v>
      </c>
      <c r="Z182" s="11" t="n">
        <v>14.8</v>
      </c>
      <c r="AA182" s="11" t="n">
        <f aca="false">SUM(U182:Z182)</f>
        <v>235.45</v>
      </c>
      <c r="AB182" s="11" t="n">
        <v>0</v>
      </c>
      <c r="AC182" s="11" t="n">
        <v>0</v>
      </c>
      <c r="AD182" s="11" t="n">
        <v>4.2</v>
      </c>
      <c r="AE182" s="11" t="n">
        <v>2</v>
      </c>
      <c r="AF182" s="11" t="n">
        <v>5.9</v>
      </c>
      <c r="AG182" s="11" t="n">
        <v>2.8</v>
      </c>
      <c r="AH182" s="11" t="n">
        <f aca="false">SUM(AB182:AG182)</f>
        <v>14.9</v>
      </c>
    </row>
    <row r="183" customFormat="false" ht="15" hidden="false" customHeight="false" outlineLevel="2" collapsed="false">
      <c r="A183" s="8" t="s">
        <v>1645</v>
      </c>
      <c r="B183" s="9" t="s">
        <v>1646</v>
      </c>
      <c r="C183" s="8" t="s">
        <v>1525</v>
      </c>
      <c r="D183" s="12" t="s">
        <v>1526</v>
      </c>
      <c r="E183" s="16"/>
      <c r="F183" s="9" t="str">
        <f aca="false">IF($E183="","",IFERROR(INDEX(担当者マスタ!$B$2:$B$101,MATCH($E183,担当者マスタ!$A$2:$A$101,0)),"※マスタ未登録"))</f>
        <v/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f aca="false">SUM(G183:L183)</f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f aca="false">SUM(N183:S183)</f>
        <v>0</v>
      </c>
      <c r="U183" s="11" t="n">
        <v>0</v>
      </c>
      <c r="V183" s="11" t="n">
        <v>0</v>
      </c>
      <c r="W183" s="11" t="n">
        <v>30</v>
      </c>
      <c r="X183" s="11" t="n">
        <v>85</v>
      </c>
      <c r="Y183" s="11" t="n">
        <v>0</v>
      </c>
      <c r="Z183" s="11" t="n">
        <v>0</v>
      </c>
      <c r="AA183" s="11" t="n">
        <f aca="false">SUM(U183:Z183)</f>
        <v>115</v>
      </c>
      <c r="AB183" s="11" t="n">
        <v>0</v>
      </c>
      <c r="AC183" s="11" t="n">
        <v>0</v>
      </c>
      <c r="AD183" s="11" t="n">
        <v>8</v>
      </c>
      <c r="AE183" s="11" t="n">
        <v>12.5</v>
      </c>
      <c r="AF183" s="11" t="n">
        <v>0</v>
      </c>
      <c r="AG183" s="11" t="n">
        <v>0</v>
      </c>
      <c r="AH183" s="11" t="n">
        <f aca="false">SUM(AB183:AG183)</f>
        <v>20.5</v>
      </c>
    </row>
    <row r="184" customFormat="false" ht="15" hidden="false" customHeight="false" outlineLevel="1" collapsed="false">
      <c r="A184" s="19"/>
      <c r="B184" s="19"/>
      <c r="C184" s="17" t="s">
        <v>1949</v>
      </c>
      <c r="D184" s="19" t="s">
        <v>1526</v>
      </c>
      <c r="E184" s="19"/>
      <c r="F184" s="19"/>
      <c r="G184" s="18" t="n">
        <f aca="false">SUBTOTAL(9,G123:G183)</f>
        <v>3602.202</v>
      </c>
      <c r="H184" s="18" t="n">
        <f aca="false">SUBTOTAL(9,H123:H183)</f>
        <v>6469.391</v>
      </c>
      <c r="I184" s="18" t="n">
        <f aca="false">SUBTOTAL(9,I123:I183)</f>
        <v>4364.931</v>
      </c>
      <c r="J184" s="18" t="n">
        <f aca="false">SUBTOTAL(9,J123:J183)</f>
        <v>2515.664</v>
      </c>
      <c r="K184" s="18" t="n">
        <f aca="false">SUBTOTAL(9,K123:K183)</f>
        <v>2340.059</v>
      </c>
      <c r="L184" s="18" t="n">
        <f aca="false">SUBTOTAL(9,L123:L183)</f>
        <v>8989.104</v>
      </c>
      <c r="M184" s="18" t="n">
        <f aca="false">SUBTOTAL(9,M123:M183)</f>
        <v>28281.351</v>
      </c>
      <c r="N184" s="18" t="n">
        <f aca="false">SUBTOTAL(9,N123:N183)</f>
        <v>787.913</v>
      </c>
      <c r="O184" s="18" t="n">
        <f aca="false">SUBTOTAL(9,O123:O183)</f>
        <v>1112.636</v>
      </c>
      <c r="P184" s="18" t="n">
        <f aca="false">SUBTOTAL(9,P123:P183)</f>
        <v>815.18</v>
      </c>
      <c r="Q184" s="18" t="n">
        <f aca="false">SUBTOTAL(9,Q123:Q183)</f>
        <v>519.927</v>
      </c>
      <c r="R184" s="18" t="n">
        <f aca="false">SUBTOTAL(9,R123:R183)</f>
        <v>519.159</v>
      </c>
      <c r="S184" s="18" t="n">
        <f aca="false">SUBTOTAL(9,S123:S183)</f>
        <v>1681.943</v>
      </c>
      <c r="T184" s="18" t="n">
        <f aca="false">SUBTOTAL(9,T123:T183)</f>
        <v>5436.758</v>
      </c>
      <c r="U184" s="18" t="n">
        <f aca="false">SUBTOTAL(9,U123:U183)</f>
        <v>5773.907</v>
      </c>
      <c r="V184" s="18" t="n">
        <f aca="false">SUBTOTAL(9,V123:V183)</f>
        <v>3867.862</v>
      </c>
      <c r="W184" s="18" t="n">
        <f aca="false">SUBTOTAL(9,W123:W183)</f>
        <v>4282.341</v>
      </c>
      <c r="X184" s="18" t="n">
        <f aca="false">SUBTOTAL(9,X123:X183)</f>
        <v>6782.823</v>
      </c>
      <c r="Y184" s="18" t="n">
        <f aca="false">SUBTOTAL(9,Y123:Y183)</f>
        <v>1813.65</v>
      </c>
      <c r="Z184" s="18" t="n">
        <f aca="false">SUBTOTAL(9,Z123:Z183)</f>
        <v>2256.58</v>
      </c>
      <c r="AA184" s="18" t="n">
        <f aca="false">SUBTOTAL(9,AA123:AA183)</f>
        <v>24777.163</v>
      </c>
      <c r="AB184" s="18" t="n">
        <f aca="false">SUBTOTAL(9,AB123:AB183)</f>
        <v>1185.2845</v>
      </c>
      <c r="AC184" s="18" t="n">
        <f aca="false">SUBTOTAL(9,AC123:AC183)</f>
        <v>729.176</v>
      </c>
      <c r="AD184" s="18" t="n">
        <f aca="false">SUBTOTAL(9,AD123:AD183)</f>
        <v>841.792</v>
      </c>
      <c r="AE184" s="18" t="n">
        <f aca="false">SUBTOTAL(9,AE123:AE183)</f>
        <v>1298.822</v>
      </c>
      <c r="AF184" s="18" t="n">
        <f aca="false">SUBTOTAL(9,AF123:AF183)</f>
        <v>362.67</v>
      </c>
      <c r="AG184" s="18" t="n">
        <f aca="false">SUBTOTAL(9,AG123:AG183)</f>
        <v>480.013</v>
      </c>
      <c r="AH184" s="18" t="n">
        <f aca="false">SUBTOTAL(9,AH123:AH183)</f>
        <v>4897.7575</v>
      </c>
    </row>
    <row r="185" customFormat="false" ht="15" hidden="false" customHeight="false" outlineLevel="2" collapsed="false">
      <c r="A185" s="8" t="s">
        <v>1647</v>
      </c>
      <c r="B185" s="9" t="s">
        <v>1648</v>
      </c>
      <c r="C185" s="8" t="s">
        <v>1649</v>
      </c>
      <c r="D185" s="12" t="s">
        <v>1650</v>
      </c>
      <c r="E185" s="16"/>
      <c r="F185" s="9" t="str">
        <f aca="false">IF($E185="","",IFERROR(INDEX(担当者マスタ!$B$2:$B$101,MATCH($E185,担当者マスタ!$A$2:$A$101,0)),"※マスタ未登録"))</f>
        <v/>
      </c>
      <c r="G185" s="11" t="n">
        <v>12.8</v>
      </c>
      <c r="H185" s="11" t="n">
        <v>19.9</v>
      </c>
      <c r="I185" s="11" t="n">
        <v>496.1</v>
      </c>
      <c r="J185" s="11" t="n">
        <v>0</v>
      </c>
      <c r="K185" s="11" t="n">
        <v>198.8</v>
      </c>
      <c r="L185" s="11" t="n">
        <v>839.2</v>
      </c>
      <c r="M185" s="11" t="n">
        <f aca="false">SUM(G185:L185)</f>
        <v>1566.8</v>
      </c>
      <c r="N185" s="11" t="n">
        <v>2.3</v>
      </c>
      <c r="O185" s="11" t="n">
        <v>3.94</v>
      </c>
      <c r="P185" s="11" t="n">
        <v>97.105</v>
      </c>
      <c r="Q185" s="11" t="n">
        <v>0</v>
      </c>
      <c r="R185" s="11" t="n">
        <v>30.03</v>
      </c>
      <c r="S185" s="11" t="n">
        <v>108</v>
      </c>
      <c r="T185" s="11" t="n">
        <f aca="false">SUM(N185:S185)</f>
        <v>241.375</v>
      </c>
      <c r="U185" s="11" t="n">
        <v>26.39</v>
      </c>
      <c r="V185" s="11" t="n">
        <v>5.2</v>
      </c>
      <c r="W185" s="11" t="n">
        <v>4040</v>
      </c>
      <c r="X185" s="11" t="n">
        <v>93.02</v>
      </c>
      <c r="Y185" s="11" t="n">
        <v>176.99</v>
      </c>
      <c r="Z185" s="11" t="n">
        <v>264</v>
      </c>
      <c r="AA185" s="11" t="n">
        <f aca="false">SUM(U185:Z185)</f>
        <v>4605.6</v>
      </c>
      <c r="AB185" s="11" t="n">
        <v>6.04</v>
      </c>
      <c r="AC185" s="11" t="n">
        <v>0.52</v>
      </c>
      <c r="AD185" s="11" t="n">
        <v>640.6</v>
      </c>
      <c r="AE185" s="11" t="n">
        <v>17.956</v>
      </c>
      <c r="AF185" s="11" t="n">
        <v>30.74</v>
      </c>
      <c r="AG185" s="11" t="n">
        <v>43.59</v>
      </c>
      <c r="AH185" s="11" t="n">
        <f aca="false">SUM(AB185:AG185)</f>
        <v>739.446</v>
      </c>
    </row>
    <row r="186" customFormat="false" ht="15" hidden="false" customHeight="false" outlineLevel="2" collapsed="false">
      <c r="A186" s="8" t="s">
        <v>1651</v>
      </c>
      <c r="B186" s="9" t="s">
        <v>1652</v>
      </c>
      <c r="C186" s="8" t="s">
        <v>1649</v>
      </c>
      <c r="D186" s="12" t="s">
        <v>1650</v>
      </c>
      <c r="E186" s="16"/>
      <c r="F186" s="9" t="str">
        <f aca="false">IF($E186="","",IFERROR(INDEX(担当者マスタ!$B$2:$B$101,MATCH($E186,担当者マスタ!$A$2:$A$101,0)),"※マスタ未登録"))</f>
        <v/>
      </c>
      <c r="G186" s="11" t="n">
        <v>1847.849</v>
      </c>
      <c r="H186" s="11" t="n">
        <v>3283.188</v>
      </c>
      <c r="I186" s="11" t="n">
        <v>2835.888</v>
      </c>
      <c r="J186" s="11" t="n">
        <v>2642.064</v>
      </c>
      <c r="K186" s="11" t="n">
        <v>3008.25</v>
      </c>
      <c r="L186" s="11" t="n">
        <v>2020.148</v>
      </c>
      <c r="M186" s="11" t="n">
        <f aca="false">SUM(G186:L186)</f>
        <v>15637.387</v>
      </c>
      <c r="N186" s="11" t="n">
        <v>519.398</v>
      </c>
      <c r="O186" s="11" t="n">
        <v>920.558</v>
      </c>
      <c r="P186" s="11" t="n">
        <v>792.795</v>
      </c>
      <c r="Q186" s="11" t="n">
        <v>748.779</v>
      </c>
      <c r="R186" s="11" t="n">
        <v>855.596</v>
      </c>
      <c r="S186" s="11" t="n">
        <v>558.973</v>
      </c>
      <c r="T186" s="11" t="n">
        <f aca="false">SUM(N186:S186)</f>
        <v>4396.099</v>
      </c>
      <c r="U186" s="11" t="n">
        <v>3260.068</v>
      </c>
      <c r="V186" s="11" t="n">
        <v>2896.38</v>
      </c>
      <c r="W186" s="11" t="n">
        <v>2644.612</v>
      </c>
      <c r="X186" s="11" t="n">
        <v>2281.002</v>
      </c>
      <c r="Y186" s="11" t="n">
        <v>2636.228</v>
      </c>
      <c r="Z186" s="11" t="n">
        <v>2432.224</v>
      </c>
      <c r="AA186" s="11" t="n">
        <f aca="false">SUM(U186:Z186)</f>
        <v>16150.514</v>
      </c>
      <c r="AB186" s="11" t="n">
        <v>891.295</v>
      </c>
      <c r="AC186" s="11" t="n">
        <v>793.915</v>
      </c>
      <c r="AD186" s="11" t="n">
        <v>729.462</v>
      </c>
      <c r="AE186" s="11" t="n">
        <v>635.967</v>
      </c>
      <c r="AF186" s="11" t="n">
        <v>725.964</v>
      </c>
      <c r="AG186" s="11" t="n">
        <v>659.733</v>
      </c>
      <c r="AH186" s="11" t="n">
        <f aca="false">SUM(AB186:AG186)</f>
        <v>4436.336</v>
      </c>
    </row>
    <row r="187" customFormat="false" ht="15" hidden="false" customHeight="false" outlineLevel="2" collapsed="false">
      <c r="A187" s="8" t="s">
        <v>1653</v>
      </c>
      <c r="B187" s="9" t="s">
        <v>1654</v>
      </c>
      <c r="C187" s="8" t="s">
        <v>1649</v>
      </c>
      <c r="D187" s="12" t="s">
        <v>1650</v>
      </c>
      <c r="E187" s="16"/>
      <c r="F187" s="9" t="str">
        <f aca="false">IF($E187="","",IFERROR(INDEX(担当者マスタ!$B$2:$B$101,MATCH($E187,担当者マスタ!$A$2:$A$101,0)),"※マスタ未登録"))</f>
        <v/>
      </c>
      <c r="G187" s="11" t="n">
        <v>500.475</v>
      </c>
      <c r="H187" s="11" t="n">
        <v>708.258</v>
      </c>
      <c r="I187" s="11" t="n">
        <v>1091.373</v>
      </c>
      <c r="J187" s="11" t="n">
        <v>314.1</v>
      </c>
      <c r="K187" s="11" t="n">
        <v>1599.83</v>
      </c>
      <c r="L187" s="11" t="n">
        <v>324.94</v>
      </c>
      <c r="M187" s="11" t="n">
        <f aca="false">SUM(G187:L187)</f>
        <v>4538.976</v>
      </c>
      <c r="N187" s="11" t="n">
        <v>90.42</v>
      </c>
      <c r="O187" s="11" t="n">
        <v>152.08</v>
      </c>
      <c r="P187" s="11" t="n">
        <v>221.024</v>
      </c>
      <c r="Q187" s="11" t="n">
        <v>65.02</v>
      </c>
      <c r="R187" s="11" t="n">
        <v>450.43</v>
      </c>
      <c r="S187" s="11" t="n">
        <v>65.69</v>
      </c>
      <c r="T187" s="11" t="n">
        <f aca="false">SUM(N187:S187)</f>
        <v>1044.664</v>
      </c>
      <c r="U187" s="11" t="n">
        <v>1811.047</v>
      </c>
      <c r="V187" s="11" t="n">
        <v>109.52</v>
      </c>
      <c r="W187" s="11" t="n">
        <v>1966.5</v>
      </c>
      <c r="X187" s="11" t="n">
        <v>390.475</v>
      </c>
      <c r="Y187" s="11" t="n">
        <v>992.58</v>
      </c>
      <c r="Z187" s="11" t="n">
        <v>359.191</v>
      </c>
      <c r="AA187" s="11" t="n">
        <f aca="false">SUM(U187:Z187)</f>
        <v>5629.313</v>
      </c>
      <c r="AB187" s="11" t="n">
        <v>434.665</v>
      </c>
      <c r="AC187" s="11" t="n">
        <v>24.246</v>
      </c>
      <c r="AD187" s="11" t="n">
        <v>542.285</v>
      </c>
      <c r="AE187" s="11" t="n">
        <v>79.93</v>
      </c>
      <c r="AF187" s="11" t="n">
        <v>249.24</v>
      </c>
      <c r="AG187" s="11" t="n">
        <v>88.746</v>
      </c>
      <c r="AH187" s="11" t="n">
        <f aca="false">SUM(AB187:AG187)</f>
        <v>1419.112</v>
      </c>
    </row>
    <row r="188" customFormat="false" ht="15" hidden="false" customHeight="false" outlineLevel="2" collapsed="false">
      <c r="A188" s="8" t="s">
        <v>1655</v>
      </c>
      <c r="B188" s="9" t="s">
        <v>1656</v>
      </c>
      <c r="C188" s="8" t="s">
        <v>1649</v>
      </c>
      <c r="D188" s="12" t="s">
        <v>1650</v>
      </c>
      <c r="E188" s="16"/>
      <c r="F188" s="9" t="str">
        <f aca="false">IF($E188="","",IFERROR(INDEX(担当者マスタ!$B$2:$B$101,MATCH($E188,担当者マスタ!$A$2:$A$101,0)),"※マスタ未登録"))</f>
        <v/>
      </c>
      <c r="G188" s="11" t="n">
        <v>221.272</v>
      </c>
      <c r="H188" s="11" t="n">
        <v>297.18</v>
      </c>
      <c r="I188" s="11" t="n">
        <v>292.615</v>
      </c>
      <c r="J188" s="11" t="n">
        <v>997.71</v>
      </c>
      <c r="K188" s="11" t="n">
        <v>489.775</v>
      </c>
      <c r="L188" s="11" t="n">
        <v>947.906</v>
      </c>
      <c r="M188" s="11" t="n">
        <f aca="false">SUM(G188:L188)</f>
        <v>3246.458</v>
      </c>
      <c r="N188" s="11" t="n">
        <v>62.608</v>
      </c>
      <c r="O188" s="11" t="n">
        <v>42.22</v>
      </c>
      <c r="P188" s="11" t="n">
        <v>60.81</v>
      </c>
      <c r="Q188" s="11" t="n">
        <v>185.657</v>
      </c>
      <c r="R188" s="11" t="n">
        <v>77.565</v>
      </c>
      <c r="S188" s="11" t="n">
        <v>171.686</v>
      </c>
      <c r="T188" s="11" t="n">
        <f aca="false">SUM(N188:S188)</f>
        <v>600.546</v>
      </c>
      <c r="U188" s="11" t="n">
        <v>144.5</v>
      </c>
      <c r="V188" s="11" t="n">
        <v>17.56</v>
      </c>
      <c r="W188" s="11" t="n">
        <v>2653.97</v>
      </c>
      <c r="X188" s="11" t="n">
        <v>0</v>
      </c>
      <c r="Y188" s="11" t="n">
        <v>35.12</v>
      </c>
      <c r="Z188" s="11" t="n">
        <v>0</v>
      </c>
      <c r="AA188" s="11" t="n">
        <f aca="false">SUM(U188:Z188)</f>
        <v>2851.15</v>
      </c>
      <c r="AB188" s="11" t="n">
        <v>22</v>
      </c>
      <c r="AC188" s="11" t="n">
        <v>3</v>
      </c>
      <c r="AD188" s="11" t="n">
        <v>410.073</v>
      </c>
      <c r="AE188" s="11" t="n">
        <v>0</v>
      </c>
      <c r="AF188" s="11" t="n">
        <v>6</v>
      </c>
      <c r="AG188" s="11" t="n">
        <v>0</v>
      </c>
      <c r="AH188" s="11" t="n">
        <f aca="false">SUM(AB188:AG188)</f>
        <v>441.073</v>
      </c>
    </row>
    <row r="189" customFormat="false" ht="15" hidden="false" customHeight="false" outlineLevel="2" collapsed="false">
      <c r="A189" s="8" t="s">
        <v>1657</v>
      </c>
      <c r="B189" s="12" t="s">
        <v>691</v>
      </c>
      <c r="C189" s="8" t="s">
        <v>1649</v>
      </c>
      <c r="D189" s="12" t="s">
        <v>1650</v>
      </c>
      <c r="E189" s="16"/>
      <c r="F189" s="9" t="str">
        <f aca="false">IF($E189="","",IFERROR(INDEX(担当者マスタ!$B$2:$B$101,MATCH($E189,担当者マスタ!$A$2:$A$101,0)),"※マスタ未登録"))</f>
        <v/>
      </c>
      <c r="G189" s="11" t="n">
        <v>1808.2</v>
      </c>
      <c r="H189" s="11" t="n">
        <v>1011.712</v>
      </c>
      <c r="I189" s="11" t="n">
        <v>202.8</v>
      </c>
      <c r="J189" s="11" t="n">
        <v>164.015</v>
      </c>
      <c r="K189" s="11" t="n">
        <v>114.13</v>
      </c>
      <c r="L189" s="11" t="n">
        <v>465.156</v>
      </c>
      <c r="M189" s="11" t="n">
        <f aca="false">SUM(G189:L189)</f>
        <v>3766.013</v>
      </c>
      <c r="N189" s="11" t="n">
        <v>271.679</v>
      </c>
      <c r="O189" s="11" t="n">
        <v>206.183</v>
      </c>
      <c r="P189" s="11" t="n">
        <v>18.135</v>
      </c>
      <c r="Q189" s="11" t="n">
        <v>14.295</v>
      </c>
      <c r="R189" s="11" t="n">
        <v>11.085</v>
      </c>
      <c r="S189" s="11" t="n">
        <v>72.036</v>
      </c>
      <c r="T189" s="11" t="n">
        <f aca="false">SUM(N189:S189)</f>
        <v>593.413</v>
      </c>
      <c r="U189" s="11" t="n">
        <v>795.44</v>
      </c>
      <c r="V189" s="11" t="n">
        <v>790.038</v>
      </c>
      <c r="W189" s="11" t="n">
        <v>84</v>
      </c>
      <c r="X189" s="11" t="n">
        <v>128</v>
      </c>
      <c r="Y189" s="11" t="n">
        <v>239.322</v>
      </c>
      <c r="Z189" s="11" t="n">
        <v>82.468</v>
      </c>
      <c r="AA189" s="11" t="n">
        <f aca="false">SUM(U189:Z189)</f>
        <v>2119.268</v>
      </c>
      <c r="AB189" s="11" t="n">
        <v>122.603</v>
      </c>
      <c r="AC189" s="11" t="n">
        <v>137.267</v>
      </c>
      <c r="AD189" s="11" t="n">
        <v>5.6</v>
      </c>
      <c r="AE189" s="11" t="n">
        <v>8.4</v>
      </c>
      <c r="AF189" s="11" t="n">
        <v>24.362</v>
      </c>
      <c r="AG189" s="11" t="n">
        <v>11.148</v>
      </c>
      <c r="AH189" s="11" t="n">
        <f aca="false">SUM(AB189:AG189)</f>
        <v>309.38</v>
      </c>
    </row>
    <row r="190" customFormat="false" ht="15" hidden="false" customHeight="false" outlineLevel="2" collapsed="false">
      <c r="A190" s="8" t="s">
        <v>1658</v>
      </c>
      <c r="B190" s="12" t="s">
        <v>1659</v>
      </c>
      <c r="C190" s="8" t="s">
        <v>1649</v>
      </c>
      <c r="D190" s="12" t="s">
        <v>1650</v>
      </c>
      <c r="E190" s="16"/>
      <c r="F190" s="9" t="str">
        <f aca="false">IF($E190="","",IFERROR(INDEX(担当者マスタ!$B$2:$B$101,MATCH($E190,担当者マスタ!$A$2:$A$101,0)),"※マスタ未登録"))</f>
        <v/>
      </c>
      <c r="G190" s="11" t="n">
        <v>46.75</v>
      </c>
      <c r="H190" s="11" t="n">
        <v>12.24</v>
      </c>
      <c r="I190" s="11" t="n">
        <v>95.03</v>
      </c>
      <c r="J190" s="11" t="n">
        <v>0</v>
      </c>
      <c r="K190" s="11" t="n">
        <v>40.49</v>
      </c>
      <c r="L190" s="11" t="n">
        <v>37.8</v>
      </c>
      <c r="M190" s="11" t="n">
        <f aca="false">SUM(G190:L190)</f>
        <v>232.31</v>
      </c>
      <c r="N190" s="11" t="n">
        <v>7.625</v>
      </c>
      <c r="O190" s="11" t="n">
        <v>1.8</v>
      </c>
      <c r="P190" s="11" t="n">
        <v>12.485</v>
      </c>
      <c r="Q190" s="11" t="n">
        <v>0</v>
      </c>
      <c r="R190" s="11" t="n">
        <v>8.925</v>
      </c>
      <c r="S190" s="11" t="n">
        <v>2.94</v>
      </c>
      <c r="T190" s="11" t="n">
        <f aca="false">SUM(N190:S190)</f>
        <v>33.775</v>
      </c>
      <c r="U190" s="11" t="n">
        <v>12.24</v>
      </c>
      <c r="V190" s="11" t="n">
        <v>28.25</v>
      </c>
      <c r="W190" s="11" t="n">
        <v>48.96</v>
      </c>
      <c r="X190" s="11" t="n">
        <v>99.14</v>
      </c>
      <c r="Y190" s="11" t="n">
        <v>0</v>
      </c>
      <c r="Z190" s="11" t="n">
        <v>52.39</v>
      </c>
      <c r="AA190" s="11" t="n">
        <f aca="false">SUM(U190:Z190)</f>
        <v>240.98</v>
      </c>
      <c r="AB190" s="11" t="n">
        <v>1.8</v>
      </c>
      <c r="AC190" s="11" t="n">
        <v>7.125</v>
      </c>
      <c r="AD190" s="11" t="n">
        <v>7.2</v>
      </c>
      <c r="AE190" s="11" t="n">
        <v>17.18</v>
      </c>
      <c r="AF190" s="11" t="n">
        <v>0</v>
      </c>
      <c r="AG190" s="11" t="n">
        <v>9.555</v>
      </c>
      <c r="AH190" s="11" t="n">
        <f aca="false">SUM(AB190:AG190)</f>
        <v>42.86</v>
      </c>
    </row>
    <row r="191" customFormat="false" ht="15" hidden="false" customHeight="false" outlineLevel="2" collapsed="false">
      <c r="A191" s="8" t="s">
        <v>1660</v>
      </c>
      <c r="B191" s="9" t="s">
        <v>1661</v>
      </c>
      <c r="C191" s="8" t="s">
        <v>1649</v>
      </c>
      <c r="D191" s="12" t="s">
        <v>1650</v>
      </c>
      <c r="E191" s="16"/>
      <c r="F191" s="9" t="str">
        <f aca="false">IF($E191="","",IFERROR(INDEX(担当者マスタ!$B$2:$B$101,MATCH($E191,担当者マスタ!$A$2:$A$101,0)),"※マスタ未登録"))</f>
        <v/>
      </c>
      <c r="G191" s="11" t="n">
        <v>201.485</v>
      </c>
      <c r="H191" s="11" t="n">
        <v>856.957</v>
      </c>
      <c r="I191" s="11" t="n">
        <v>360.507</v>
      </c>
      <c r="J191" s="11" t="n">
        <v>285.385</v>
      </c>
      <c r="K191" s="11" t="n">
        <v>188.75</v>
      </c>
      <c r="L191" s="11" t="n">
        <v>123.555</v>
      </c>
      <c r="M191" s="11" t="n">
        <f aca="false">SUM(G191:L191)</f>
        <v>2016.639</v>
      </c>
      <c r="N191" s="11" t="n">
        <v>56.915</v>
      </c>
      <c r="O191" s="11" t="n">
        <v>130.6</v>
      </c>
      <c r="P191" s="11" t="n">
        <v>71.065</v>
      </c>
      <c r="Q191" s="11" t="n">
        <v>50.695</v>
      </c>
      <c r="R191" s="11" t="n">
        <v>30.677</v>
      </c>
      <c r="S191" s="11" t="n">
        <v>24.165</v>
      </c>
      <c r="T191" s="11" t="n">
        <f aca="false">SUM(N191:S191)</f>
        <v>364.117</v>
      </c>
      <c r="U191" s="11" t="n">
        <v>556.945</v>
      </c>
      <c r="V191" s="11" t="n">
        <v>396.016</v>
      </c>
      <c r="W191" s="11" t="n">
        <v>838.563</v>
      </c>
      <c r="X191" s="11" t="n">
        <v>241.296</v>
      </c>
      <c r="Y191" s="11" t="n">
        <v>120.605</v>
      </c>
      <c r="Z191" s="11" t="n">
        <v>232.915</v>
      </c>
      <c r="AA191" s="11" t="n">
        <f aca="false">SUM(U191:Z191)</f>
        <v>2386.34</v>
      </c>
      <c r="AB191" s="11" t="n">
        <v>94.897</v>
      </c>
      <c r="AC191" s="11" t="n">
        <v>73.996</v>
      </c>
      <c r="AD191" s="11" t="n">
        <v>143.772</v>
      </c>
      <c r="AE191" s="11" t="n">
        <v>43.64</v>
      </c>
      <c r="AF191" s="11" t="n">
        <v>20.07</v>
      </c>
      <c r="AG191" s="11" t="n">
        <v>42.291</v>
      </c>
      <c r="AH191" s="11" t="n">
        <f aca="false">SUM(AB191:AG191)</f>
        <v>418.666</v>
      </c>
    </row>
    <row r="192" customFormat="false" ht="15" hidden="false" customHeight="false" outlineLevel="2" collapsed="false">
      <c r="A192" s="8" t="s">
        <v>1662</v>
      </c>
      <c r="B192" s="9" t="s">
        <v>1663</v>
      </c>
      <c r="C192" s="8" t="s">
        <v>1649</v>
      </c>
      <c r="D192" s="12" t="s">
        <v>1650</v>
      </c>
      <c r="E192" s="16"/>
      <c r="F192" s="9" t="str">
        <f aca="false">IF($E192="","",IFERROR(INDEX(担当者マスタ!$B$2:$B$101,MATCH($E192,担当者マスタ!$A$2:$A$101,0)),"※マスタ未登録"))</f>
        <v/>
      </c>
      <c r="G192" s="11" t="n">
        <v>785.685</v>
      </c>
      <c r="H192" s="11" t="n">
        <v>797.317</v>
      </c>
      <c r="I192" s="11" t="n">
        <v>127.9</v>
      </c>
      <c r="J192" s="11" t="n">
        <v>1136.529</v>
      </c>
      <c r="K192" s="11" t="n">
        <v>0</v>
      </c>
      <c r="L192" s="11" t="n">
        <v>56.9</v>
      </c>
      <c r="M192" s="11" t="n">
        <f aca="false">SUM(G192:L192)</f>
        <v>2904.331</v>
      </c>
      <c r="N192" s="11" t="n">
        <v>139.269</v>
      </c>
      <c r="O192" s="11" t="n">
        <v>144.113</v>
      </c>
      <c r="P192" s="11" t="n">
        <v>40.15</v>
      </c>
      <c r="Q192" s="11" t="n">
        <v>151.089</v>
      </c>
      <c r="R192" s="11" t="n">
        <v>0</v>
      </c>
      <c r="S192" s="11" t="n">
        <v>10.7</v>
      </c>
      <c r="T192" s="11" t="n">
        <f aca="false">SUM(N192:S192)</f>
        <v>485.321</v>
      </c>
      <c r="U192" s="11" t="n">
        <v>3881.37</v>
      </c>
      <c r="V192" s="11" t="n">
        <v>2598.258</v>
      </c>
      <c r="W192" s="11" t="n">
        <v>1470.362</v>
      </c>
      <c r="X192" s="11" t="n">
        <v>231.8</v>
      </c>
      <c r="Y192" s="11" t="n">
        <v>45.6</v>
      </c>
      <c r="Z192" s="11" t="n">
        <v>30</v>
      </c>
      <c r="AA192" s="11" t="n">
        <f aca="false">SUM(U192:Z192)</f>
        <v>8257.39</v>
      </c>
      <c r="AB192" s="11" t="n">
        <v>556.24</v>
      </c>
      <c r="AC192" s="11" t="n">
        <v>422.427</v>
      </c>
      <c r="AD192" s="11" t="n">
        <v>185.687</v>
      </c>
      <c r="AE192" s="11" t="n">
        <v>44.325</v>
      </c>
      <c r="AF192" s="11" t="n">
        <v>4.6</v>
      </c>
      <c r="AG192" s="11" t="n">
        <v>10.1</v>
      </c>
      <c r="AH192" s="11" t="n">
        <f aca="false">SUM(AB192:AG192)</f>
        <v>1223.379</v>
      </c>
    </row>
    <row r="193" customFormat="false" ht="15" hidden="false" customHeight="false" outlineLevel="2" collapsed="false">
      <c r="A193" s="8" t="s">
        <v>1664</v>
      </c>
      <c r="B193" s="12" t="s">
        <v>1665</v>
      </c>
      <c r="C193" s="8" t="s">
        <v>1649</v>
      </c>
      <c r="D193" s="12" t="s">
        <v>1650</v>
      </c>
      <c r="E193" s="16"/>
      <c r="F193" s="9" t="str">
        <f aca="false">IF($E193="","",IFERROR(INDEX(担当者マスタ!$B$2:$B$101,MATCH($E193,担当者マスタ!$A$2:$A$101,0)),"※マスタ未登録"))</f>
        <v/>
      </c>
      <c r="G193" s="11" t="n">
        <v>0</v>
      </c>
      <c r="H193" s="11" t="n">
        <v>27.8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f aca="false">SUM(G193:L193)</f>
        <v>27.8</v>
      </c>
      <c r="N193" s="11" t="n">
        <v>0</v>
      </c>
      <c r="O193" s="11" t="n">
        <v>2.94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f aca="false">SUM(N193:S193)</f>
        <v>2.94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f aca="false">SUM(U193:Z193)</f>
        <v>0</v>
      </c>
      <c r="AB193" s="11" t="n">
        <v>0</v>
      </c>
      <c r="AC193" s="11" t="n">
        <v>0</v>
      </c>
      <c r="AD193" s="11" t="n">
        <v>0</v>
      </c>
      <c r="AE193" s="11" t="n">
        <v>0</v>
      </c>
      <c r="AF193" s="11" t="n">
        <v>0</v>
      </c>
      <c r="AG193" s="11" t="n">
        <v>0</v>
      </c>
      <c r="AH193" s="11" t="n">
        <f aca="false">SUM(AB193:AG193)</f>
        <v>0</v>
      </c>
    </row>
    <row r="194" customFormat="false" ht="15" hidden="false" customHeight="false" outlineLevel="2" collapsed="false">
      <c r="A194" s="8" t="s">
        <v>1666</v>
      </c>
      <c r="B194" s="12" t="s">
        <v>1667</v>
      </c>
      <c r="C194" s="8" t="s">
        <v>1649</v>
      </c>
      <c r="D194" s="12" t="s">
        <v>1650</v>
      </c>
      <c r="E194" s="16"/>
      <c r="F194" s="9" t="str">
        <f aca="false">IF($E194="","",IFERROR(INDEX(担当者マスタ!$B$2:$B$101,MATCH($E194,担当者マスタ!$A$2:$A$101,0)),"※マスタ未登録"))</f>
        <v/>
      </c>
      <c r="G194" s="11" t="n">
        <v>2602.042</v>
      </c>
      <c r="H194" s="11" t="n">
        <v>2798.943</v>
      </c>
      <c r="I194" s="11" t="n">
        <v>3424.208</v>
      </c>
      <c r="J194" s="11" t="n">
        <v>2190.732</v>
      </c>
      <c r="K194" s="11" t="n">
        <v>2545.201</v>
      </c>
      <c r="L194" s="11" t="n">
        <v>2984.971</v>
      </c>
      <c r="M194" s="11" t="n">
        <f aca="false">SUM(G194:L194)</f>
        <v>16546.097</v>
      </c>
      <c r="N194" s="11" t="n">
        <v>604.389</v>
      </c>
      <c r="O194" s="11" t="n">
        <v>619.371</v>
      </c>
      <c r="P194" s="11" t="n">
        <v>721.013</v>
      </c>
      <c r="Q194" s="11" t="n">
        <v>461.334</v>
      </c>
      <c r="R194" s="11" t="n">
        <v>578.242</v>
      </c>
      <c r="S194" s="11" t="n">
        <v>670.156</v>
      </c>
      <c r="T194" s="11" t="n">
        <f aca="false">SUM(N194:S194)</f>
        <v>3654.505</v>
      </c>
      <c r="U194" s="11" t="n">
        <v>3154.742</v>
      </c>
      <c r="V194" s="11" t="n">
        <v>2827.904</v>
      </c>
      <c r="W194" s="11" t="n">
        <v>3412.941</v>
      </c>
      <c r="X194" s="11" t="n">
        <v>2388.104</v>
      </c>
      <c r="Y194" s="11" t="n">
        <v>2115.427</v>
      </c>
      <c r="Z194" s="11" t="n">
        <v>3828.073</v>
      </c>
      <c r="AA194" s="11" t="n">
        <f aca="false">SUM(U194:Z194)</f>
        <v>17727.191</v>
      </c>
      <c r="AB194" s="11" t="n">
        <v>703.469</v>
      </c>
      <c r="AC194" s="11" t="n">
        <v>639.943</v>
      </c>
      <c r="AD194" s="11" t="n">
        <v>715.264</v>
      </c>
      <c r="AE194" s="11" t="n">
        <v>507.902</v>
      </c>
      <c r="AF194" s="11" t="n">
        <v>432.85</v>
      </c>
      <c r="AG194" s="11" t="n">
        <v>789.817</v>
      </c>
      <c r="AH194" s="11" t="n">
        <f aca="false">SUM(AB194:AG194)</f>
        <v>3789.245</v>
      </c>
    </row>
    <row r="195" customFormat="false" ht="15" hidden="false" customHeight="false" outlineLevel="2" collapsed="false">
      <c r="A195" s="8" t="s">
        <v>1668</v>
      </c>
      <c r="B195" s="12" t="s">
        <v>1669</v>
      </c>
      <c r="C195" s="8" t="s">
        <v>1649</v>
      </c>
      <c r="D195" s="12" t="s">
        <v>1650</v>
      </c>
      <c r="E195" s="16"/>
      <c r="F195" s="9" t="str">
        <f aca="false">IF($E195="","",IFERROR(INDEX(担当者マスタ!$B$2:$B$101,MATCH($E195,担当者マスタ!$A$2:$A$101,0)),"※マスタ未登録"))</f>
        <v/>
      </c>
      <c r="G195" s="11" t="n">
        <v>40.86</v>
      </c>
      <c r="H195" s="11" t="n">
        <v>140.06</v>
      </c>
      <c r="I195" s="11" t="n">
        <v>64.225</v>
      </c>
      <c r="J195" s="11" t="n">
        <v>42.7</v>
      </c>
      <c r="K195" s="11" t="n">
        <v>0</v>
      </c>
      <c r="L195" s="11" t="n">
        <v>72.58</v>
      </c>
      <c r="M195" s="11" t="n">
        <f aca="false">SUM(G195:L195)</f>
        <v>360.425</v>
      </c>
      <c r="N195" s="11" t="n">
        <v>12.48</v>
      </c>
      <c r="O195" s="11" t="n">
        <v>19.1</v>
      </c>
      <c r="P195" s="11" t="n">
        <v>17.48</v>
      </c>
      <c r="Q195" s="11" t="n">
        <v>11.65</v>
      </c>
      <c r="R195" s="11" t="n">
        <v>0</v>
      </c>
      <c r="S195" s="11" t="n">
        <v>16.82</v>
      </c>
      <c r="T195" s="11" t="n">
        <f aca="false">SUM(N195:S195)</f>
        <v>77.53</v>
      </c>
      <c r="U195" s="11" t="n">
        <v>61.2</v>
      </c>
      <c r="V195" s="11" t="n">
        <v>9.2</v>
      </c>
      <c r="W195" s="11" t="n">
        <v>0</v>
      </c>
      <c r="X195" s="11" t="n">
        <v>71.4</v>
      </c>
      <c r="Y195" s="11" t="n">
        <v>50.6</v>
      </c>
      <c r="Z195" s="11" t="n">
        <v>403.45</v>
      </c>
      <c r="AA195" s="11" t="n">
        <f aca="false">SUM(U195:Z195)</f>
        <v>595.85</v>
      </c>
      <c r="AB195" s="11" t="n">
        <v>16.4</v>
      </c>
      <c r="AC195" s="11" t="n">
        <v>1.94</v>
      </c>
      <c r="AD195" s="11" t="n">
        <v>0</v>
      </c>
      <c r="AE195" s="11" t="n">
        <v>16.2</v>
      </c>
      <c r="AF195" s="11" t="n">
        <v>11.8</v>
      </c>
      <c r="AG195" s="11" t="n">
        <v>87.17</v>
      </c>
      <c r="AH195" s="11" t="n">
        <f aca="false">SUM(AB195:AG195)</f>
        <v>133.51</v>
      </c>
    </row>
    <row r="196" customFormat="false" ht="15" hidden="false" customHeight="false" outlineLevel="2" collapsed="false">
      <c r="A196" s="8" t="s">
        <v>1670</v>
      </c>
      <c r="B196" s="12" t="s">
        <v>1671</v>
      </c>
      <c r="C196" s="8" t="s">
        <v>1649</v>
      </c>
      <c r="D196" s="12" t="s">
        <v>1650</v>
      </c>
      <c r="E196" s="16"/>
      <c r="F196" s="9" t="str">
        <f aca="false">IF($E196="","",IFERROR(INDEX(担当者マスタ!$B$2:$B$101,MATCH($E196,担当者マスタ!$A$2:$A$101,0)),"※マスタ未登録"))</f>
        <v/>
      </c>
      <c r="G196" s="11" t="n">
        <v>1009.26</v>
      </c>
      <c r="H196" s="11" t="n">
        <v>2388.582</v>
      </c>
      <c r="I196" s="11" t="n">
        <v>1198.474</v>
      </c>
      <c r="J196" s="11" t="n">
        <v>1163.764</v>
      </c>
      <c r="K196" s="11" t="n">
        <v>1170.35</v>
      </c>
      <c r="L196" s="11" t="n">
        <v>1198.296</v>
      </c>
      <c r="M196" s="11" t="n">
        <f aca="false">SUM(G196:L196)</f>
        <v>8128.726</v>
      </c>
      <c r="N196" s="11" t="n">
        <v>158.76</v>
      </c>
      <c r="O196" s="11" t="n">
        <v>375.732</v>
      </c>
      <c r="P196" s="11" t="n">
        <v>188.524</v>
      </c>
      <c r="Q196" s="11" t="n">
        <v>183.064</v>
      </c>
      <c r="R196" s="11" t="n">
        <v>184.1</v>
      </c>
      <c r="S196" s="11" t="n">
        <v>188.496</v>
      </c>
      <c r="T196" s="11" t="n">
        <f aca="false">SUM(N196:S196)</f>
        <v>1278.676</v>
      </c>
      <c r="U196" s="11" t="n">
        <v>2377.012</v>
      </c>
      <c r="V196" s="11" t="n">
        <v>1182.276</v>
      </c>
      <c r="W196" s="11" t="n">
        <v>1224.106</v>
      </c>
      <c r="X196" s="11" t="n">
        <v>1181.92</v>
      </c>
      <c r="Y196" s="11" t="n">
        <v>1198.474</v>
      </c>
      <c r="Z196" s="11" t="n">
        <v>1197.584</v>
      </c>
      <c r="AA196" s="11" t="n">
        <f aca="false">SUM(U196:Z196)</f>
        <v>8361.372</v>
      </c>
      <c r="AB196" s="11" t="n">
        <v>373.912</v>
      </c>
      <c r="AC196" s="11" t="n">
        <v>185.976</v>
      </c>
      <c r="AD196" s="11" t="n">
        <v>192.556</v>
      </c>
      <c r="AE196" s="11" t="n">
        <v>185.92</v>
      </c>
      <c r="AF196" s="11" t="n">
        <v>188.524</v>
      </c>
      <c r="AG196" s="11" t="n">
        <v>188.384</v>
      </c>
      <c r="AH196" s="11" t="n">
        <f aca="false">SUM(AB196:AG196)</f>
        <v>1315.272</v>
      </c>
    </row>
    <row r="197" customFormat="false" ht="15" hidden="false" customHeight="false" outlineLevel="2" collapsed="false">
      <c r="A197" s="8" t="s">
        <v>1672</v>
      </c>
      <c r="B197" s="12" t="s">
        <v>1673</v>
      </c>
      <c r="C197" s="8" t="s">
        <v>1649</v>
      </c>
      <c r="D197" s="12" t="s">
        <v>1650</v>
      </c>
      <c r="E197" s="16"/>
      <c r="F197" s="9" t="str">
        <f aca="false">IF($E197="","",IFERROR(INDEX(担当者マスタ!$B$2:$B$101,MATCH($E197,担当者マスタ!$A$2:$A$101,0)),"※マスタ未登録"))</f>
        <v/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f aca="false">SUM(G197:L197)</f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f aca="false">SUM(N197:S197)</f>
        <v>0</v>
      </c>
      <c r="U197" s="11" t="n">
        <v>299.4</v>
      </c>
      <c r="V197" s="11" t="n">
        <v>255.35</v>
      </c>
      <c r="W197" s="11" t="n">
        <v>470.4</v>
      </c>
      <c r="X197" s="11" t="n">
        <v>482.9</v>
      </c>
      <c r="Y197" s="11" t="n">
        <v>491.7</v>
      </c>
      <c r="Z197" s="11" t="n">
        <v>513.58</v>
      </c>
      <c r="AA197" s="11" t="n">
        <f aca="false">SUM(U197:Z197)</f>
        <v>2513.33</v>
      </c>
      <c r="AB197" s="11" t="n">
        <v>55.62</v>
      </c>
      <c r="AC197" s="11" t="n">
        <v>30.132</v>
      </c>
      <c r="AD197" s="11" t="n">
        <v>88.2</v>
      </c>
      <c r="AE197" s="11" t="n">
        <v>94.8</v>
      </c>
      <c r="AF197" s="11" t="n">
        <v>92.02</v>
      </c>
      <c r="AG197" s="11" t="n">
        <v>95.77</v>
      </c>
      <c r="AH197" s="11" t="n">
        <f aca="false">SUM(AB197:AG197)</f>
        <v>456.542</v>
      </c>
    </row>
    <row r="198" customFormat="false" ht="15" hidden="false" customHeight="false" outlineLevel="2" collapsed="false">
      <c r="A198" s="8" t="s">
        <v>1674</v>
      </c>
      <c r="B198" s="9" t="s">
        <v>1675</v>
      </c>
      <c r="C198" s="8" t="s">
        <v>1649</v>
      </c>
      <c r="D198" s="12" t="s">
        <v>1650</v>
      </c>
      <c r="E198" s="16"/>
      <c r="F198" s="9" t="str">
        <f aca="false">IF($E198="","",IFERROR(INDEX(担当者マスタ!$B$2:$B$101,MATCH($E198,担当者マスタ!$A$2:$A$101,0)),"※マスタ未登録"))</f>
        <v/>
      </c>
      <c r="G198" s="11" t="n">
        <v>388.6</v>
      </c>
      <c r="H198" s="11" t="n">
        <v>414.969</v>
      </c>
      <c r="I198" s="11" t="n">
        <v>88.9</v>
      </c>
      <c r="J198" s="11" t="n">
        <v>88.7</v>
      </c>
      <c r="K198" s="11" t="n">
        <v>16</v>
      </c>
      <c r="L198" s="11" t="n">
        <v>9.35</v>
      </c>
      <c r="M198" s="11" t="n">
        <f aca="false">SUM(G198:L198)</f>
        <v>1006.519</v>
      </c>
      <c r="N198" s="11" t="n">
        <v>67.252</v>
      </c>
      <c r="O198" s="11" t="n">
        <v>71.732</v>
      </c>
      <c r="P198" s="11" t="n">
        <v>13.84</v>
      </c>
      <c r="Q198" s="11" t="n">
        <v>18.71</v>
      </c>
      <c r="R198" s="11" t="n">
        <v>6.5</v>
      </c>
      <c r="S198" s="11" t="n">
        <v>0.8</v>
      </c>
      <c r="T198" s="11" t="n">
        <f aca="false">SUM(N198:S198)</f>
        <v>178.834</v>
      </c>
      <c r="U198" s="11" t="n">
        <v>43.23</v>
      </c>
      <c r="V198" s="11" t="n">
        <v>54.2</v>
      </c>
      <c r="W198" s="11" t="n">
        <v>355.75</v>
      </c>
      <c r="X198" s="11" t="n">
        <v>76.4</v>
      </c>
      <c r="Y198" s="11" t="n">
        <v>2353.44</v>
      </c>
      <c r="Z198" s="11" t="n">
        <v>150.85</v>
      </c>
      <c r="AA198" s="11" t="n">
        <f aca="false">SUM(U198:Z198)</f>
        <v>3033.87</v>
      </c>
      <c r="AB198" s="11" t="n">
        <v>10.1</v>
      </c>
      <c r="AC198" s="11" t="n">
        <v>9.71</v>
      </c>
      <c r="AD198" s="11" t="n">
        <v>60.34</v>
      </c>
      <c r="AE198" s="11" t="n">
        <v>20.78</v>
      </c>
      <c r="AF198" s="11" t="n">
        <v>344.48</v>
      </c>
      <c r="AG198" s="11" t="n">
        <v>24.83</v>
      </c>
      <c r="AH198" s="11" t="n">
        <f aca="false">SUM(AB198:AG198)</f>
        <v>470.24</v>
      </c>
    </row>
    <row r="199" customFormat="false" ht="15" hidden="false" customHeight="false" outlineLevel="2" collapsed="false">
      <c r="A199" s="8" t="s">
        <v>1676</v>
      </c>
      <c r="B199" s="12" t="s">
        <v>1677</v>
      </c>
      <c r="C199" s="8" t="s">
        <v>1649</v>
      </c>
      <c r="D199" s="12" t="s">
        <v>1650</v>
      </c>
      <c r="E199" s="16"/>
      <c r="F199" s="9" t="str">
        <f aca="false">IF($E199="","",IFERROR(INDEX(担当者マスタ!$B$2:$B$101,MATCH($E199,担当者マスタ!$A$2:$A$101,0)),"※マスタ未登録"))</f>
        <v/>
      </c>
      <c r="G199" s="11" t="n">
        <v>42.7</v>
      </c>
      <c r="H199" s="11" t="n">
        <v>922.14</v>
      </c>
      <c r="I199" s="11" t="n">
        <v>415.64</v>
      </c>
      <c r="J199" s="11" t="n">
        <v>0</v>
      </c>
      <c r="K199" s="11" t="n">
        <v>0</v>
      </c>
      <c r="L199" s="11" t="n">
        <v>350.3</v>
      </c>
      <c r="M199" s="11" t="n">
        <f aca="false">SUM(G199:L199)</f>
        <v>1730.78</v>
      </c>
      <c r="N199" s="11" t="n">
        <v>12.938</v>
      </c>
      <c r="O199" s="11" t="n">
        <v>191.185</v>
      </c>
      <c r="P199" s="11" t="n">
        <v>95.28</v>
      </c>
      <c r="Q199" s="11" t="n">
        <v>0</v>
      </c>
      <c r="R199" s="11" t="n">
        <v>0</v>
      </c>
      <c r="S199" s="11" t="n">
        <v>77.5</v>
      </c>
      <c r="T199" s="11" t="n">
        <f aca="false">SUM(N199:S199)</f>
        <v>376.903</v>
      </c>
      <c r="U199" s="11" t="n">
        <v>48.3</v>
      </c>
      <c r="V199" s="11" t="n">
        <v>457.92</v>
      </c>
      <c r="W199" s="11" t="n">
        <v>405.89</v>
      </c>
      <c r="X199" s="11" t="n">
        <v>403.82</v>
      </c>
      <c r="Y199" s="11" t="n">
        <v>399.63</v>
      </c>
      <c r="Z199" s="11" t="n">
        <v>345.78</v>
      </c>
      <c r="AA199" s="11" t="n">
        <f aca="false">SUM(U199:Z199)</f>
        <v>2061.34</v>
      </c>
      <c r="AB199" s="11" t="n">
        <v>12.5</v>
      </c>
      <c r="AC199" s="11" t="n">
        <v>106.5</v>
      </c>
      <c r="AD199" s="11" t="n">
        <v>76.51</v>
      </c>
      <c r="AE199" s="11" t="n">
        <v>84.93</v>
      </c>
      <c r="AF199" s="11" t="n">
        <v>83.395</v>
      </c>
      <c r="AG199" s="11" t="n">
        <v>74.97</v>
      </c>
      <c r="AH199" s="11" t="n">
        <f aca="false">SUM(AB199:AG199)</f>
        <v>438.805</v>
      </c>
    </row>
    <row r="200" customFormat="false" ht="15" hidden="false" customHeight="false" outlineLevel="2" collapsed="false">
      <c r="A200" s="8" t="s">
        <v>1678</v>
      </c>
      <c r="B200" s="12" t="s">
        <v>1679</v>
      </c>
      <c r="C200" s="8" t="s">
        <v>1649</v>
      </c>
      <c r="D200" s="12" t="s">
        <v>1650</v>
      </c>
      <c r="E200" s="16"/>
      <c r="F200" s="9" t="str">
        <f aca="false">IF($E200="","",IFERROR(INDEX(担当者マスタ!$B$2:$B$101,MATCH($E200,担当者マスタ!$A$2:$A$101,0)),"※マスタ未登録"))</f>
        <v/>
      </c>
      <c r="G200" s="11" t="n">
        <v>3.9</v>
      </c>
      <c r="H200" s="11" t="n">
        <v>0</v>
      </c>
      <c r="I200" s="11" t="n">
        <v>1.295</v>
      </c>
      <c r="J200" s="11" t="n">
        <v>0</v>
      </c>
      <c r="K200" s="11" t="n">
        <v>36.65</v>
      </c>
      <c r="L200" s="11" t="n">
        <v>0</v>
      </c>
      <c r="M200" s="11" t="n">
        <f aca="false">SUM(G200:L200)</f>
        <v>41.845</v>
      </c>
      <c r="N200" s="11" t="n">
        <v>3.365</v>
      </c>
      <c r="O200" s="11" t="n">
        <v>0</v>
      </c>
      <c r="P200" s="11" t="n">
        <v>0.203</v>
      </c>
      <c r="Q200" s="11" t="n">
        <v>0</v>
      </c>
      <c r="R200" s="11" t="n">
        <v>7.11</v>
      </c>
      <c r="S200" s="11" t="n">
        <v>0</v>
      </c>
      <c r="T200" s="11" t="n">
        <f aca="false">SUM(N200:S200)</f>
        <v>10.678</v>
      </c>
      <c r="U200" s="11" t="n">
        <v>1.845</v>
      </c>
      <c r="V200" s="11" t="n">
        <v>35.55</v>
      </c>
      <c r="W200" s="11" t="n">
        <v>0</v>
      </c>
      <c r="X200" s="11" t="n">
        <v>1.845</v>
      </c>
      <c r="Y200" s="11" t="n">
        <v>0</v>
      </c>
      <c r="Z200" s="11" t="n">
        <v>35.55</v>
      </c>
      <c r="AA200" s="11" t="n">
        <f aca="false">SUM(U200:Z200)</f>
        <v>74.79</v>
      </c>
      <c r="AB200" s="11" t="n">
        <v>0.383</v>
      </c>
      <c r="AC200" s="11" t="n">
        <v>6.75</v>
      </c>
      <c r="AD200" s="11" t="n">
        <v>0</v>
      </c>
      <c r="AE200" s="11" t="n">
        <v>0.383</v>
      </c>
      <c r="AF200" s="11" t="n">
        <v>0</v>
      </c>
      <c r="AG200" s="11" t="n">
        <v>6.75</v>
      </c>
      <c r="AH200" s="11" t="n">
        <f aca="false">SUM(AB200:AG200)</f>
        <v>14.266</v>
      </c>
    </row>
    <row r="201" customFormat="false" ht="15" hidden="false" customHeight="false" outlineLevel="2" collapsed="false">
      <c r="A201" s="8" t="s">
        <v>1680</v>
      </c>
      <c r="B201" s="12" t="s">
        <v>1681</v>
      </c>
      <c r="C201" s="8" t="s">
        <v>1649</v>
      </c>
      <c r="D201" s="12" t="s">
        <v>1650</v>
      </c>
      <c r="E201" s="16"/>
      <c r="F201" s="9" t="str">
        <f aca="false">IF($E201="","",IFERROR(INDEX(担当者マスタ!$B$2:$B$101,MATCH($E201,担当者マスタ!$A$2:$A$101,0)),"※マスタ未登録"))</f>
        <v/>
      </c>
      <c r="G201" s="11" t="n">
        <v>0</v>
      </c>
      <c r="H201" s="11" t="n">
        <v>0</v>
      </c>
      <c r="I201" s="11" t="n">
        <v>1053.73</v>
      </c>
      <c r="J201" s="11" t="n">
        <v>0</v>
      </c>
      <c r="K201" s="11" t="n">
        <v>0</v>
      </c>
      <c r="L201" s="11" t="n">
        <v>1238.68</v>
      </c>
      <c r="M201" s="11" t="n">
        <f aca="false">SUM(G201:L201)</f>
        <v>2292.41</v>
      </c>
      <c r="N201" s="11" t="n">
        <v>0</v>
      </c>
      <c r="O201" s="11" t="n">
        <v>0</v>
      </c>
      <c r="P201" s="11" t="n">
        <v>69.255</v>
      </c>
      <c r="Q201" s="11" t="n">
        <v>0</v>
      </c>
      <c r="R201" s="11" t="n">
        <v>0</v>
      </c>
      <c r="S201" s="11" t="n">
        <v>82.08</v>
      </c>
      <c r="T201" s="11" t="n">
        <f aca="false">SUM(N201:S201)</f>
        <v>151.335</v>
      </c>
      <c r="U201" s="11" t="n">
        <v>0</v>
      </c>
      <c r="V201" s="11" t="n">
        <v>0</v>
      </c>
      <c r="W201" s="11" t="n">
        <v>1041.4</v>
      </c>
      <c r="X201" s="11" t="n">
        <v>0</v>
      </c>
      <c r="Y201" s="11" t="n">
        <v>1016.74</v>
      </c>
      <c r="Z201" s="11" t="n">
        <v>12.33</v>
      </c>
      <c r="AA201" s="11" t="n">
        <f aca="false">SUM(U201:Z201)</f>
        <v>2070.47</v>
      </c>
      <c r="AB201" s="11" t="n">
        <v>0</v>
      </c>
      <c r="AC201" s="11" t="n">
        <v>0</v>
      </c>
      <c r="AD201" s="11" t="n">
        <v>68.4</v>
      </c>
      <c r="AE201" s="11" t="n">
        <v>0</v>
      </c>
      <c r="AF201" s="11" t="n">
        <v>66.69</v>
      </c>
      <c r="AG201" s="11" t="n">
        <v>0.855</v>
      </c>
      <c r="AH201" s="11" t="n">
        <f aca="false">SUM(AB201:AG201)</f>
        <v>135.945</v>
      </c>
    </row>
    <row r="202" customFormat="false" ht="15" hidden="false" customHeight="false" outlineLevel="2" collapsed="false">
      <c r="A202" s="8" t="s">
        <v>1682</v>
      </c>
      <c r="B202" s="12" t="s">
        <v>1683</v>
      </c>
      <c r="C202" s="8" t="s">
        <v>1649</v>
      </c>
      <c r="D202" s="12" t="s">
        <v>1650</v>
      </c>
      <c r="E202" s="16"/>
      <c r="F202" s="9" t="str">
        <f aca="false">IF($E202="","",IFERROR(INDEX(担当者マスタ!$B$2:$B$101,MATCH($E202,担当者マスタ!$A$2:$A$101,0)),"※マスタ未登録"))</f>
        <v/>
      </c>
      <c r="G202" s="11" t="n">
        <v>0</v>
      </c>
      <c r="H202" s="11" t="n">
        <v>0</v>
      </c>
      <c r="I202" s="11" t="n">
        <v>8.1</v>
      </c>
      <c r="J202" s="11" t="n">
        <v>0</v>
      </c>
      <c r="K202" s="11" t="n">
        <v>12.6</v>
      </c>
      <c r="L202" s="11" t="n">
        <v>0</v>
      </c>
      <c r="M202" s="11" t="n">
        <f aca="false">SUM(G202:L202)</f>
        <v>20.7</v>
      </c>
      <c r="N202" s="11" t="n">
        <v>0</v>
      </c>
      <c r="O202" s="11" t="n">
        <v>0</v>
      </c>
      <c r="P202" s="11" t="n">
        <v>0.414</v>
      </c>
      <c r="Q202" s="11" t="n">
        <v>0</v>
      </c>
      <c r="R202" s="11" t="n">
        <v>3.3</v>
      </c>
      <c r="S202" s="11" t="n">
        <v>0</v>
      </c>
      <c r="T202" s="11" t="n">
        <f aca="false">SUM(N202:S202)</f>
        <v>3.714</v>
      </c>
      <c r="U202" s="11" t="n">
        <v>9.4</v>
      </c>
      <c r="V202" s="11" t="n">
        <v>6.68</v>
      </c>
      <c r="W202" s="11" t="n">
        <v>10.32</v>
      </c>
      <c r="X202" s="11" t="n">
        <v>2.71</v>
      </c>
      <c r="Y202" s="11" t="n">
        <v>8.1</v>
      </c>
      <c r="Z202" s="11" t="n">
        <v>0</v>
      </c>
      <c r="AA202" s="11" t="n">
        <f aca="false">SUM(U202:Z202)</f>
        <v>37.21</v>
      </c>
      <c r="AB202" s="11" t="n">
        <v>0.58</v>
      </c>
      <c r="AC202" s="11" t="n">
        <v>0.74</v>
      </c>
      <c r="AD202" s="11" t="n">
        <v>1.2</v>
      </c>
      <c r="AE202" s="11" t="n">
        <v>2.75</v>
      </c>
      <c r="AF202" s="11" t="n">
        <v>0.414</v>
      </c>
      <c r="AG202" s="11" t="n">
        <v>0</v>
      </c>
      <c r="AH202" s="11" t="n">
        <f aca="false">SUM(AB202:AG202)</f>
        <v>5.684</v>
      </c>
    </row>
    <row r="203" customFormat="false" ht="15" hidden="false" customHeight="false" outlineLevel="2" collapsed="false">
      <c r="A203" s="8" t="s">
        <v>1684</v>
      </c>
      <c r="B203" s="12" t="s">
        <v>1685</v>
      </c>
      <c r="C203" s="8" t="s">
        <v>1649</v>
      </c>
      <c r="D203" s="12" t="s">
        <v>1650</v>
      </c>
      <c r="E203" s="16"/>
      <c r="F203" s="9" t="str">
        <f aca="false">IF($E203="","",IFERROR(INDEX(担当者マスタ!$B$2:$B$101,MATCH($E203,担当者マスタ!$A$2:$A$101,0)),"※マスタ未登録"))</f>
        <v/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6.2</v>
      </c>
      <c r="L203" s="11" t="n">
        <v>0</v>
      </c>
      <c r="M203" s="11" t="n">
        <f aca="false">SUM(G203:L203)</f>
        <v>6.2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1.6</v>
      </c>
      <c r="S203" s="11" t="n">
        <v>0</v>
      </c>
      <c r="T203" s="11" t="n">
        <f aca="false">SUM(N203:S203)</f>
        <v>1.6</v>
      </c>
      <c r="U203" s="11" t="n">
        <v>0</v>
      </c>
      <c r="V203" s="11" t="n">
        <v>6.2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f aca="false">SUM(U203:Z203)</f>
        <v>6.2</v>
      </c>
      <c r="AB203" s="11" t="n">
        <v>0</v>
      </c>
      <c r="AC203" s="11" t="n">
        <v>1.14</v>
      </c>
      <c r="AD203" s="11" t="n">
        <v>0</v>
      </c>
      <c r="AE203" s="11" t="n">
        <v>0</v>
      </c>
      <c r="AF203" s="11" t="n">
        <v>0</v>
      </c>
      <c r="AG203" s="11" t="n">
        <v>0</v>
      </c>
      <c r="AH203" s="11" t="n">
        <f aca="false">SUM(AB203:AG203)</f>
        <v>1.14</v>
      </c>
    </row>
    <row r="204" customFormat="false" ht="15" hidden="false" customHeight="false" outlineLevel="2" collapsed="false">
      <c r="A204" s="8" t="s">
        <v>1686</v>
      </c>
      <c r="B204" s="12" t="s">
        <v>1687</v>
      </c>
      <c r="C204" s="8" t="s">
        <v>1649</v>
      </c>
      <c r="D204" s="12" t="s">
        <v>1650</v>
      </c>
      <c r="E204" s="16"/>
      <c r="F204" s="9" t="str">
        <f aca="false">IF($E204="","",IFERROR(INDEX(担当者マスタ!$B$2:$B$101,MATCH($E204,担当者マスタ!$A$2:$A$101,0)),"※マスタ未登録"))</f>
        <v/>
      </c>
      <c r="G204" s="11" t="n">
        <v>9.3</v>
      </c>
      <c r="H204" s="11" t="n">
        <v>56</v>
      </c>
      <c r="I204" s="11" t="n">
        <v>26.2</v>
      </c>
      <c r="J204" s="11" t="n">
        <v>0</v>
      </c>
      <c r="K204" s="11" t="n">
        <v>0</v>
      </c>
      <c r="L204" s="11" t="n">
        <v>27.9</v>
      </c>
      <c r="M204" s="11" t="n">
        <f aca="false">SUM(G204:L204)</f>
        <v>119.4</v>
      </c>
      <c r="N204" s="11" t="n">
        <v>3.15</v>
      </c>
      <c r="O204" s="11" t="n">
        <v>8.48</v>
      </c>
      <c r="P204" s="11" t="n">
        <v>2.8</v>
      </c>
      <c r="Q204" s="11" t="n">
        <v>0</v>
      </c>
      <c r="R204" s="11" t="n">
        <v>0</v>
      </c>
      <c r="S204" s="11" t="n">
        <v>9.45</v>
      </c>
      <c r="T204" s="11" t="n">
        <f aca="false">SUM(N204:S204)</f>
        <v>23.88</v>
      </c>
      <c r="U204" s="11" t="n">
        <v>0</v>
      </c>
      <c r="V204" s="11" t="n">
        <v>0</v>
      </c>
      <c r="W204" s="11" t="n">
        <v>37.12</v>
      </c>
      <c r="X204" s="11" t="n">
        <v>0</v>
      </c>
      <c r="Y204" s="11" t="n">
        <v>0</v>
      </c>
      <c r="Z204" s="11" t="n">
        <v>0</v>
      </c>
      <c r="AA204" s="11" t="n">
        <f aca="false">SUM(U204:Z204)</f>
        <v>37.12</v>
      </c>
      <c r="AB204" s="11" t="n">
        <v>0</v>
      </c>
      <c r="AC204" s="11" t="n">
        <v>0</v>
      </c>
      <c r="AD204" s="11" t="n">
        <v>4.48</v>
      </c>
      <c r="AE204" s="11" t="n">
        <v>0</v>
      </c>
      <c r="AF204" s="11" t="n">
        <v>0</v>
      </c>
      <c r="AG204" s="11" t="n">
        <v>0</v>
      </c>
      <c r="AH204" s="11" t="n">
        <f aca="false">SUM(AB204:AG204)</f>
        <v>4.48</v>
      </c>
    </row>
    <row r="205" customFormat="false" ht="15" hidden="false" customHeight="false" outlineLevel="1" collapsed="false">
      <c r="A205" s="19"/>
      <c r="B205" s="19"/>
      <c r="C205" s="17" t="s">
        <v>1950</v>
      </c>
      <c r="D205" s="19" t="s">
        <v>1951</v>
      </c>
      <c r="E205" s="19"/>
      <c r="F205" s="19"/>
      <c r="G205" s="18" t="n">
        <f aca="false">SUBTOTAL(9,G185:G204)</f>
        <v>9521.178</v>
      </c>
      <c r="H205" s="18" t="n">
        <f aca="false">SUBTOTAL(9,H185:H204)</f>
        <v>13735.246</v>
      </c>
      <c r="I205" s="18" t="n">
        <f aca="false">SUBTOTAL(9,I185:I204)</f>
        <v>11782.985</v>
      </c>
      <c r="J205" s="18" t="n">
        <f aca="false">SUBTOTAL(9,J185:J204)</f>
        <v>9025.699</v>
      </c>
      <c r="K205" s="18" t="n">
        <f aca="false">SUBTOTAL(9,K185:K204)</f>
        <v>9427.026</v>
      </c>
      <c r="L205" s="18" t="n">
        <f aca="false">SUBTOTAL(9,L185:L204)</f>
        <v>10697.682</v>
      </c>
      <c r="M205" s="18" t="n">
        <f aca="false">SUBTOTAL(9,M185:M204)</f>
        <v>64189.816</v>
      </c>
      <c r="N205" s="18" t="n">
        <f aca="false">SUBTOTAL(9,N185:N204)</f>
        <v>2012.548</v>
      </c>
      <c r="O205" s="18" t="n">
        <f aca="false">SUBTOTAL(9,O185:O204)</f>
        <v>2890.034</v>
      </c>
      <c r="P205" s="18" t="n">
        <f aca="false">SUBTOTAL(9,P185:P204)</f>
        <v>2422.378</v>
      </c>
      <c r="Q205" s="18" t="n">
        <f aca="false">SUBTOTAL(9,Q185:Q204)</f>
        <v>1890.293</v>
      </c>
      <c r="R205" s="18" t="n">
        <f aca="false">SUBTOTAL(9,R185:R204)</f>
        <v>2245.16</v>
      </c>
      <c r="S205" s="18" t="n">
        <f aca="false">SUBTOTAL(9,S185:S204)</f>
        <v>2059.492</v>
      </c>
      <c r="T205" s="18" t="n">
        <f aca="false">SUBTOTAL(9,T185:T204)</f>
        <v>13519.905</v>
      </c>
      <c r="U205" s="18" t="n">
        <f aca="false">SUBTOTAL(9,U185:U204)</f>
        <v>16483.129</v>
      </c>
      <c r="V205" s="18" t="n">
        <f aca="false">SUBTOTAL(9,V185:V204)</f>
        <v>11676.502</v>
      </c>
      <c r="W205" s="18" t="n">
        <f aca="false">SUBTOTAL(9,W185:W204)</f>
        <v>20704.894</v>
      </c>
      <c r="X205" s="18" t="n">
        <f aca="false">SUBTOTAL(9,X185:X204)</f>
        <v>8073.832</v>
      </c>
      <c r="Y205" s="18" t="n">
        <f aca="false">SUBTOTAL(9,Y185:Y204)</f>
        <v>11880.556</v>
      </c>
      <c r="Z205" s="18" t="n">
        <f aca="false">SUBTOTAL(9,Z185:Z204)</f>
        <v>9940.385</v>
      </c>
      <c r="AA205" s="18" t="n">
        <f aca="false">SUBTOTAL(9,AA185:AA204)</f>
        <v>78759.298</v>
      </c>
      <c r="AB205" s="18" t="n">
        <f aca="false">SUBTOTAL(9,AB185:AB204)</f>
        <v>3302.504</v>
      </c>
      <c r="AC205" s="18" t="n">
        <f aca="false">SUBTOTAL(9,AC185:AC204)</f>
        <v>2445.327</v>
      </c>
      <c r="AD205" s="18" t="n">
        <f aca="false">SUBTOTAL(9,AD185:AD204)</f>
        <v>3871.629</v>
      </c>
      <c r="AE205" s="18" t="n">
        <f aca="false">SUBTOTAL(9,AE185:AE204)</f>
        <v>1761.063</v>
      </c>
      <c r="AF205" s="18" t="n">
        <f aca="false">SUBTOTAL(9,AF185:AF204)</f>
        <v>2281.149</v>
      </c>
      <c r="AG205" s="18" t="n">
        <f aca="false">SUBTOTAL(9,AG185:AG204)</f>
        <v>2133.709</v>
      </c>
      <c r="AH205" s="18" t="n">
        <f aca="false">SUBTOTAL(9,AH185:AH204)</f>
        <v>15795.381</v>
      </c>
    </row>
    <row r="206" customFormat="false" ht="15" hidden="false" customHeight="false" outlineLevel="2" collapsed="false">
      <c r="A206" s="8" t="s">
        <v>1688</v>
      </c>
      <c r="B206" s="9" t="s">
        <v>1689</v>
      </c>
      <c r="C206" s="8" t="s">
        <v>1690</v>
      </c>
      <c r="D206" s="12" t="s">
        <v>1691</v>
      </c>
      <c r="E206" s="16"/>
      <c r="F206" s="9" t="str">
        <f aca="false">IF($E206="","",IFERROR(INDEX(担当者マスタ!$B$2:$B$101,MATCH($E206,担当者マスタ!$A$2:$A$101,0)),"※マスタ未登録"))</f>
        <v/>
      </c>
      <c r="G206" s="11" t="n">
        <v>1099.368</v>
      </c>
      <c r="H206" s="11" t="n">
        <v>784.591</v>
      </c>
      <c r="I206" s="11" t="n">
        <v>1005.662</v>
      </c>
      <c r="J206" s="11" t="n">
        <v>683.833</v>
      </c>
      <c r="K206" s="11" t="n">
        <v>413.609</v>
      </c>
      <c r="L206" s="11" t="n">
        <v>341.676</v>
      </c>
      <c r="M206" s="11" t="n">
        <f aca="false">SUM(G206:L206)</f>
        <v>4328.739</v>
      </c>
      <c r="N206" s="11" t="n">
        <v>213.265</v>
      </c>
      <c r="O206" s="11" t="n">
        <v>129.097</v>
      </c>
      <c r="P206" s="11" t="n">
        <v>179.02</v>
      </c>
      <c r="Q206" s="11" t="n">
        <v>127.17</v>
      </c>
      <c r="R206" s="11" t="n">
        <v>67.921</v>
      </c>
      <c r="S206" s="11" t="n">
        <v>63.663</v>
      </c>
      <c r="T206" s="11" t="n">
        <f aca="false">SUM(N206:S206)</f>
        <v>780.136</v>
      </c>
      <c r="U206" s="11" t="n">
        <v>413.512</v>
      </c>
      <c r="V206" s="11" t="n">
        <v>366.304</v>
      </c>
      <c r="W206" s="11" t="n">
        <v>816.724</v>
      </c>
      <c r="X206" s="11" t="n">
        <v>319.316</v>
      </c>
      <c r="Y206" s="11" t="n">
        <v>461.614</v>
      </c>
      <c r="Z206" s="11" t="n">
        <v>577.646</v>
      </c>
      <c r="AA206" s="11" t="n">
        <f aca="false">SUM(U206:Z206)</f>
        <v>2955.116</v>
      </c>
      <c r="AB206" s="11" t="n">
        <v>83.322</v>
      </c>
      <c r="AC206" s="11" t="n">
        <v>67.855</v>
      </c>
      <c r="AD206" s="11" t="n">
        <v>140.527</v>
      </c>
      <c r="AE206" s="11" t="n">
        <v>50.823</v>
      </c>
      <c r="AF206" s="11" t="n">
        <v>85.819</v>
      </c>
      <c r="AG206" s="11" t="n">
        <v>93.723</v>
      </c>
      <c r="AH206" s="11" t="n">
        <f aca="false">SUM(AB206:AG206)</f>
        <v>522.069</v>
      </c>
    </row>
    <row r="207" customFormat="false" ht="15" hidden="false" customHeight="false" outlineLevel="2" collapsed="false">
      <c r="A207" s="8" t="s">
        <v>1692</v>
      </c>
      <c r="B207" s="12" t="s">
        <v>1693</v>
      </c>
      <c r="C207" s="8" t="s">
        <v>1690</v>
      </c>
      <c r="D207" s="12" t="s">
        <v>1691</v>
      </c>
      <c r="E207" s="16"/>
      <c r="F207" s="9" t="str">
        <f aca="false">IF($E207="","",IFERROR(INDEX(担当者マスタ!$B$2:$B$101,MATCH($E207,担当者マスタ!$A$2:$A$101,0)),"※マスタ未登録"))</f>
        <v/>
      </c>
      <c r="G207" s="11" t="n">
        <v>1418.165</v>
      </c>
      <c r="H207" s="11" t="n">
        <v>1818.729</v>
      </c>
      <c r="I207" s="11" t="n">
        <v>2243.96</v>
      </c>
      <c r="J207" s="11" t="n">
        <v>819.811</v>
      </c>
      <c r="K207" s="11" t="n">
        <v>1358.77</v>
      </c>
      <c r="L207" s="11" t="n">
        <v>2499.902</v>
      </c>
      <c r="M207" s="11" t="n">
        <f aca="false">SUM(G207:L207)</f>
        <v>10159.337</v>
      </c>
      <c r="N207" s="11" t="n">
        <v>278.991</v>
      </c>
      <c r="O207" s="11" t="n">
        <v>375.666</v>
      </c>
      <c r="P207" s="11" t="n">
        <v>402.503</v>
      </c>
      <c r="Q207" s="11" t="n">
        <v>136.251</v>
      </c>
      <c r="R207" s="11" t="n">
        <v>232.871</v>
      </c>
      <c r="S207" s="11" t="n">
        <v>449.678</v>
      </c>
      <c r="T207" s="11" t="n">
        <f aca="false">SUM(N207:S207)</f>
        <v>1875.96</v>
      </c>
      <c r="U207" s="11" t="n">
        <v>1684.665</v>
      </c>
      <c r="V207" s="11" t="n">
        <v>1536.231</v>
      </c>
      <c r="W207" s="11" t="n">
        <v>1292.115</v>
      </c>
      <c r="X207" s="11" t="n">
        <v>857.49</v>
      </c>
      <c r="Y207" s="11" t="n">
        <v>851.29</v>
      </c>
      <c r="Z207" s="11" t="n">
        <v>852.88</v>
      </c>
      <c r="AA207" s="11" t="n">
        <f aca="false">SUM(U207:Z207)</f>
        <v>7074.671</v>
      </c>
      <c r="AB207" s="11" t="n">
        <v>353.817</v>
      </c>
      <c r="AC207" s="11" t="n">
        <v>313.369</v>
      </c>
      <c r="AD207" s="11" t="n">
        <v>228.189</v>
      </c>
      <c r="AE207" s="11" t="n">
        <v>171.678</v>
      </c>
      <c r="AF207" s="11" t="n">
        <v>166.122</v>
      </c>
      <c r="AG207" s="11" t="n">
        <v>142.508</v>
      </c>
      <c r="AH207" s="11" t="n">
        <f aca="false">SUM(AB207:AG207)</f>
        <v>1375.683</v>
      </c>
    </row>
    <row r="208" customFormat="false" ht="15" hidden="false" customHeight="false" outlineLevel="2" collapsed="false">
      <c r="A208" s="8" t="s">
        <v>1694</v>
      </c>
      <c r="B208" s="12" t="s">
        <v>1695</v>
      </c>
      <c r="C208" s="8" t="s">
        <v>1690</v>
      </c>
      <c r="D208" s="12" t="s">
        <v>1691</v>
      </c>
      <c r="E208" s="16"/>
      <c r="F208" s="9" t="str">
        <f aca="false">IF($E208="","",IFERROR(INDEX(担当者マスタ!$B$2:$B$101,MATCH($E208,担当者マスタ!$A$2:$A$101,0)),"※マスタ未登録"))</f>
        <v/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4620</v>
      </c>
      <c r="L208" s="11" t="n">
        <v>0</v>
      </c>
      <c r="M208" s="11" t="n">
        <f aca="false">SUM(G208:L208)</f>
        <v>4620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750</v>
      </c>
      <c r="S208" s="11" t="n">
        <v>0</v>
      </c>
      <c r="T208" s="11" t="n">
        <f aca="false">SUM(N208:S208)</f>
        <v>750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f aca="false">SUM(U208:Z208)</f>
        <v>0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n">
        <f aca="false">SUM(AB208:AG208)</f>
        <v>0</v>
      </c>
    </row>
    <row r="209" customFormat="false" ht="15" hidden="false" customHeight="false" outlineLevel="2" collapsed="false">
      <c r="A209" s="8" t="s">
        <v>1696</v>
      </c>
      <c r="B209" s="12" t="s">
        <v>1697</v>
      </c>
      <c r="C209" s="8" t="s">
        <v>1690</v>
      </c>
      <c r="D209" s="12" t="s">
        <v>1691</v>
      </c>
      <c r="E209" s="16"/>
      <c r="F209" s="9" t="str">
        <f aca="false">IF($E209="","",IFERROR(INDEX(担当者マスタ!$B$2:$B$101,MATCH($E209,担当者マスタ!$A$2:$A$101,0)),"※マスタ未登録"))</f>
        <v/>
      </c>
      <c r="G209" s="11" t="n">
        <v>4353.224</v>
      </c>
      <c r="H209" s="11" t="n">
        <v>4232.036</v>
      </c>
      <c r="I209" s="11" t="n">
        <v>5620.353</v>
      </c>
      <c r="J209" s="11" t="n">
        <v>3336.771</v>
      </c>
      <c r="K209" s="11" t="n">
        <v>7383.901</v>
      </c>
      <c r="L209" s="11" t="n">
        <v>4785.934</v>
      </c>
      <c r="M209" s="11" t="n">
        <f aca="false">SUM(G209:L209)</f>
        <v>29712.219</v>
      </c>
      <c r="N209" s="11" t="n">
        <v>593.187</v>
      </c>
      <c r="O209" s="11" t="n">
        <v>629.177</v>
      </c>
      <c r="P209" s="11" t="n">
        <v>1046.888</v>
      </c>
      <c r="Q209" s="11" t="n">
        <v>425.037</v>
      </c>
      <c r="R209" s="11" t="n">
        <v>1339.34</v>
      </c>
      <c r="S209" s="11" t="n">
        <v>1011.313</v>
      </c>
      <c r="T209" s="11" t="n">
        <f aca="false">SUM(N209:S209)</f>
        <v>5044.942</v>
      </c>
      <c r="U209" s="11" t="n">
        <v>11197.808</v>
      </c>
      <c r="V209" s="11" t="n">
        <v>4654.306</v>
      </c>
      <c r="W209" s="11" t="n">
        <v>3065.56</v>
      </c>
      <c r="X209" s="11" t="n">
        <v>3331.577</v>
      </c>
      <c r="Y209" s="11" t="n">
        <v>3632.858</v>
      </c>
      <c r="Z209" s="11" t="n">
        <v>13248.277</v>
      </c>
      <c r="AA209" s="11" t="n">
        <f aca="false">SUM(U209:Z209)</f>
        <v>39130.386</v>
      </c>
      <c r="AB209" s="11" t="n">
        <v>2657.424</v>
      </c>
      <c r="AC209" s="11" t="n">
        <v>748.761</v>
      </c>
      <c r="AD209" s="11" t="n">
        <v>415.854</v>
      </c>
      <c r="AE209" s="11" t="n">
        <v>450.889</v>
      </c>
      <c r="AF209" s="11" t="n">
        <v>586.206</v>
      </c>
      <c r="AG209" s="11" t="n">
        <v>2423.874</v>
      </c>
      <c r="AH209" s="11" t="n">
        <f aca="false">SUM(AB209:AG209)</f>
        <v>7283.008</v>
      </c>
    </row>
    <row r="210" customFormat="false" ht="15" hidden="false" customHeight="false" outlineLevel="2" collapsed="false">
      <c r="A210" s="8" t="s">
        <v>1698</v>
      </c>
      <c r="B210" s="12" t="s">
        <v>1699</v>
      </c>
      <c r="C210" s="8" t="s">
        <v>1690</v>
      </c>
      <c r="D210" s="12" t="s">
        <v>1691</v>
      </c>
      <c r="E210" s="16"/>
      <c r="F210" s="9" t="str">
        <f aca="false">IF($E210="","",IFERROR(INDEX(担当者マスタ!$B$2:$B$101,MATCH($E210,担当者マスタ!$A$2:$A$101,0)),"※マスタ未登録"))</f>
        <v/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f aca="false">SUM(G210:L210)</f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f aca="false">SUM(N210:S210)</f>
        <v>0</v>
      </c>
      <c r="U210" s="11" t="n">
        <v>120.72</v>
      </c>
      <c r="V210" s="11" t="n">
        <v>0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f aca="false">SUM(U210:Z210)</f>
        <v>120.72</v>
      </c>
      <c r="AB210" s="11" t="n">
        <v>20.64</v>
      </c>
      <c r="AC210" s="11" t="n">
        <v>0</v>
      </c>
      <c r="AD210" s="11" t="n">
        <v>0</v>
      </c>
      <c r="AE210" s="11" t="n">
        <v>0</v>
      </c>
      <c r="AF210" s="11" t="n">
        <v>0</v>
      </c>
      <c r="AG210" s="11" t="n">
        <v>0</v>
      </c>
      <c r="AH210" s="11" t="n">
        <f aca="false">SUM(AB210:AG210)</f>
        <v>20.64</v>
      </c>
    </row>
    <row r="211" customFormat="false" ht="15" hidden="false" customHeight="false" outlineLevel="2" collapsed="false">
      <c r="A211" s="8" t="s">
        <v>1700</v>
      </c>
      <c r="B211" s="12" t="s">
        <v>1701</v>
      </c>
      <c r="C211" s="8" t="s">
        <v>1690</v>
      </c>
      <c r="D211" s="12" t="s">
        <v>1691</v>
      </c>
      <c r="E211" s="16"/>
      <c r="F211" s="9" t="str">
        <f aca="false">IF($E211="","",IFERROR(INDEX(担当者マスタ!$B$2:$B$101,MATCH($E211,担当者マスタ!$A$2:$A$101,0)),"※マスタ未登録"))</f>
        <v/>
      </c>
      <c r="G211" s="11" t="n">
        <v>52</v>
      </c>
      <c r="H211" s="11" t="n">
        <v>60</v>
      </c>
      <c r="I211" s="11" t="n">
        <v>84</v>
      </c>
      <c r="J211" s="11" t="n">
        <v>92</v>
      </c>
      <c r="K211" s="11" t="n">
        <v>124</v>
      </c>
      <c r="L211" s="11" t="n">
        <v>104</v>
      </c>
      <c r="M211" s="11" t="n">
        <f aca="false">SUM(G211:L211)</f>
        <v>516</v>
      </c>
      <c r="N211" s="11" t="n">
        <v>52</v>
      </c>
      <c r="O211" s="11" t="n">
        <v>60</v>
      </c>
      <c r="P211" s="11" t="n">
        <v>84</v>
      </c>
      <c r="Q211" s="11" t="n">
        <v>92</v>
      </c>
      <c r="R211" s="11" t="n">
        <v>124</v>
      </c>
      <c r="S211" s="11" t="n">
        <v>104</v>
      </c>
      <c r="T211" s="11" t="n">
        <f aca="false">SUM(N211:S211)</f>
        <v>516</v>
      </c>
      <c r="U211" s="11" t="n">
        <v>248</v>
      </c>
      <c r="V211" s="11" t="n">
        <v>128</v>
      </c>
      <c r="W211" s="11" t="n">
        <v>96</v>
      </c>
      <c r="X211" s="11" t="n">
        <v>52</v>
      </c>
      <c r="Y211" s="11" t="n">
        <v>92</v>
      </c>
      <c r="Z211" s="11" t="n">
        <v>84</v>
      </c>
      <c r="AA211" s="11" t="n">
        <f aca="false">SUM(U211:Z211)</f>
        <v>700</v>
      </c>
      <c r="AB211" s="11" t="n">
        <v>248</v>
      </c>
      <c r="AC211" s="11" t="n">
        <v>128</v>
      </c>
      <c r="AD211" s="11" t="n">
        <v>96</v>
      </c>
      <c r="AE211" s="11" t="n">
        <v>52</v>
      </c>
      <c r="AF211" s="11" t="n">
        <v>92</v>
      </c>
      <c r="AG211" s="11" t="n">
        <v>84</v>
      </c>
      <c r="AH211" s="11" t="n">
        <f aca="false">SUM(AB211:AG211)</f>
        <v>700</v>
      </c>
    </row>
    <row r="212" customFormat="false" ht="15" hidden="false" customHeight="false" outlineLevel="2" collapsed="false">
      <c r="A212" s="8" t="s">
        <v>1702</v>
      </c>
      <c r="B212" s="12" t="s">
        <v>1703</v>
      </c>
      <c r="C212" s="8" t="s">
        <v>1690</v>
      </c>
      <c r="D212" s="12" t="s">
        <v>1691</v>
      </c>
      <c r="E212" s="16"/>
      <c r="F212" s="9" t="str">
        <f aca="false">IF($E212="","",IFERROR(INDEX(担当者マスタ!$B$2:$B$101,MATCH($E212,担当者マスタ!$A$2:$A$101,0)),"※マスタ未登録"))</f>
        <v/>
      </c>
      <c r="G212" s="11" t="n">
        <v>10.2</v>
      </c>
      <c r="H212" s="11" t="n">
        <v>48.475</v>
      </c>
      <c r="I212" s="11" t="n">
        <v>0</v>
      </c>
      <c r="J212" s="11" t="n">
        <v>0</v>
      </c>
      <c r="K212" s="11" t="n">
        <v>0</v>
      </c>
      <c r="L212" s="11" t="n">
        <v>34.956</v>
      </c>
      <c r="M212" s="11" t="n">
        <f aca="false">SUM(G212:L212)</f>
        <v>93.631</v>
      </c>
      <c r="N212" s="11" t="n">
        <v>1.4</v>
      </c>
      <c r="O212" s="11" t="n">
        <v>2.422</v>
      </c>
      <c r="P212" s="11" t="n">
        <v>4.77</v>
      </c>
      <c r="Q212" s="11" t="n">
        <v>0</v>
      </c>
      <c r="R212" s="11" t="n">
        <v>0</v>
      </c>
      <c r="S212" s="11" t="n">
        <v>6.872</v>
      </c>
      <c r="T212" s="11" t="n">
        <f aca="false">SUM(N212:S212)</f>
        <v>15.464</v>
      </c>
      <c r="U212" s="11" t="n">
        <v>37.315</v>
      </c>
      <c r="V212" s="11" t="n">
        <v>17.819</v>
      </c>
      <c r="W212" s="11" t="n">
        <v>0</v>
      </c>
      <c r="X212" s="11" t="n">
        <v>31.825</v>
      </c>
      <c r="Y212" s="11" t="n">
        <v>26.256</v>
      </c>
      <c r="Z212" s="11" t="n">
        <v>5.49</v>
      </c>
      <c r="AA212" s="11" t="n">
        <f aca="false">SUM(U212:Z212)</f>
        <v>118.705</v>
      </c>
      <c r="AB212" s="11" t="n">
        <v>5.015</v>
      </c>
      <c r="AC212" s="11" t="n">
        <v>3.399</v>
      </c>
      <c r="AD212" s="11" t="n">
        <v>0</v>
      </c>
      <c r="AE212" s="11" t="n">
        <v>4.025</v>
      </c>
      <c r="AF212" s="11" t="n">
        <v>4.576</v>
      </c>
      <c r="AG212" s="11" t="n">
        <v>0.99</v>
      </c>
      <c r="AH212" s="11" t="n">
        <f aca="false">SUM(AB212:AG212)</f>
        <v>18.005</v>
      </c>
    </row>
    <row r="213" customFormat="false" ht="15" hidden="false" customHeight="false" outlineLevel="2" collapsed="false">
      <c r="A213" s="8" t="s">
        <v>1704</v>
      </c>
      <c r="B213" s="12" t="s">
        <v>1705</v>
      </c>
      <c r="C213" s="8" t="s">
        <v>1690</v>
      </c>
      <c r="D213" s="12" t="s">
        <v>1691</v>
      </c>
      <c r="E213" s="16"/>
      <c r="F213" s="9" t="str">
        <f aca="false">IF($E213="","",IFERROR(INDEX(担当者マスタ!$B$2:$B$101,MATCH($E213,担当者マスタ!$A$2:$A$101,0)),"※マスタ未登録"))</f>
        <v/>
      </c>
      <c r="G213" s="11" t="n">
        <v>0</v>
      </c>
      <c r="H213" s="11" t="n">
        <v>0</v>
      </c>
      <c r="I213" s="11" t="n">
        <v>1.162</v>
      </c>
      <c r="J213" s="11" t="n">
        <v>0</v>
      </c>
      <c r="K213" s="11" t="n">
        <v>0</v>
      </c>
      <c r="L213" s="11" t="n">
        <v>0</v>
      </c>
      <c r="M213" s="11" t="n">
        <f aca="false">SUM(G213:L213)</f>
        <v>1.162</v>
      </c>
      <c r="N213" s="11" t="n">
        <v>0</v>
      </c>
      <c r="O213" s="11" t="n">
        <v>0</v>
      </c>
      <c r="P213" s="11" t="n">
        <v>0.063</v>
      </c>
      <c r="Q213" s="11" t="n">
        <v>0</v>
      </c>
      <c r="R213" s="11" t="n">
        <v>0</v>
      </c>
      <c r="S213" s="11" t="n">
        <v>0</v>
      </c>
      <c r="T213" s="11" t="n">
        <f aca="false">SUM(N213:S213)</f>
        <v>0.063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f aca="false">SUM(U213:Z213)</f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f aca="false">SUM(AB213:AG213)</f>
        <v>0</v>
      </c>
    </row>
    <row r="214" customFormat="false" ht="15" hidden="false" customHeight="false" outlineLevel="2" collapsed="false">
      <c r="A214" s="8" t="s">
        <v>1706</v>
      </c>
      <c r="B214" s="12" t="s">
        <v>1707</v>
      </c>
      <c r="C214" s="8" t="s">
        <v>1690</v>
      </c>
      <c r="D214" s="12" t="s">
        <v>1691</v>
      </c>
      <c r="E214" s="16"/>
      <c r="F214" s="9" t="str">
        <f aca="false">IF($E214="","",IFERROR(INDEX(担当者マスタ!$B$2:$B$101,MATCH($E214,担当者マスタ!$A$2:$A$101,0)),"※マスタ未登録"))</f>
        <v/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52.8</v>
      </c>
      <c r="M214" s="11" t="n">
        <f aca="false">SUM(G214:L214)</f>
        <v>52.8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9.9</v>
      </c>
      <c r="T214" s="11" t="n">
        <f aca="false">SUM(N214:S214)</f>
        <v>9.9</v>
      </c>
      <c r="U214" s="11" t="n">
        <v>0</v>
      </c>
      <c r="V214" s="11" t="n">
        <v>0</v>
      </c>
      <c r="W214" s="11" t="n">
        <v>0</v>
      </c>
      <c r="X214" s="11" t="n">
        <v>0</v>
      </c>
      <c r="Y214" s="11" t="n">
        <v>52.8</v>
      </c>
      <c r="Z214" s="11" t="n">
        <v>0</v>
      </c>
      <c r="AA214" s="11" t="n">
        <f aca="false">SUM(U214:Z214)</f>
        <v>52.8</v>
      </c>
      <c r="AB214" s="11" t="n">
        <v>0</v>
      </c>
      <c r="AC214" s="11" t="n">
        <v>0</v>
      </c>
      <c r="AD214" s="11" t="n">
        <v>0</v>
      </c>
      <c r="AE214" s="11" t="n">
        <v>0</v>
      </c>
      <c r="AF214" s="11" t="n">
        <v>9.9</v>
      </c>
      <c r="AG214" s="11" t="n">
        <v>0</v>
      </c>
      <c r="AH214" s="11" t="n">
        <f aca="false">SUM(AB214:AG214)</f>
        <v>9.9</v>
      </c>
    </row>
    <row r="215" customFormat="false" ht="15" hidden="false" customHeight="false" outlineLevel="2" collapsed="false">
      <c r="A215" s="8" t="s">
        <v>1708</v>
      </c>
      <c r="B215" s="12" t="s">
        <v>1709</v>
      </c>
      <c r="C215" s="8" t="s">
        <v>1690</v>
      </c>
      <c r="D215" s="12" t="s">
        <v>1691</v>
      </c>
      <c r="E215" s="16"/>
      <c r="F215" s="9" t="str">
        <f aca="false">IF($E215="","",IFERROR(INDEX(担当者マスタ!$B$2:$B$101,MATCH($E215,担当者マスタ!$A$2:$A$101,0)),"※マスタ未登録"))</f>
        <v/>
      </c>
      <c r="G215" s="11" t="n">
        <v>39.6</v>
      </c>
      <c r="H215" s="11" t="n">
        <v>66.1</v>
      </c>
      <c r="I215" s="11" t="n">
        <v>26.6</v>
      </c>
      <c r="J215" s="11" t="n">
        <v>39.9</v>
      </c>
      <c r="K215" s="11" t="n">
        <v>5.3</v>
      </c>
      <c r="L215" s="11" t="n">
        <v>0</v>
      </c>
      <c r="M215" s="11" t="n">
        <f aca="false">SUM(G215:L215)</f>
        <v>177.5</v>
      </c>
      <c r="N215" s="11" t="n">
        <v>8.8</v>
      </c>
      <c r="O215" s="11" t="n">
        <v>12.9</v>
      </c>
      <c r="P215" s="11" t="n">
        <v>4.26</v>
      </c>
      <c r="Q215" s="11" t="n">
        <v>12.3</v>
      </c>
      <c r="R215" s="11" t="n">
        <v>0.5</v>
      </c>
      <c r="S215" s="11" t="n">
        <v>0</v>
      </c>
      <c r="T215" s="11" t="n">
        <f aca="false">SUM(N215:S215)</f>
        <v>38.76</v>
      </c>
      <c r="U215" s="11" t="n">
        <v>42.6</v>
      </c>
      <c r="V215" s="11" t="n">
        <v>0</v>
      </c>
      <c r="W215" s="11" t="n">
        <v>21.6</v>
      </c>
      <c r="X215" s="11" t="n">
        <v>0</v>
      </c>
      <c r="Y215" s="11" t="n">
        <v>0</v>
      </c>
      <c r="Z215" s="11" t="n">
        <v>0</v>
      </c>
      <c r="AA215" s="11" t="n">
        <f aca="false">SUM(U215:Z215)</f>
        <v>64.2</v>
      </c>
      <c r="AB215" s="11" t="n">
        <v>8.5</v>
      </c>
      <c r="AC215" s="11" t="n">
        <v>0</v>
      </c>
      <c r="AD215" s="11" t="n">
        <v>3.9</v>
      </c>
      <c r="AE215" s="11" t="n">
        <v>0</v>
      </c>
      <c r="AF215" s="11" t="n">
        <v>0</v>
      </c>
      <c r="AG215" s="11" t="n">
        <v>0</v>
      </c>
      <c r="AH215" s="11" t="n">
        <f aca="false">SUM(AB215:AG215)</f>
        <v>12.4</v>
      </c>
    </row>
    <row r="216" customFormat="false" ht="15" hidden="false" customHeight="false" outlineLevel="2" collapsed="false">
      <c r="A216" s="8" t="s">
        <v>1710</v>
      </c>
      <c r="B216" s="9" t="s">
        <v>1711</v>
      </c>
      <c r="C216" s="8" t="s">
        <v>1690</v>
      </c>
      <c r="D216" s="12" t="s">
        <v>1691</v>
      </c>
      <c r="E216" s="16"/>
      <c r="F216" s="9" t="str">
        <f aca="false">IF($E216="","",IFERROR(INDEX(担当者マスタ!$B$2:$B$101,MATCH($E216,担当者マスタ!$A$2:$A$101,0)),"※マスタ未登録"))</f>
        <v/>
      </c>
      <c r="G216" s="11" t="n">
        <v>512.24</v>
      </c>
      <c r="H216" s="11" t="n">
        <v>1302.48</v>
      </c>
      <c r="I216" s="11" t="n">
        <v>657.72</v>
      </c>
      <c r="J216" s="11" t="n">
        <v>0</v>
      </c>
      <c r="K216" s="11" t="n">
        <v>658.44</v>
      </c>
      <c r="L216" s="11" t="n">
        <v>644.76</v>
      </c>
      <c r="M216" s="11" t="n">
        <f aca="false">SUM(G216:L216)</f>
        <v>3775.64</v>
      </c>
      <c r="N216" s="11" t="n">
        <v>115.216</v>
      </c>
      <c r="O216" s="11" t="n">
        <v>265.68</v>
      </c>
      <c r="P216" s="11" t="n">
        <v>132.84</v>
      </c>
      <c r="Q216" s="11" t="n">
        <v>0</v>
      </c>
      <c r="R216" s="11" t="n">
        <v>133.06</v>
      </c>
      <c r="S216" s="11" t="n">
        <v>132.84</v>
      </c>
      <c r="T216" s="11" t="n">
        <f aca="false">SUM(N216:S216)</f>
        <v>779.636</v>
      </c>
      <c r="U216" s="11" t="n">
        <v>391.99</v>
      </c>
      <c r="V216" s="11" t="n">
        <v>1315.44</v>
      </c>
      <c r="W216" s="11" t="n">
        <v>569.976</v>
      </c>
      <c r="X216" s="11" t="n">
        <v>1971.555</v>
      </c>
      <c r="Y216" s="11" t="n">
        <v>0</v>
      </c>
      <c r="Z216" s="11" t="n">
        <v>0</v>
      </c>
      <c r="AA216" s="11" t="n">
        <f aca="false">SUM(U216:Z216)</f>
        <v>4248.961</v>
      </c>
      <c r="AB216" s="11" t="n">
        <v>80.77</v>
      </c>
      <c r="AC216" s="11" t="n">
        <v>265.68</v>
      </c>
      <c r="AD216" s="11" t="n">
        <v>140.208</v>
      </c>
      <c r="AE216" s="11" t="n">
        <v>324.72</v>
      </c>
      <c r="AF216" s="11" t="n">
        <v>0</v>
      </c>
      <c r="AG216" s="11" t="n">
        <v>0</v>
      </c>
      <c r="AH216" s="11" t="n">
        <f aca="false">SUM(AB216:AG216)</f>
        <v>811.378</v>
      </c>
    </row>
    <row r="217" customFormat="false" ht="15" hidden="false" customHeight="false" outlineLevel="2" collapsed="false">
      <c r="A217" s="8" t="s">
        <v>1712</v>
      </c>
      <c r="B217" s="12" t="s">
        <v>1713</v>
      </c>
      <c r="C217" s="8" t="s">
        <v>1690</v>
      </c>
      <c r="D217" s="12" t="s">
        <v>1691</v>
      </c>
      <c r="E217" s="16"/>
      <c r="F217" s="9" t="str">
        <f aca="false">IF($E217="","",IFERROR(INDEX(担当者マスタ!$B$2:$B$101,MATCH($E217,担当者マスタ!$A$2:$A$101,0)),"※マスタ未登録"))</f>
        <v/>
      </c>
      <c r="G217" s="11" t="n">
        <v>0</v>
      </c>
      <c r="H217" s="11" t="n">
        <v>12.5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f aca="false">SUM(G217:L217)</f>
        <v>12.5</v>
      </c>
      <c r="N217" s="11" t="n">
        <v>0</v>
      </c>
      <c r="O217" s="11" t="n">
        <v>2.5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f aca="false">SUM(N217:S217)</f>
        <v>2.5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f aca="false">SUM(U217:Z217)</f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f aca="false">SUM(AB217:AG217)</f>
        <v>0</v>
      </c>
    </row>
    <row r="218" customFormat="false" ht="15" hidden="false" customHeight="false" outlineLevel="2" collapsed="false">
      <c r="A218" s="8" t="s">
        <v>1714</v>
      </c>
      <c r="B218" s="9" t="s">
        <v>1715</v>
      </c>
      <c r="C218" s="8" t="s">
        <v>1690</v>
      </c>
      <c r="D218" s="12" t="s">
        <v>1691</v>
      </c>
      <c r="E218" s="16"/>
      <c r="F218" s="9" t="str">
        <f aca="false">IF($E218="","",IFERROR(INDEX(担当者マスタ!$B$2:$B$101,MATCH($E218,担当者マスタ!$A$2:$A$101,0)),"※マスタ未登録"))</f>
        <v/>
      </c>
      <c r="G218" s="11" t="n">
        <v>196.37</v>
      </c>
      <c r="H218" s="11" t="n">
        <v>46.2</v>
      </c>
      <c r="I218" s="11" t="n">
        <v>131.675</v>
      </c>
      <c r="J218" s="11" t="n">
        <v>86.728</v>
      </c>
      <c r="K218" s="11" t="n">
        <v>36.6</v>
      </c>
      <c r="L218" s="11" t="n">
        <v>8.05</v>
      </c>
      <c r="M218" s="11" t="n">
        <f aca="false">SUM(G218:L218)</f>
        <v>505.623</v>
      </c>
      <c r="N218" s="11" t="n">
        <v>44.427</v>
      </c>
      <c r="O218" s="11" t="n">
        <v>11.467</v>
      </c>
      <c r="P218" s="11" t="n">
        <v>37.018</v>
      </c>
      <c r="Q218" s="11" t="n">
        <v>19.773</v>
      </c>
      <c r="R218" s="11" t="n">
        <v>9.132</v>
      </c>
      <c r="S218" s="11" t="n">
        <v>1.815</v>
      </c>
      <c r="T218" s="11" t="n">
        <f aca="false">SUM(N218:S218)</f>
        <v>123.632</v>
      </c>
      <c r="U218" s="11" t="n">
        <v>148.47</v>
      </c>
      <c r="V218" s="11" t="n">
        <v>37.04</v>
      </c>
      <c r="W218" s="11" t="n">
        <v>206.85</v>
      </c>
      <c r="X218" s="11" t="n">
        <v>2.94</v>
      </c>
      <c r="Y218" s="11" t="n">
        <v>37.275</v>
      </c>
      <c r="Z218" s="11" t="n">
        <v>63.4</v>
      </c>
      <c r="AA218" s="11" t="n">
        <f aca="false">SUM(U218:Z218)</f>
        <v>495.975</v>
      </c>
      <c r="AB218" s="11" t="n">
        <v>33.187</v>
      </c>
      <c r="AC218" s="11" t="n">
        <v>7.992</v>
      </c>
      <c r="AD218" s="11" t="n">
        <v>48.546</v>
      </c>
      <c r="AE218" s="11" t="n">
        <v>0.57</v>
      </c>
      <c r="AF218" s="11" t="n">
        <v>9.034</v>
      </c>
      <c r="AG218" s="11" t="n">
        <v>14.34</v>
      </c>
      <c r="AH218" s="11" t="n">
        <f aca="false">SUM(AB218:AG218)</f>
        <v>113.669</v>
      </c>
    </row>
    <row r="219" customFormat="false" ht="15" hidden="false" customHeight="false" outlineLevel="2" collapsed="false">
      <c r="A219" s="8" t="s">
        <v>1716</v>
      </c>
      <c r="B219" s="12" t="s">
        <v>1717</v>
      </c>
      <c r="C219" s="8" t="s">
        <v>1690</v>
      </c>
      <c r="D219" s="12" t="s">
        <v>1691</v>
      </c>
      <c r="E219" s="16"/>
      <c r="F219" s="9" t="str">
        <f aca="false">IF($E219="","",IFERROR(INDEX(担当者マスタ!$B$2:$B$101,MATCH($E219,担当者マスタ!$A$2:$A$101,0)),"※マスタ未登録"))</f>
        <v/>
      </c>
      <c r="G219" s="11" t="n">
        <v>207.8</v>
      </c>
      <c r="H219" s="11" t="n">
        <v>536.184</v>
      </c>
      <c r="I219" s="11" t="n">
        <v>296.9</v>
      </c>
      <c r="J219" s="11" t="n">
        <v>39</v>
      </c>
      <c r="K219" s="11" t="n">
        <v>438.925</v>
      </c>
      <c r="L219" s="11" t="n">
        <v>130.532</v>
      </c>
      <c r="M219" s="11" t="n">
        <f aca="false">SUM(G219:L219)</f>
        <v>1649.341</v>
      </c>
      <c r="N219" s="11" t="n">
        <v>17.33</v>
      </c>
      <c r="O219" s="11" t="n">
        <v>67.128</v>
      </c>
      <c r="P219" s="11" t="n">
        <v>27.2</v>
      </c>
      <c r="Q219" s="11" t="n">
        <v>2.4</v>
      </c>
      <c r="R219" s="11" t="n">
        <v>72.525</v>
      </c>
      <c r="S219" s="11" t="n">
        <v>6.992</v>
      </c>
      <c r="T219" s="11" t="n">
        <f aca="false">SUM(N219:S219)</f>
        <v>193.575</v>
      </c>
      <c r="U219" s="11" t="n">
        <v>416.9</v>
      </c>
      <c r="V219" s="11" t="n">
        <v>388.195</v>
      </c>
      <c r="W219" s="11" t="n">
        <v>458.44</v>
      </c>
      <c r="X219" s="11" t="n">
        <v>0</v>
      </c>
      <c r="Y219" s="11" t="n">
        <v>119.6</v>
      </c>
      <c r="Z219" s="11" t="n">
        <v>330.15</v>
      </c>
      <c r="AA219" s="11" t="n">
        <f aca="false">SUM(U219:Z219)</f>
        <v>1713.285</v>
      </c>
      <c r="AB219" s="11" t="n">
        <v>41.534</v>
      </c>
      <c r="AC219" s="11" t="n">
        <v>56.977</v>
      </c>
      <c r="AD219" s="11" t="n">
        <v>47.35</v>
      </c>
      <c r="AE219" s="11" t="n">
        <v>0</v>
      </c>
      <c r="AF219" s="11" t="n">
        <v>7.7</v>
      </c>
      <c r="AG219" s="11" t="n">
        <v>48.47</v>
      </c>
      <c r="AH219" s="11" t="n">
        <f aca="false">SUM(AB219:AG219)</f>
        <v>202.031</v>
      </c>
    </row>
    <row r="220" customFormat="false" ht="15" hidden="false" customHeight="false" outlineLevel="2" collapsed="false">
      <c r="A220" s="8" t="s">
        <v>1718</v>
      </c>
      <c r="B220" s="12" t="s">
        <v>1719</v>
      </c>
      <c r="C220" s="8" t="s">
        <v>1690</v>
      </c>
      <c r="D220" s="12" t="s">
        <v>1691</v>
      </c>
      <c r="E220" s="16"/>
      <c r="F220" s="9" t="str">
        <f aca="false">IF($E220="","",IFERROR(INDEX(担当者マスタ!$B$2:$B$101,MATCH($E220,担当者マスタ!$A$2:$A$101,0)),"※マスタ未登録"))</f>
        <v/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f aca="false">SUM(G220:L220)</f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f aca="false">SUM(N220:S220)</f>
        <v>0</v>
      </c>
      <c r="U220" s="11" t="n">
        <v>0</v>
      </c>
      <c r="V220" s="11" t="n">
        <v>30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f aca="false">SUM(U220:Z220)</f>
        <v>30</v>
      </c>
      <c r="AB220" s="11" t="n">
        <v>0</v>
      </c>
      <c r="AC220" s="11" t="n">
        <v>10</v>
      </c>
      <c r="AD220" s="11" t="n">
        <v>0</v>
      </c>
      <c r="AE220" s="11" t="n">
        <v>0</v>
      </c>
      <c r="AF220" s="11" t="n">
        <v>0</v>
      </c>
      <c r="AG220" s="11" t="n">
        <v>0</v>
      </c>
      <c r="AH220" s="11" t="n">
        <f aca="false">SUM(AB220:AG220)</f>
        <v>10</v>
      </c>
    </row>
    <row r="221" customFormat="false" ht="15" hidden="false" customHeight="false" outlineLevel="2" collapsed="false">
      <c r="A221" s="8" t="s">
        <v>1720</v>
      </c>
      <c r="B221" s="12" t="s">
        <v>1721</v>
      </c>
      <c r="C221" s="8" t="s">
        <v>1690</v>
      </c>
      <c r="D221" s="12" t="s">
        <v>1691</v>
      </c>
      <c r="E221" s="16"/>
      <c r="F221" s="9" t="str">
        <f aca="false">IF($E221="","",IFERROR(INDEX(担当者マスタ!$B$2:$B$101,MATCH($E221,担当者マスタ!$A$2:$A$101,0)),"※マスタ未登録"))</f>
        <v/>
      </c>
      <c r="G221" s="11" t="n">
        <v>0</v>
      </c>
      <c r="H221" s="11" t="n">
        <v>173.88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f aca="false">SUM(G221:L221)</f>
        <v>173.88</v>
      </c>
      <c r="N221" s="11" t="n">
        <v>0</v>
      </c>
      <c r="O221" s="11" t="n">
        <v>18.18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f aca="false">SUM(N221:S221)</f>
        <v>18.18</v>
      </c>
      <c r="U221" s="11" t="n">
        <v>0</v>
      </c>
      <c r="V221" s="11" t="n">
        <v>100.6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f aca="false">SUM(U221:Z221)</f>
        <v>100.6</v>
      </c>
      <c r="AB221" s="11" t="n">
        <v>0</v>
      </c>
      <c r="AC221" s="11" t="n">
        <v>10.64</v>
      </c>
      <c r="AD221" s="11" t="n">
        <v>0</v>
      </c>
      <c r="AE221" s="11" t="n">
        <v>0</v>
      </c>
      <c r="AF221" s="11" t="n">
        <v>0</v>
      </c>
      <c r="AG221" s="11" t="n">
        <v>0</v>
      </c>
      <c r="AH221" s="11" t="n">
        <f aca="false">SUM(AB221:AG221)</f>
        <v>10.64</v>
      </c>
    </row>
    <row r="222" customFormat="false" ht="15" hidden="false" customHeight="false" outlineLevel="2" collapsed="false">
      <c r="A222" s="8" t="s">
        <v>1722</v>
      </c>
      <c r="B222" s="12" t="s">
        <v>1723</v>
      </c>
      <c r="C222" s="8" t="s">
        <v>1690</v>
      </c>
      <c r="D222" s="12" t="s">
        <v>1691</v>
      </c>
      <c r="E222" s="16"/>
      <c r="F222" s="9" t="str">
        <f aca="false">IF($E222="","",IFERROR(INDEX(担当者マスタ!$B$2:$B$101,MATCH($E222,担当者マスタ!$A$2:$A$101,0)),"※マスタ未登録"))</f>
        <v/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f aca="false">SUM(G222:L222)</f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f aca="false">SUM(N222:S222)</f>
        <v>0</v>
      </c>
      <c r="U222" s="11" t="n">
        <v>0</v>
      </c>
      <c r="V222" s="11" t="n">
        <v>0</v>
      </c>
      <c r="W222" s="11" t="n">
        <v>0</v>
      </c>
      <c r="X222" s="11" t="n">
        <v>46.79</v>
      </c>
      <c r="Y222" s="11" t="n">
        <v>0</v>
      </c>
      <c r="Z222" s="11" t="n">
        <v>0</v>
      </c>
      <c r="AA222" s="11" t="n">
        <f aca="false">SUM(U222:Z222)</f>
        <v>46.79</v>
      </c>
      <c r="AB222" s="11" t="n">
        <v>0</v>
      </c>
      <c r="AC222" s="11" t="n">
        <v>0</v>
      </c>
      <c r="AD222" s="11" t="n">
        <v>0</v>
      </c>
      <c r="AE222" s="11" t="n">
        <v>14</v>
      </c>
      <c r="AF222" s="11" t="n">
        <v>0</v>
      </c>
      <c r="AG222" s="11" t="n">
        <v>0</v>
      </c>
      <c r="AH222" s="11" t="n">
        <f aca="false">SUM(AB222:AG222)</f>
        <v>14</v>
      </c>
    </row>
    <row r="223" customFormat="false" ht="15" hidden="false" customHeight="false" outlineLevel="2" collapsed="false">
      <c r="A223" s="8" t="s">
        <v>1724</v>
      </c>
      <c r="B223" s="9" t="s">
        <v>1725</v>
      </c>
      <c r="C223" s="8" t="s">
        <v>1690</v>
      </c>
      <c r="D223" s="12" t="s">
        <v>1691</v>
      </c>
      <c r="E223" s="16"/>
      <c r="F223" s="9" t="str">
        <f aca="false">IF($E223="","",IFERROR(INDEX(担当者マスタ!$B$2:$B$101,MATCH($E223,担当者マスタ!$A$2:$A$101,0)),"※マスタ未登録"))</f>
        <v/>
      </c>
      <c r="G223" s="11" t="n">
        <v>77.912</v>
      </c>
      <c r="H223" s="11" t="n">
        <v>51.512</v>
      </c>
      <c r="I223" s="11" t="n">
        <v>93.312</v>
      </c>
      <c r="J223" s="11" t="n">
        <v>41</v>
      </c>
      <c r="K223" s="11" t="n">
        <v>29.85</v>
      </c>
      <c r="L223" s="11" t="n">
        <v>92.7</v>
      </c>
      <c r="M223" s="11" t="n">
        <f aca="false">SUM(G223:L223)</f>
        <v>386.286</v>
      </c>
      <c r="N223" s="11" t="n">
        <v>15.518</v>
      </c>
      <c r="O223" s="11" t="n">
        <v>8.568</v>
      </c>
      <c r="P223" s="11" t="n">
        <v>21.868</v>
      </c>
      <c r="Q223" s="11" t="n">
        <v>6.97</v>
      </c>
      <c r="R223" s="11" t="n">
        <v>5.01</v>
      </c>
      <c r="S223" s="11" t="n">
        <v>18.9</v>
      </c>
      <c r="T223" s="11" t="n">
        <f aca="false">SUM(N223:S223)</f>
        <v>76.834</v>
      </c>
      <c r="U223" s="11" t="n">
        <v>74.15</v>
      </c>
      <c r="V223" s="11" t="n">
        <v>84.95</v>
      </c>
      <c r="W223" s="11" t="n">
        <v>80.662</v>
      </c>
      <c r="X223" s="11" t="n">
        <v>47.962</v>
      </c>
      <c r="Y223" s="11" t="n">
        <v>53.45</v>
      </c>
      <c r="Z223" s="11" t="n">
        <v>97.112</v>
      </c>
      <c r="AA223" s="11" t="n">
        <f aca="false">SUM(U223:Z223)</f>
        <v>438.286</v>
      </c>
      <c r="AB223" s="11" t="n">
        <v>12.05</v>
      </c>
      <c r="AC223" s="11" t="n">
        <v>18.85</v>
      </c>
      <c r="AD223" s="11" t="n">
        <v>15.176</v>
      </c>
      <c r="AE223" s="11" t="n">
        <v>8.676</v>
      </c>
      <c r="AF223" s="11" t="n">
        <v>9.3</v>
      </c>
      <c r="AG223" s="11" t="n">
        <v>22.066</v>
      </c>
      <c r="AH223" s="11" t="n">
        <f aca="false">SUM(AB223:AG223)</f>
        <v>86.118</v>
      </c>
    </row>
    <row r="224" customFormat="false" ht="15" hidden="false" customHeight="false" outlineLevel="2" collapsed="false">
      <c r="A224" s="8" t="s">
        <v>1726</v>
      </c>
      <c r="B224" s="12" t="s">
        <v>1727</v>
      </c>
      <c r="C224" s="8" t="s">
        <v>1690</v>
      </c>
      <c r="D224" s="12" t="s">
        <v>1691</v>
      </c>
      <c r="E224" s="16"/>
      <c r="F224" s="9" t="str">
        <f aca="false">IF($E224="","",IFERROR(INDEX(担当者マスタ!$B$2:$B$101,MATCH($E224,担当者マスタ!$A$2:$A$101,0)),"※マスタ未登録"))</f>
        <v/>
      </c>
      <c r="G224" s="11" t="n">
        <v>295.922</v>
      </c>
      <c r="H224" s="11" t="n">
        <v>273.599</v>
      </c>
      <c r="I224" s="11" t="n">
        <v>417.523</v>
      </c>
      <c r="J224" s="11" t="n">
        <v>139.407</v>
      </c>
      <c r="K224" s="11" t="n">
        <v>150.702</v>
      </c>
      <c r="L224" s="11" t="n">
        <v>296.202</v>
      </c>
      <c r="M224" s="11" t="n">
        <f aca="false">SUM(G224:L224)</f>
        <v>1573.355</v>
      </c>
      <c r="N224" s="11" t="n">
        <v>76.384</v>
      </c>
      <c r="O224" s="11" t="n">
        <v>78.064</v>
      </c>
      <c r="P224" s="11" t="n">
        <v>106.507</v>
      </c>
      <c r="Q224" s="11" t="n">
        <v>45.035</v>
      </c>
      <c r="R224" s="11" t="n">
        <v>47.362</v>
      </c>
      <c r="S224" s="11" t="n">
        <v>80.438</v>
      </c>
      <c r="T224" s="11" t="n">
        <f aca="false">SUM(N224:S224)</f>
        <v>433.79</v>
      </c>
      <c r="U224" s="11" t="n">
        <v>192.807</v>
      </c>
      <c r="V224" s="11" t="n">
        <v>210.265</v>
      </c>
      <c r="W224" s="11" t="n">
        <v>539.721</v>
      </c>
      <c r="X224" s="11" t="n">
        <v>204.225</v>
      </c>
      <c r="Y224" s="11" t="n">
        <v>174.228</v>
      </c>
      <c r="Z224" s="11" t="n">
        <v>242.037</v>
      </c>
      <c r="AA224" s="11" t="n">
        <f aca="false">SUM(U224:Z224)</f>
        <v>1563.283</v>
      </c>
      <c r="AB224" s="11" t="n">
        <v>51.457</v>
      </c>
      <c r="AC224" s="11" t="n">
        <v>64.826</v>
      </c>
      <c r="AD224" s="11" t="n">
        <v>149.792</v>
      </c>
      <c r="AE224" s="11" t="n">
        <v>61.401</v>
      </c>
      <c r="AF224" s="11" t="n">
        <v>56.163</v>
      </c>
      <c r="AG224" s="11" t="n">
        <v>75.804</v>
      </c>
      <c r="AH224" s="11" t="n">
        <f aca="false">SUM(AB224:AG224)</f>
        <v>459.443</v>
      </c>
    </row>
    <row r="225" customFormat="false" ht="15" hidden="false" customHeight="false" outlineLevel="2" collapsed="false">
      <c r="A225" s="8" t="s">
        <v>1728</v>
      </c>
      <c r="B225" s="12" t="s">
        <v>1729</v>
      </c>
      <c r="C225" s="8" t="s">
        <v>1690</v>
      </c>
      <c r="D225" s="12" t="s">
        <v>1691</v>
      </c>
      <c r="E225" s="16"/>
      <c r="F225" s="9" t="str">
        <f aca="false">IF($E225="","",IFERROR(INDEX(担当者マスタ!$B$2:$B$101,MATCH($E225,担当者マスタ!$A$2:$A$101,0)),"※マスタ未登録"))</f>
        <v/>
      </c>
      <c r="G225" s="11" t="n">
        <v>623.766</v>
      </c>
      <c r="H225" s="11" t="n">
        <v>1135.836</v>
      </c>
      <c r="I225" s="11" t="n">
        <v>1853.975</v>
      </c>
      <c r="J225" s="11" t="n">
        <v>756.26</v>
      </c>
      <c r="K225" s="11" t="n">
        <v>1409.503</v>
      </c>
      <c r="L225" s="11" t="n">
        <v>1379.756</v>
      </c>
      <c r="M225" s="11" t="n">
        <f aca="false">SUM(G225:L225)</f>
        <v>7159.096</v>
      </c>
      <c r="N225" s="11" t="n">
        <v>96.393</v>
      </c>
      <c r="O225" s="11" t="n">
        <v>182.561</v>
      </c>
      <c r="P225" s="11" t="n">
        <v>279.334</v>
      </c>
      <c r="Q225" s="11" t="n">
        <v>98.808</v>
      </c>
      <c r="R225" s="11" t="n">
        <v>253.778</v>
      </c>
      <c r="S225" s="11" t="n">
        <v>329.556</v>
      </c>
      <c r="T225" s="11" t="n">
        <f aca="false">SUM(N225:S225)</f>
        <v>1240.43</v>
      </c>
      <c r="U225" s="11" t="n">
        <v>1413.552</v>
      </c>
      <c r="V225" s="11" t="n">
        <v>1335</v>
      </c>
      <c r="W225" s="11" t="n">
        <v>1932.139</v>
      </c>
      <c r="X225" s="11" t="n">
        <v>1022.14</v>
      </c>
      <c r="Y225" s="11" t="n">
        <v>1054.218</v>
      </c>
      <c r="Z225" s="11" t="n">
        <v>1478.172</v>
      </c>
      <c r="AA225" s="11" t="n">
        <f aca="false">SUM(U225:Z225)</f>
        <v>8235.221</v>
      </c>
      <c r="AB225" s="11" t="n">
        <v>216.594</v>
      </c>
      <c r="AC225" s="11" t="n">
        <v>195.468</v>
      </c>
      <c r="AD225" s="11" t="n">
        <v>333.481</v>
      </c>
      <c r="AE225" s="11" t="n">
        <v>171.997</v>
      </c>
      <c r="AF225" s="11" t="n">
        <v>143.772</v>
      </c>
      <c r="AG225" s="11" t="n">
        <v>206.157</v>
      </c>
      <c r="AH225" s="11" t="n">
        <f aca="false">SUM(AB225:AG225)</f>
        <v>1267.469</v>
      </c>
    </row>
    <row r="226" customFormat="false" ht="15" hidden="false" customHeight="false" outlineLevel="2" collapsed="false">
      <c r="A226" s="8" t="s">
        <v>1730</v>
      </c>
      <c r="B226" s="12" t="s">
        <v>1731</v>
      </c>
      <c r="C226" s="8" t="s">
        <v>1690</v>
      </c>
      <c r="D226" s="12" t="s">
        <v>1691</v>
      </c>
      <c r="E226" s="16"/>
      <c r="F226" s="9" t="str">
        <f aca="false">IF($E226="","",IFERROR(INDEX(担当者マスタ!$B$2:$B$101,MATCH($E226,担当者マスタ!$A$2:$A$101,0)),"※マスタ未登録"))</f>
        <v/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f aca="false">SUM(G226:L226)</f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f aca="false">SUM(N226:S226)</f>
        <v>0</v>
      </c>
      <c r="U226" s="11" t="n">
        <v>0</v>
      </c>
      <c r="V226" s="11" t="n">
        <v>2600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f aca="false">SUM(U226:Z226)</f>
        <v>2600</v>
      </c>
      <c r="AB226" s="11" t="n">
        <v>0</v>
      </c>
      <c r="AC226" s="11" t="n">
        <v>582.56</v>
      </c>
      <c r="AD226" s="11" t="n">
        <v>0</v>
      </c>
      <c r="AE226" s="11" t="n">
        <v>0</v>
      </c>
      <c r="AF226" s="11" t="n">
        <v>0</v>
      </c>
      <c r="AG226" s="11" t="n">
        <v>0</v>
      </c>
      <c r="AH226" s="11" t="n">
        <f aca="false">SUM(AB226:AG226)</f>
        <v>582.56</v>
      </c>
    </row>
    <row r="227" customFormat="false" ht="15" hidden="false" customHeight="false" outlineLevel="2" collapsed="false">
      <c r="A227" s="8" t="s">
        <v>1732</v>
      </c>
      <c r="B227" s="12" t="s">
        <v>1733</v>
      </c>
      <c r="C227" s="8" t="s">
        <v>1690</v>
      </c>
      <c r="D227" s="12" t="s">
        <v>1691</v>
      </c>
      <c r="E227" s="16"/>
      <c r="F227" s="9" t="str">
        <f aca="false">IF($E227="","",IFERROR(INDEX(担当者マスタ!$B$2:$B$101,MATCH($E227,担当者マスタ!$A$2:$A$101,0)),"※マスタ未登録"))</f>
        <v/>
      </c>
      <c r="G227" s="11" t="n">
        <v>62.08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f aca="false">SUM(G227:L227)</f>
        <v>62.08</v>
      </c>
      <c r="N227" s="11" t="n">
        <v>9.632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f aca="false">SUM(N227:S227)</f>
        <v>9.632</v>
      </c>
      <c r="U227" s="11" t="n">
        <v>0</v>
      </c>
      <c r="V227" s="11" t="n">
        <v>0</v>
      </c>
      <c r="W227" s="11" t="n">
        <v>80.81</v>
      </c>
      <c r="X227" s="11" t="n">
        <v>14.55</v>
      </c>
      <c r="Y227" s="11" t="n">
        <v>0</v>
      </c>
      <c r="Z227" s="11" t="n">
        <v>0</v>
      </c>
      <c r="AA227" s="11" t="n">
        <f aca="false">SUM(U227:Z227)</f>
        <v>95.36</v>
      </c>
      <c r="AB227" s="11" t="n">
        <v>0</v>
      </c>
      <c r="AC227" s="11" t="n">
        <v>0</v>
      </c>
      <c r="AD227" s="11" t="n">
        <v>18.849</v>
      </c>
      <c r="AE227" s="11" t="n">
        <v>6.819</v>
      </c>
      <c r="AF227" s="11" t="n">
        <v>0</v>
      </c>
      <c r="AG227" s="11" t="n">
        <v>0</v>
      </c>
      <c r="AH227" s="11" t="n">
        <f aca="false">SUM(AB227:AG227)</f>
        <v>25.668</v>
      </c>
    </row>
    <row r="228" customFormat="false" ht="15" hidden="false" customHeight="false" outlineLevel="2" collapsed="false">
      <c r="A228" s="8" t="s">
        <v>1734</v>
      </c>
      <c r="B228" s="12" t="s">
        <v>1735</v>
      </c>
      <c r="C228" s="8" t="s">
        <v>1690</v>
      </c>
      <c r="D228" s="12" t="s">
        <v>1691</v>
      </c>
      <c r="E228" s="16"/>
      <c r="F228" s="9" t="str">
        <f aca="false">IF($E228="","",IFERROR(INDEX(担当者マスタ!$B$2:$B$101,MATCH($E228,担当者マスタ!$A$2:$A$101,0)),"※マスタ未登録"))</f>
        <v/>
      </c>
      <c r="G228" s="11" t="n">
        <v>11.284</v>
      </c>
      <c r="H228" s="11" t="n">
        <v>123</v>
      </c>
      <c r="I228" s="11" t="n">
        <v>19</v>
      </c>
      <c r="J228" s="11" t="n">
        <v>15.8</v>
      </c>
      <c r="K228" s="11" t="n">
        <v>19</v>
      </c>
      <c r="L228" s="11" t="n">
        <v>6.3</v>
      </c>
      <c r="M228" s="11" t="n">
        <f aca="false">SUM(G228:L228)</f>
        <v>194.384</v>
      </c>
      <c r="N228" s="11" t="n">
        <v>1.844</v>
      </c>
      <c r="O228" s="11" t="n">
        <v>20.04</v>
      </c>
      <c r="P228" s="11" t="n">
        <v>3</v>
      </c>
      <c r="Q228" s="11" t="n">
        <v>2.7</v>
      </c>
      <c r="R228" s="11" t="n">
        <v>3</v>
      </c>
      <c r="S228" s="11" t="n">
        <v>1.1</v>
      </c>
      <c r="T228" s="11" t="n">
        <f aca="false">SUM(N228:S228)</f>
        <v>31.684</v>
      </c>
      <c r="U228" s="11" t="n">
        <v>30.6</v>
      </c>
      <c r="V228" s="11" t="n">
        <v>10.2</v>
      </c>
      <c r="W228" s="11" t="n">
        <v>39.9</v>
      </c>
      <c r="X228" s="11" t="n">
        <v>0</v>
      </c>
      <c r="Y228" s="11" t="n">
        <v>44.6</v>
      </c>
      <c r="Z228" s="11" t="n">
        <v>0</v>
      </c>
      <c r="AA228" s="11" t="n">
        <f aca="false">SUM(U228:Z228)</f>
        <v>125.3</v>
      </c>
      <c r="AB228" s="11" t="n">
        <v>5.1</v>
      </c>
      <c r="AC228" s="11" t="n">
        <v>1.7</v>
      </c>
      <c r="AD228" s="11" t="n">
        <v>6.75</v>
      </c>
      <c r="AE228" s="11" t="n">
        <v>0</v>
      </c>
      <c r="AF228" s="11" t="n">
        <v>7.6</v>
      </c>
      <c r="AG228" s="11" t="n">
        <v>0</v>
      </c>
      <c r="AH228" s="11" t="n">
        <f aca="false">SUM(AB228:AG228)</f>
        <v>21.15</v>
      </c>
    </row>
    <row r="229" customFormat="false" ht="15" hidden="false" customHeight="false" outlineLevel="2" collapsed="false">
      <c r="A229" s="8" t="s">
        <v>1736</v>
      </c>
      <c r="B229" s="12" t="s">
        <v>1737</v>
      </c>
      <c r="C229" s="8" t="s">
        <v>1690</v>
      </c>
      <c r="D229" s="12" t="s">
        <v>1691</v>
      </c>
      <c r="E229" s="16"/>
      <c r="F229" s="9" t="str">
        <f aca="false">IF($E229="","",IFERROR(INDEX(担当者マスタ!$B$2:$B$101,MATCH($E229,担当者マスタ!$A$2:$A$101,0)),"※マスタ未登録"))</f>
        <v/>
      </c>
      <c r="G229" s="11" t="n">
        <v>589.06</v>
      </c>
      <c r="H229" s="11" t="n">
        <v>567.136</v>
      </c>
      <c r="I229" s="11" t="n">
        <v>689.47</v>
      </c>
      <c r="J229" s="11" t="n">
        <v>197.935</v>
      </c>
      <c r="K229" s="11" t="n">
        <v>349</v>
      </c>
      <c r="L229" s="11" t="n">
        <v>418.2</v>
      </c>
      <c r="M229" s="11" t="n">
        <f aca="false">SUM(G229:L229)</f>
        <v>2810.801</v>
      </c>
      <c r="N229" s="11" t="n">
        <v>104.421</v>
      </c>
      <c r="O229" s="11" t="n">
        <v>98.686</v>
      </c>
      <c r="P229" s="11" t="n">
        <v>121.86</v>
      </c>
      <c r="Q229" s="11" t="n">
        <v>34.279</v>
      </c>
      <c r="R229" s="11" t="n">
        <v>53.254</v>
      </c>
      <c r="S229" s="11" t="n">
        <v>66.513</v>
      </c>
      <c r="T229" s="11" t="n">
        <f aca="false">SUM(N229:S229)</f>
        <v>479.013</v>
      </c>
      <c r="U229" s="11" t="n">
        <v>578.03</v>
      </c>
      <c r="V229" s="11" t="n">
        <v>548.496</v>
      </c>
      <c r="W229" s="11" t="n">
        <v>654.41</v>
      </c>
      <c r="X229" s="11" t="n">
        <v>233.29</v>
      </c>
      <c r="Y229" s="11" t="n">
        <v>399.03</v>
      </c>
      <c r="Z229" s="11" t="n">
        <v>409.68</v>
      </c>
      <c r="AA229" s="11" t="n">
        <f aca="false">SUM(U229:Z229)</f>
        <v>2822.936</v>
      </c>
      <c r="AB229" s="11" t="n">
        <v>125.993</v>
      </c>
      <c r="AC229" s="11" t="n">
        <v>128.095</v>
      </c>
      <c r="AD229" s="11" t="n">
        <v>144.981</v>
      </c>
      <c r="AE229" s="11" t="n">
        <v>51.46</v>
      </c>
      <c r="AF229" s="11" t="n">
        <v>87.217</v>
      </c>
      <c r="AG229" s="11" t="n">
        <v>89.444</v>
      </c>
      <c r="AH229" s="11" t="n">
        <f aca="false">SUM(AB229:AG229)</f>
        <v>627.19</v>
      </c>
    </row>
    <row r="230" customFormat="false" ht="15" hidden="false" customHeight="false" outlineLevel="2" collapsed="false">
      <c r="A230" s="8" t="s">
        <v>1738</v>
      </c>
      <c r="B230" s="12" t="s">
        <v>1739</v>
      </c>
      <c r="C230" s="8" t="s">
        <v>1690</v>
      </c>
      <c r="D230" s="12" t="s">
        <v>1691</v>
      </c>
      <c r="E230" s="16"/>
      <c r="F230" s="9" t="str">
        <f aca="false">IF($E230="","",IFERROR(INDEX(担当者マスタ!$B$2:$B$101,MATCH($E230,担当者マスタ!$A$2:$A$101,0)),"※マスタ未登録"))</f>
        <v/>
      </c>
      <c r="G230" s="11" t="n">
        <v>84.221</v>
      </c>
      <c r="H230" s="11" t="n">
        <v>70.891</v>
      </c>
      <c r="I230" s="11" t="n">
        <v>260.845</v>
      </c>
      <c r="J230" s="11" t="n">
        <v>68.077</v>
      </c>
      <c r="K230" s="11" t="n">
        <v>83.526</v>
      </c>
      <c r="L230" s="11" t="n">
        <v>100.568</v>
      </c>
      <c r="M230" s="11" t="n">
        <f aca="false">SUM(G230:L230)</f>
        <v>668.128</v>
      </c>
      <c r="N230" s="11" t="n">
        <v>26.132</v>
      </c>
      <c r="O230" s="11" t="n">
        <v>21.515</v>
      </c>
      <c r="P230" s="11" t="n">
        <v>69.302</v>
      </c>
      <c r="Q230" s="11" t="n">
        <v>20.566</v>
      </c>
      <c r="R230" s="11" t="n">
        <v>23.972</v>
      </c>
      <c r="S230" s="11" t="n">
        <v>26.192</v>
      </c>
      <c r="T230" s="11" t="n">
        <f aca="false">SUM(N230:S230)</f>
        <v>187.679</v>
      </c>
      <c r="U230" s="11" t="n">
        <v>99.148</v>
      </c>
      <c r="V230" s="11" t="n">
        <v>107.185</v>
      </c>
      <c r="W230" s="11" t="n">
        <v>273.369</v>
      </c>
      <c r="X230" s="11" t="n">
        <v>59.149</v>
      </c>
      <c r="Y230" s="11" t="n">
        <v>89.309</v>
      </c>
      <c r="Z230" s="11" t="n">
        <v>81.972</v>
      </c>
      <c r="AA230" s="11" t="n">
        <f aca="false">SUM(U230:Z230)</f>
        <v>710.132</v>
      </c>
      <c r="AB230" s="11" t="n">
        <v>29.494</v>
      </c>
      <c r="AC230" s="11" t="n">
        <v>29.56</v>
      </c>
      <c r="AD230" s="11" t="n">
        <v>80.035</v>
      </c>
      <c r="AE230" s="11" t="n">
        <v>16.517</v>
      </c>
      <c r="AF230" s="11" t="n">
        <v>29.957</v>
      </c>
      <c r="AG230" s="11" t="n">
        <v>24.946</v>
      </c>
      <c r="AH230" s="11" t="n">
        <f aca="false">SUM(AB230:AG230)</f>
        <v>210.509</v>
      </c>
    </row>
    <row r="231" customFormat="false" ht="15" hidden="false" customHeight="false" outlineLevel="2" collapsed="false">
      <c r="A231" s="8" t="s">
        <v>1740</v>
      </c>
      <c r="B231" s="12" t="s">
        <v>1741</v>
      </c>
      <c r="C231" s="8" t="s">
        <v>1690</v>
      </c>
      <c r="D231" s="12" t="s">
        <v>1691</v>
      </c>
      <c r="E231" s="16"/>
      <c r="F231" s="9" t="str">
        <f aca="false">IF($E231="","",IFERROR(INDEX(担当者マスタ!$B$2:$B$101,MATCH($E231,担当者マスタ!$A$2:$A$101,0)),"※マスタ未登録"))</f>
        <v/>
      </c>
      <c r="G231" s="11" t="n">
        <v>0</v>
      </c>
      <c r="H231" s="11" t="n">
        <v>0.9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f aca="false">SUM(G231:L231)</f>
        <v>0.9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f aca="false">SUM(N231:S231)</f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f aca="false">SUM(U231:Z231)</f>
        <v>0</v>
      </c>
      <c r="AB231" s="11" t="n">
        <v>0</v>
      </c>
      <c r="AC231" s="11" t="n">
        <v>0</v>
      </c>
      <c r="AD231" s="11" t="n">
        <v>0</v>
      </c>
      <c r="AE231" s="11" t="n">
        <v>0</v>
      </c>
      <c r="AF231" s="11" t="n">
        <v>0</v>
      </c>
      <c r="AG231" s="11" t="n">
        <v>0</v>
      </c>
      <c r="AH231" s="11" t="n">
        <f aca="false">SUM(AB231:AG231)</f>
        <v>0</v>
      </c>
    </row>
    <row r="232" customFormat="false" ht="15" hidden="false" customHeight="false" outlineLevel="2" collapsed="false">
      <c r="A232" s="8" t="s">
        <v>1742</v>
      </c>
      <c r="B232" s="12" t="s">
        <v>1743</v>
      </c>
      <c r="C232" s="8" t="s">
        <v>1690</v>
      </c>
      <c r="D232" s="12" t="s">
        <v>1691</v>
      </c>
      <c r="E232" s="16"/>
      <c r="F232" s="9" t="str">
        <f aca="false">IF($E232="","",IFERROR(INDEX(担当者マスタ!$B$2:$B$101,MATCH($E232,担当者マスタ!$A$2:$A$101,0)),"※マスタ未登録"))</f>
        <v/>
      </c>
      <c r="G232" s="11" t="n">
        <v>12.6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f aca="false">SUM(G232:L232)</f>
        <v>12.6</v>
      </c>
      <c r="N232" s="11" t="n">
        <v>3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f aca="false">SUM(N232:S232)</f>
        <v>3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f aca="false">SUM(U232:Z232)</f>
        <v>0</v>
      </c>
      <c r="AB232" s="11" t="n">
        <v>0</v>
      </c>
      <c r="AC232" s="11" t="n">
        <v>0</v>
      </c>
      <c r="AD232" s="11" t="n">
        <v>0</v>
      </c>
      <c r="AE232" s="11" t="n">
        <v>0</v>
      </c>
      <c r="AF232" s="11" t="n">
        <v>0</v>
      </c>
      <c r="AG232" s="11" t="n">
        <v>0</v>
      </c>
      <c r="AH232" s="11" t="n">
        <f aca="false">SUM(AB232:AG232)</f>
        <v>0</v>
      </c>
    </row>
    <row r="233" customFormat="false" ht="15" hidden="false" customHeight="false" outlineLevel="2" collapsed="false">
      <c r="A233" s="8" t="s">
        <v>1744</v>
      </c>
      <c r="B233" s="12" t="s">
        <v>1745</v>
      </c>
      <c r="C233" s="8" t="s">
        <v>1690</v>
      </c>
      <c r="D233" s="12" t="s">
        <v>1691</v>
      </c>
      <c r="E233" s="16"/>
      <c r="F233" s="9" t="str">
        <f aca="false">IF($E233="","",IFERROR(INDEX(担当者マスタ!$B$2:$B$101,MATCH($E233,担当者マスタ!$A$2:$A$101,0)),"※マスタ未登録"))</f>
        <v/>
      </c>
      <c r="G233" s="11" t="n">
        <v>42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f aca="false">SUM(G233:L233)</f>
        <v>42</v>
      </c>
      <c r="N233" s="11" t="n">
        <v>7.75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f aca="false">SUM(N233:S233)</f>
        <v>7.75</v>
      </c>
      <c r="U233" s="11" t="n">
        <v>9.5</v>
      </c>
      <c r="V233" s="11" t="n">
        <v>0</v>
      </c>
      <c r="W233" s="11" t="n">
        <v>0.5</v>
      </c>
      <c r="X233" s="11" t="n">
        <v>0.5</v>
      </c>
      <c r="Y233" s="11" t="n">
        <v>0</v>
      </c>
      <c r="Z233" s="11" t="n">
        <v>0</v>
      </c>
      <c r="AA233" s="11" t="n">
        <f aca="false">SUM(U233:Z233)</f>
        <v>10.5</v>
      </c>
      <c r="AB233" s="11" t="n">
        <v>1.65</v>
      </c>
      <c r="AC233" s="11" t="n">
        <v>0</v>
      </c>
      <c r="AD233" s="11" t="n">
        <v>0.205</v>
      </c>
      <c r="AE233" s="11" t="n">
        <v>0.175</v>
      </c>
      <c r="AF233" s="11" t="n">
        <v>0</v>
      </c>
      <c r="AG233" s="11" t="n">
        <v>0</v>
      </c>
      <c r="AH233" s="11" t="n">
        <f aca="false">SUM(AB233:AG233)</f>
        <v>2.03</v>
      </c>
    </row>
    <row r="234" customFormat="false" ht="15" hidden="false" customHeight="false" outlineLevel="2" collapsed="false">
      <c r="A234" s="8" t="s">
        <v>1746</v>
      </c>
      <c r="B234" s="12" t="s">
        <v>1747</v>
      </c>
      <c r="C234" s="8" t="s">
        <v>1690</v>
      </c>
      <c r="D234" s="12" t="s">
        <v>1691</v>
      </c>
      <c r="E234" s="16"/>
      <c r="F234" s="9" t="str">
        <f aca="false">IF($E234="","",IFERROR(INDEX(担当者マスタ!$B$2:$B$101,MATCH($E234,担当者マスタ!$A$2:$A$101,0)),"※マスタ未登録"))</f>
        <v/>
      </c>
      <c r="G234" s="11" t="n">
        <v>39</v>
      </c>
      <c r="H234" s="11" t="n">
        <v>0</v>
      </c>
      <c r="I234" s="11" t="n">
        <v>0</v>
      </c>
      <c r="J234" s="11" t="n">
        <v>0</v>
      </c>
      <c r="K234" s="11" t="n">
        <v>649.98</v>
      </c>
      <c r="L234" s="11" t="n">
        <v>0</v>
      </c>
      <c r="M234" s="11" t="n">
        <f aca="false">SUM(G234:L234)</f>
        <v>688.98</v>
      </c>
      <c r="N234" s="11" t="n">
        <v>4.23</v>
      </c>
      <c r="O234" s="11" t="n">
        <v>0</v>
      </c>
      <c r="P234" s="11" t="n">
        <v>0</v>
      </c>
      <c r="Q234" s="11" t="n">
        <v>0</v>
      </c>
      <c r="R234" s="11" t="n">
        <v>188.4</v>
      </c>
      <c r="S234" s="11" t="n">
        <v>0</v>
      </c>
      <c r="T234" s="11" t="n">
        <f aca="false">SUM(N234:S234)</f>
        <v>192.63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f aca="false">SUM(U234:Z234)</f>
        <v>0</v>
      </c>
      <c r="AB234" s="11" t="n">
        <v>0</v>
      </c>
      <c r="AC234" s="11" t="n">
        <v>0</v>
      </c>
      <c r="AD234" s="11" t="n">
        <v>0</v>
      </c>
      <c r="AE234" s="11" t="n">
        <v>0</v>
      </c>
      <c r="AF234" s="11" t="n">
        <v>0</v>
      </c>
      <c r="AG234" s="11" t="n">
        <v>0</v>
      </c>
      <c r="AH234" s="11" t="n">
        <f aca="false">SUM(AB234:AG234)</f>
        <v>0</v>
      </c>
    </row>
    <row r="235" customFormat="false" ht="15" hidden="false" customHeight="false" outlineLevel="1" collapsed="false">
      <c r="A235" s="19"/>
      <c r="B235" s="19"/>
      <c r="C235" s="17" t="s">
        <v>1952</v>
      </c>
      <c r="D235" s="19" t="s">
        <v>1691</v>
      </c>
      <c r="E235" s="19"/>
      <c r="F235" s="19"/>
      <c r="G235" s="18" t="n">
        <f aca="false">SUBTOTAL(9,G206:G234)</f>
        <v>9726.812</v>
      </c>
      <c r="H235" s="18" t="n">
        <f aca="false">SUBTOTAL(9,H206:H234)</f>
        <v>11304.049</v>
      </c>
      <c r="I235" s="18" t="n">
        <f aca="false">SUBTOTAL(9,I206:I234)</f>
        <v>13402.157</v>
      </c>
      <c r="J235" s="18" t="n">
        <f aca="false">SUBTOTAL(9,J206:J234)</f>
        <v>6316.522</v>
      </c>
      <c r="K235" s="18" t="n">
        <f aca="false">SUBTOTAL(9,K206:K234)</f>
        <v>17731.106</v>
      </c>
      <c r="L235" s="18" t="n">
        <f aca="false">SUBTOTAL(9,L206:L234)</f>
        <v>10896.336</v>
      </c>
      <c r="M235" s="18" t="n">
        <f aca="false">SUBTOTAL(9,M206:M234)</f>
        <v>69376.982</v>
      </c>
      <c r="N235" s="18" t="n">
        <f aca="false">SUBTOTAL(9,N206:N234)</f>
        <v>1669.92</v>
      </c>
      <c r="O235" s="18" t="n">
        <f aca="false">SUBTOTAL(9,O206:O234)</f>
        <v>1983.651</v>
      </c>
      <c r="P235" s="18" t="n">
        <f aca="false">SUBTOTAL(9,P206:P234)</f>
        <v>2520.433</v>
      </c>
      <c r="Q235" s="18" t="n">
        <f aca="false">SUBTOTAL(9,Q206:Q234)</f>
        <v>1023.289</v>
      </c>
      <c r="R235" s="18" t="n">
        <f aca="false">SUBTOTAL(9,R206:R234)</f>
        <v>3304.125</v>
      </c>
      <c r="S235" s="18" t="n">
        <f aca="false">SUBTOTAL(9,S206:S234)</f>
        <v>2309.772</v>
      </c>
      <c r="T235" s="18" t="n">
        <f aca="false">SUBTOTAL(9,T206:T234)</f>
        <v>12811.19</v>
      </c>
      <c r="U235" s="18" t="n">
        <f aca="false">SUBTOTAL(9,U206:U234)</f>
        <v>17099.767</v>
      </c>
      <c r="V235" s="18" t="n">
        <f aca="false">SUBTOTAL(9,V206:V234)</f>
        <v>13470.031</v>
      </c>
      <c r="W235" s="18" t="n">
        <f aca="false">SUBTOTAL(9,W206:W234)</f>
        <v>10128.776</v>
      </c>
      <c r="X235" s="18" t="n">
        <f aca="false">SUBTOTAL(9,X206:X234)</f>
        <v>8195.309</v>
      </c>
      <c r="Y235" s="18" t="n">
        <f aca="false">SUBTOTAL(9,Y206:Y234)</f>
        <v>7088.528</v>
      </c>
      <c r="Z235" s="18" t="n">
        <f aca="false">SUBTOTAL(9,Z206:Z234)</f>
        <v>17470.816</v>
      </c>
      <c r="AA235" s="18" t="n">
        <f aca="false">SUBTOTAL(9,AA206:AA234)</f>
        <v>73453.227</v>
      </c>
      <c r="AB235" s="18" t="n">
        <f aca="false">SUBTOTAL(9,AB206:AB234)</f>
        <v>3974.547</v>
      </c>
      <c r="AC235" s="18" t="n">
        <f aca="false">SUBTOTAL(9,AC206:AC234)</f>
        <v>2633.732</v>
      </c>
      <c r="AD235" s="18" t="n">
        <f aca="false">SUBTOTAL(9,AD206:AD234)</f>
        <v>1869.843</v>
      </c>
      <c r="AE235" s="18" t="n">
        <f aca="false">SUBTOTAL(9,AE206:AE234)</f>
        <v>1385.75</v>
      </c>
      <c r="AF235" s="18" t="n">
        <f aca="false">SUBTOTAL(9,AF206:AF234)</f>
        <v>1295.366</v>
      </c>
      <c r="AG235" s="18" t="n">
        <f aca="false">SUBTOTAL(9,AG206:AG234)</f>
        <v>3226.322</v>
      </c>
      <c r="AH235" s="18" t="n">
        <f aca="false">SUBTOTAL(9,AH206:AH234)</f>
        <v>14385.56</v>
      </c>
    </row>
    <row r="236" customFormat="false" ht="15" hidden="false" customHeight="false" outlineLevel="2" collapsed="false">
      <c r="A236" s="8" t="s">
        <v>1748</v>
      </c>
      <c r="B236" s="9" t="s">
        <v>1749</v>
      </c>
      <c r="C236" s="8" t="s">
        <v>1750</v>
      </c>
      <c r="D236" s="12" t="s">
        <v>1751</v>
      </c>
      <c r="E236" s="16"/>
      <c r="F236" s="9" t="str">
        <f aca="false">IF($E236="","",IFERROR(INDEX(担当者マスタ!$B$2:$B$101,MATCH($E236,担当者マスタ!$A$2:$A$101,0)),"※マスタ未登録"))</f>
        <v/>
      </c>
      <c r="G236" s="11" t="n">
        <v>0</v>
      </c>
      <c r="H236" s="11" t="n">
        <v>28.8</v>
      </c>
      <c r="I236" s="11" t="n">
        <v>46.125</v>
      </c>
      <c r="J236" s="11" t="n">
        <v>0</v>
      </c>
      <c r="K236" s="11" t="n">
        <v>0</v>
      </c>
      <c r="L236" s="11" t="n">
        <v>0</v>
      </c>
      <c r="M236" s="11" t="n">
        <f aca="false">SUM(G236:L236)</f>
        <v>74.925</v>
      </c>
      <c r="N236" s="11" t="n">
        <v>0</v>
      </c>
      <c r="O236" s="11" t="n">
        <v>4.6</v>
      </c>
      <c r="P236" s="11" t="n">
        <v>11.625</v>
      </c>
      <c r="Q236" s="11" t="n">
        <v>0</v>
      </c>
      <c r="R236" s="11" t="n">
        <v>0</v>
      </c>
      <c r="S236" s="11" t="n">
        <v>0</v>
      </c>
      <c r="T236" s="11" t="n">
        <f aca="false">SUM(N236:S236)</f>
        <v>16.225</v>
      </c>
      <c r="U236" s="11" t="n">
        <v>0</v>
      </c>
      <c r="V236" s="11" t="n">
        <v>0</v>
      </c>
      <c r="W236" s="11" t="n">
        <v>0</v>
      </c>
      <c r="X236" s="11" t="n">
        <v>153</v>
      </c>
      <c r="Y236" s="11" t="n">
        <v>0</v>
      </c>
      <c r="Z236" s="11" t="n">
        <v>0</v>
      </c>
      <c r="AA236" s="11" t="n">
        <f aca="false">SUM(U236:Z236)</f>
        <v>153</v>
      </c>
      <c r="AB236" s="11" t="n">
        <v>0</v>
      </c>
      <c r="AC236" s="11" t="n">
        <v>0</v>
      </c>
      <c r="AD236" s="11" t="n">
        <v>0</v>
      </c>
      <c r="AE236" s="11" t="n">
        <v>24.48</v>
      </c>
      <c r="AF236" s="11" t="n">
        <v>0</v>
      </c>
      <c r="AG236" s="11" t="n">
        <v>0</v>
      </c>
      <c r="AH236" s="11" t="n">
        <f aca="false">SUM(AB236:AG236)</f>
        <v>24.48</v>
      </c>
    </row>
    <row r="237" customFormat="false" ht="15" hidden="false" customHeight="false" outlineLevel="2" collapsed="false">
      <c r="A237" s="8" t="s">
        <v>1752</v>
      </c>
      <c r="B237" s="9" t="s">
        <v>1753</v>
      </c>
      <c r="C237" s="8" t="s">
        <v>1750</v>
      </c>
      <c r="D237" s="12" t="s">
        <v>1751</v>
      </c>
      <c r="E237" s="16"/>
      <c r="F237" s="9" t="str">
        <f aca="false">IF($E237="","",IFERROR(INDEX(担当者マスタ!$B$2:$B$101,MATCH($E237,担当者マスタ!$A$2:$A$101,0)),"※マスタ未登録"))</f>
        <v/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19.3</v>
      </c>
      <c r="M237" s="11" t="n">
        <f aca="false">SUM(G237:L237)</f>
        <v>19.3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5.1</v>
      </c>
      <c r="T237" s="11" t="n">
        <f aca="false">SUM(N237:S237)</f>
        <v>5.1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f aca="false">SUM(U237:Z237)</f>
        <v>0</v>
      </c>
      <c r="AB237" s="11" t="n">
        <v>0</v>
      </c>
      <c r="AC237" s="11" t="n">
        <v>0</v>
      </c>
      <c r="AD237" s="11" t="n">
        <v>0</v>
      </c>
      <c r="AE237" s="11" t="n">
        <v>0</v>
      </c>
      <c r="AF237" s="11" t="n">
        <v>0</v>
      </c>
      <c r="AG237" s="11" t="n">
        <v>0</v>
      </c>
      <c r="AH237" s="11" t="n">
        <f aca="false">SUM(AB237:AG237)</f>
        <v>0</v>
      </c>
    </row>
    <row r="238" customFormat="false" ht="15" hidden="false" customHeight="false" outlineLevel="2" collapsed="false">
      <c r="A238" s="8" t="s">
        <v>1754</v>
      </c>
      <c r="B238" s="9" t="s">
        <v>1755</v>
      </c>
      <c r="C238" s="8" t="s">
        <v>1750</v>
      </c>
      <c r="D238" s="12" t="s">
        <v>1751</v>
      </c>
      <c r="E238" s="16"/>
      <c r="F238" s="9" t="str">
        <f aca="false">IF($E238="","",IFERROR(INDEX(担当者マスタ!$B$2:$B$101,MATCH($E238,担当者マスタ!$A$2:$A$101,0)),"※マスタ未登録"))</f>
        <v/>
      </c>
      <c r="G238" s="11" t="n">
        <v>0</v>
      </c>
      <c r="H238" s="11" t="n">
        <v>253.715</v>
      </c>
      <c r="I238" s="11" t="n">
        <v>225.012</v>
      </c>
      <c r="J238" s="11" t="n">
        <v>0</v>
      </c>
      <c r="K238" s="11" t="n">
        <v>0</v>
      </c>
      <c r="L238" s="11" t="n">
        <v>274.77</v>
      </c>
      <c r="M238" s="11" t="n">
        <f aca="false">SUM(G238:L238)</f>
        <v>753.497</v>
      </c>
      <c r="N238" s="11" t="n">
        <v>0</v>
      </c>
      <c r="O238" s="11" t="n">
        <v>65.065</v>
      </c>
      <c r="P238" s="11" t="n">
        <v>67.982</v>
      </c>
      <c r="Q238" s="11" t="n">
        <v>0</v>
      </c>
      <c r="R238" s="11" t="n">
        <v>0</v>
      </c>
      <c r="S238" s="11" t="n">
        <v>70.821</v>
      </c>
      <c r="T238" s="11" t="n">
        <f aca="false">SUM(N238:S238)</f>
        <v>203.868</v>
      </c>
      <c r="U238" s="11" t="n">
        <v>0</v>
      </c>
      <c r="V238" s="11" t="n">
        <v>269.8</v>
      </c>
      <c r="W238" s="11" t="n">
        <v>0</v>
      </c>
      <c r="X238" s="11" t="n">
        <v>0</v>
      </c>
      <c r="Y238" s="11" t="n">
        <v>222.075</v>
      </c>
      <c r="Z238" s="11" t="n">
        <v>0</v>
      </c>
      <c r="AA238" s="11" t="n">
        <f aca="false">SUM(U238:Z238)</f>
        <v>491.875</v>
      </c>
      <c r="AB238" s="11" t="n">
        <v>0</v>
      </c>
      <c r="AC238" s="11" t="n">
        <v>69.54</v>
      </c>
      <c r="AD238" s="11" t="n">
        <v>0</v>
      </c>
      <c r="AE238" s="11" t="n">
        <v>0</v>
      </c>
      <c r="AF238" s="11" t="n">
        <v>67.095</v>
      </c>
      <c r="AG238" s="11" t="n">
        <v>0</v>
      </c>
      <c r="AH238" s="11" t="n">
        <f aca="false">SUM(AB238:AG238)</f>
        <v>136.635</v>
      </c>
    </row>
    <row r="239" customFormat="false" ht="15" hidden="false" customHeight="false" outlineLevel="2" collapsed="false">
      <c r="A239" s="8" t="s">
        <v>1756</v>
      </c>
      <c r="B239" s="12" t="s">
        <v>1757</v>
      </c>
      <c r="C239" s="8" t="s">
        <v>1750</v>
      </c>
      <c r="D239" s="12" t="s">
        <v>1751</v>
      </c>
      <c r="E239" s="16"/>
      <c r="F239" s="9" t="str">
        <f aca="false">IF($E239="","",IFERROR(INDEX(担当者マスタ!$B$2:$B$101,MATCH($E239,担当者マスタ!$A$2:$A$101,0)),"※マスタ未登録"))</f>
        <v/>
      </c>
      <c r="G239" s="11" t="n">
        <v>961.265</v>
      </c>
      <c r="H239" s="11" t="n">
        <v>1672.88</v>
      </c>
      <c r="I239" s="11" t="n">
        <v>580.195</v>
      </c>
      <c r="J239" s="11" t="n">
        <v>632.215</v>
      </c>
      <c r="K239" s="11" t="n">
        <v>270.5</v>
      </c>
      <c r="L239" s="11" t="n">
        <v>207.1</v>
      </c>
      <c r="M239" s="11" t="n">
        <f aca="false">SUM(G239:L239)</f>
        <v>4324.155</v>
      </c>
      <c r="N239" s="11" t="n">
        <v>159.466</v>
      </c>
      <c r="O239" s="11" t="n">
        <v>386.182</v>
      </c>
      <c r="P239" s="11" t="n">
        <v>100.154</v>
      </c>
      <c r="Q239" s="11" t="n">
        <v>107.361</v>
      </c>
      <c r="R239" s="11" t="n">
        <v>49.828</v>
      </c>
      <c r="S239" s="11" t="n">
        <v>37.23</v>
      </c>
      <c r="T239" s="11" t="n">
        <f aca="false">SUM(N239:S239)</f>
        <v>840.221</v>
      </c>
      <c r="U239" s="11" t="n">
        <v>989.5</v>
      </c>
      <c r="V239" s="11" t="n">
        <v>827.78</v>
      </c>
      <c r="W239" s="11" t="n">
        <v>281.33</v>
      </c>
      <c r="X239" s="11" t="n">
        <v>481.85</v>
      </c>
      <c r="Y239" s="11" t="n">
        <v>748.2</v>
      </c>
      <c r="Z239" s="11" t="n">
        <v>285.4</v>
      </c>
      <c r="AA239" s="11" t="n">
        <f aca="false">SUM(U239:Z239)</f>
        <v>3614.06</v>
      </c>
      <c r="AB239" s="11" t="n">
        <v>166.466</v>
      </c>
      <c r="AC239" s="11" t="n">
        <v>133.351</v>
      </c>
      <c r="AD239" s="11" t="n">
        <v>100.538</v>
      </c>
      <c r="AE239" s="11" t="n">
        <v>83.843</v>
      </c>
      <c r="AF239" s="11" t="n">
        <v>120.769</v>
      </c>
      <c r="AG239" s="11" t="n">
        <v>58.609</v>
      </c>
      <c r="AH239" s="11" t="n">
        <f aca="false">SUM(AB239:AG239)</f>
        <v>663.576</v>
      </c>
    </row>
    <row r="240" customFormat="false" ht="15" hidden="false" customHeight="false" outlineLevel="2" collapsed="false">
      <c r="A240" s="8" t="s">
        <v>1758</v>
      </c>
      <c r="B240" s="9" t="s">
        <v>1759</v>
      </c>
      <c r="C240" s="8" t="s">
        <v>1750</v>
      </c>
      <c r="D240" s="12" t="s">
        <v>1751</v>
      </c>
      <c r="E240" s="16"/>
      <c r="F240" s="9" t="str">
        <f aca="false">IF($E240="","",IFERROR(INDEX(担当者マスタ!$B$2:$B$101,MATCH($E240,担当者マスタ!$A$2:$A$101,0)),"※マスタ未登録"))</f>
        <v/>
      </c>
      <c r="G240" s="11" t="n">
        <v>416.963</v>
      </c>
      <c r="H240" s="11" t="n">
        <v>44.41</v>
      </c>
      <c r="I240" s="11" t="n">
        <v>425.337</v>
      </c>
      <c r="J240" s="11" t="n">
        <v>144.405</v>
      </c>
      <c r="K240" s="11" t="n">
        <v>380.35</v>
      </c>
      <c r="L240" s="11" t="n">
        <v>329.54</v>
      </c>
      <c r="M240" s="11" t="n">
        <f aca="false">SUM(G240:L240)</f>
        <v>1741.005</v>
      </c>
      <c r="N240" s="11" t="n">
        <v>69.188</v>
      </c>
      <c r="O240" s="11" t="n">
        <v>14.173</v>
      </c>
      <c r="P240" s="11" t="n">
        <v>82.544</v>
      </c>
      <c r="Q240" s="11" t="n">
        <v>25.911</v>
      </c>
      <c r="R240" s="11" t="n">
        <v>65.059</v>
      </c>
      <c r="S240" s="11" t="n">
        <v>61.835</v>
      </c>
      <c r="T240" s="11" t="n">
        <f aca="false">SUM(N240:S240)</f>
        <v>318.71</v>
      </c>
      <c r="U240" s="11" t="n">
        <v>342.315</v>
      </c>
      <c r="V240" s="11" t="n">
        <v>280.536</v>
      </c>
      <c r="W240" s="11" t="n">
        <v>356.36</v>
      </c>
      <c r="X240" s="11" t="n">
        <v>405.395</v>
      </c>
      <c r="Y240" s="11" t="n">
        <v>163.506</v>
      </c>
      <c r="Z240" s="11" t="n">
        <v>356.71</v>
      </c>
      <c r="AA240" s="11" t="n">
        <f aca="false">SUM(U240:Z240)</f>
        <v>1904.822</v>
      </c>
      <c r="AB240" s="11" t="n">
        <v>75.274</v>
      </c>
      <c r="AC240" s="11" t="n">
        <v>50.285</v>
      </c>
      <c r="AD240" s="11" t="n">
        <v>96.756</v>
      </c>
      <c r="AE240" s="11" t="n">
        <v>80.072</v>
      </c>
      <c r="AF240" s="11" t="n">
        <v>40.474</v>
      </c>
      <c r="AG240" s="11" t="n">
        <v>64.528</v>
      </c>
      <c r="AH240" s="11" t="n">
        <f aca="false">SUM(AB240:AG240)</f>
        <v>407.389</v>
      </c>
    </row>
    <row r="241" customFormat="false" ht="15" hidden="false" customHeight="false" outlineLevel="2" collapsed="false">
      <c r="A241" s="8" t="s">
        <v>1760</v>
      </c>
      <c r="B241" s="12" t="s">
        <v>1761</v>
      </c>
      <c r="C241" s="8" t="s">
        <v>1750</v>
      </c>
      <c r="D241" s="12" t="s">
        <v>1751</v>
      </c>
      <c r="E241" s="16"/>
      <c r="F241" s="9" t="str">
        <f aca="false">IF($E241="","",IFERROR(INDEX(担当者マスタ!$B$2:$B$101,MATCH($E241,担当者マスタ!$A$2:$A$101,0)),"※マスタ未登録"))</f>
        <v/>
      </c>
      <c r="G241" s="11" t="n">
        <v>268.734</v>
      </c>
      <c r="H241" s="11" t="n">
        <v>543.52</v>
      </c>
      <c r="I241" s="11" t="n">
        <v>201.41</v>
      </c>
      <c r="J241" s="11" t="n">
        <v>541.08</v>
      </c>
      <c r="K241" s="11" t="n">
        <v>110.08</v>
      </c>
      <c r="L241" s="11" t="n">
        <v>556.724</v>
      </c>
      <c r="M241" s="11" t="n">
        <f aca="false">SUM(G241:L241)</f>
        <v>2221.548</v>
      </c>
      <c r="N241" s="11" t="n">
        <v>58.651</v>
      </c>
      <c r="O241" s="11" t="n">
        <v>66.108</v>
      </c>
      <c r="P241" s="11" t="n">
        <v>34.556</v>
      </c>
      <c r="Q241" s="11" t="n">
        <v>63.852</v>
      </c>
      <c r="R241" s="11" t="n">
        <v>25.232</v>
      </c>
      <c r="S241" s="11" t="n">
        <v>76.143</v>
      </c>
      <c r="T241" s="11" t="n">
        <f aca="false">SUM(N241:S241)</f>
        <v>324.542</v>
      </c>
      <c r="U241" s="11" t="n">
        <v>525.88</v>
      </c>
      <c r="V241" s="11" t="n">
        <v>183.98</v>
      </c>
      <c r="W241" s="11" t="n">
        <v>705.534</v>
      </c>
      <c r="X241" s="11" t="n">
        <v>443.68</v>
      </c>
      <c r="Y241" s="11" t="n">
        <v>132.98</v>
      </c>
      <c r="Z241" s="11" t="n">
        <v>581.224</v>
      </c>
      <c r="AA241" s="11" t="n">
        <f aca="false">SUM(U241:Z241)</f>
        <v>2573.278</v>
      </c>
      <c r="AB241" s="11" t="n">
        <v>60.082</v>
      </c>
      <c r="AC241" s="11" t="n">
        <v>36.932</v>
      </c>
      <c r="AD241" s="11" t="n">
        <v>98.677</v>
      </c>
      <c r="AE241" s="11" t="n">
        <v>46.932</v>
      </c>
      <c r="AF241" s="11" t="n">
        <v>29.432</v>
      </c>
      <c r="AG241" s="11" t="n">
        <v>82.828</v>
      </c>
      <c r="AH241" s="11" t="n">
        <f aca="false">SUM(AB241:AG241)</f>
        <v>354.883</v>
      </c>
    </row>
    <row r="242" customFormat="false" ht="15" hidden="false" customHeight="false" outlineLevel="2" collapsed="false">
      <c r="A242" s="8" t="s">
        <v>1762</v>
      </c>
      <c r="B242" s="12" t="s">
        <v>1763</v>
      </c>
      <c r="C242" s="8" t="s">
        <v>1750</v>
      </c>
      <c r="D242" s="12" t="s">
        <v>1751</v>
      </c>
      <c r="E242" s="16"/>
      <c r="F242" s="9" t="str">
        <f aca="false">IF($E242="","",IFERROR(INDEX(担当者マスタ!$B$2:$B$101,MATCH($E242,担当者マスタ!$A$2:$A$101,0)),"※マスタ未登録"))</f>
        <v/>
      </c>
      <c r="G242" s="11" t="n">
        <v>697.2</v>
      </c>
      <c r="H242" s="11" t="n">
        <v>525.954</v>
      </c>
      <c r="I242" s="11" t="n">
        <v>755.149</v>
      </c>
      <c r="J242" s="11" t="n">
        <v>705.183</v>
      </c>
      <c r="K242" s="11" t="n">
        <v>170.63</v>
      </c>
      <c r="L242" s="11" t="n">
        <v>351.676</v>
      </c>
      <c r="M242" s="11" t="n">
        <f aca="false">SUM(G242:L242)</f>
        <v>3205.792</v>
      </c>
      <c r="N242" s="11" t="n">
        <v>113.616</v>
      </c>
      <c r="O242" s="11" t="n">
        <v>92.036</v>
      </c>
      <c r="P242" s="11" t="n">
        <v>80.702</v>
      </c>
      <c r="Q242" s="11" t="n">
        <v>116.299</v>
      </c>
      <c r="R242" s="11" t="n">
        <v>34.35</v>
      </c>
      <c r="S242" s="11" t="n">
        <v>56.699</v>
      </c>
      <c r="T242" s="11" t="n">
        <f aca="false">SUM(N242:S242)</f>
        <v>493.702</v>
      </c>
      <c r="U242" s="11" t="n">
        <v>425.79</v>
      </c>
      <c r="V242" s="11" t="n">
        <v>572.77</v>
      </c>
      <c r="W242" s="11" t="n">
        <v>525.299</v>
      </c>
      <c r="X242" s="11" t="n">
        <v>1045.739</v>
      </c>
      <c r="Y242" s="11" t="n">
        <v>649.78</v>
      </c>
      <c r="Z242" s="11" t="n">
        <v>816.748</v>
      </c>
      <c r="AA242" s="11" t="n">
        <f aca="false">SUM(U242:Z242)</f>
        <v>4036.126</v>
      </c>
      <c r="AB242" s="11" t="n">
        <v>62.436</v>
      </c>
      <c r="AC242" s="11" t="n">
        <v>94.441</v>
      </c>
      <c r="AD242" s="11" t="n">
        <v>66.921</v>
      </c>
      <c r="AE242" s="11" t="n">
        <v>173.241</v>
      </c>
      <c r="AF242" s="11" t="n">
        <v>101.662</v>
      </c>
      <c r="AG242" s="11" t="n">
        <v>130.276</v>
      </c>
      <c r="AH242" s="11" t="n">
        <f aca="false">SUM(AB242:AG242)</f>
        <v>628.977</v>
      </c>
    </row>
    <row r="243" customFormat="false" ht="15" hidden="false" customHeight="false" outlineLevel="2" collapsed="false">
      <c r="A243" s="8" t="s">
        <v>1764</v>
      </c>
      <c r="B243" s="12" t="s">
        <v>1765</v>
      </c>
      <c r="C243" s="8" t="s">
        <v>1750</v>
      </c>
      <c r="D243" s="12" t="s">
        <v>1751</v>
      </c>
      <c r="E243" s="16"/>
      <c r="F243" s="9" t="str">
        <f aca="false">IF($E243="","",IFERROR(INDEX(担当者マスタ!$B$2:$B$101,MATCH($E243,担当者マスタ!$A$2:$A$101,0)),"※マスタ未登録"))</f>
        <v/>
      </c>
      <c r="G243" s="11" t="n">
        <v>22.5</v>
      </c>
      <c r="H243" s="11" t="n">
        <v>14</v>
      </c>
      <c r="I243" s="11" t="n">
        <v>0</v>
      </c>
      <c r="J243" s="11" t="n">
        <v>0.8</v>
      </c>
      <c r="K243" s="11" t="n">
        <v>0</v>
      </c>
      <c r="L243" s="11" t="n">
        <v>0</v>
      </c>
      <c r="M243" s="11" t="n">
        <f aca="false">SUM(G243:L243)</f>
        <v>37.3</v>
      </c>
      <c r="N243" s="11" t="n">
        <v>2.71</v>
      </c>
      <c r="O243" s="11" t="n">
        <v>2.1</v>
      </c>
      <c r="P243" s="11" t="n">
        <v>0</v>
      </c>
      <c r="Q243" s="11" t="n">
        <v>0.12</v>
      </c>
      <c r="R243" s="11" t="n">
        <v>0</v>
      </c>
      <c r="S243" s="11" t="n">
        <v>0</v>
      </c>
      <c r="T243" s="11" t="n">
        <f aca="false">SUM(N243:S243)</f>
        <v>4.93</v>
      </c>
      <c r="U243" s="11" t="n">
        <v>2.4</v>
      </c>
      <c r="V243" s="11" t="n">
        <v>0</v>
      </c>
      <c r="W243" s="11" t="n">
        <v>0</v>
      </c>
      <c r="X243" s="11" t="n">
        <v>0.95</v>
      </c>
      <c r="Y243" s="11" t="n">
        <v>0</v>
      </c>
      <c r="Z243" s="11" t="n">
        <v>0</v>
      </c>
      <c r="AA243" s="11" t="n">
        <f aca="false">SUM(U243:Z243)</f>
        <v>3.35</v>
      </c>
      <c r="AB243" s="11" t="n">
        <v>0.36</v>
      </c>
      <c r="AC243" s="11" t="n">
        <v>0</v>
      </c>
      <c r="AD243" s="11" t="n">
        <v>0</v>
      </c>
      <c r="AE243" s="11" t="n">
        <v>0.27</v>
      </c>
      <c r="AF243" s="11" t="n">
        <v>0</v>
      </c>
      <c r="AG243" s="11" t="n">
        <v>0</v>
      </c>
      <c r="AH243" s="11" t="n">
        <f aca="false">SUM(AB243:AG243)</f>
        <v>0.63</v>
      </c>
    </row>
    <row r="244" customFormat="false" ht="15" hidden="false" customHeight="false" outlineLevel="2" collapsed="false">
      <c r="A244" s="8" t="s">
        <v>1766</v>
      </c>
      <c r="B244" s="12" t="s">
        <v>1767</v>
      </c>
      <c r="C244" s="8" t="s">
        <v>1750</v>
      </c>
      <c r="D244" s="12" t="s">
        <v>1751</v>
      </c>
      <c r="E244" s="16"/>
      <c r="F244" s="9" t="str">
        <f aca="false">IF($E244="","",IFERROR(INDEX(担当者マスタ!$B$2:$B$101,MATCH($E244,担当者マスタ!$A$2:$A$101,0)),"※マスタ未登録"))</f>
        <v/>
      </c>
      <c r="G244" s="11" t="n">
        <v>0</v>
      </c>
      <c r="H244" s="11" t="n">
        <v>0</v>
      </c>
      <c r="I244" s="11" t="n">
        <v>13.317</v>
      </c>
      <c r="J244" s="11" t="n">
        <v>0</v>
      </c>
      <c r="K244" s="11" t="n">
        <v>0</v>
      </c>
      <c r="L244" s="11" t="n">
        <v>10.59</v>
      </c>
      <c r="M244" s="11" t="n">
        <f aca="false">SUM(G244:L244)</f>
        <v>23.907</v>
      </c>
      <c r="N244" s="11" t="n">
        <v>0</v>
      </c>
      <c r="O244" s="11" t="n">
        <v>0</v>
      </c>
      <c r="P244" s="11" t="n">
        <v>2.85</v>
      </c>
      <c r="Q244" s="11" t="n">
        <v>0</v>
      </c>
      <c r="R244" s="11" t="n">
        <v>0</v>
      </c>
      <c r="S244" s="11" t="n">
        <v>2</v>
      </c>
      <c r="T244" s="11" t="n">
        <f aca="false">SUM(N244:S244)</f>
        <v>4.85</v>
      </c>
      <c r="U244" s="11" t="n">
        <v>0</v>
      </c>
      <c r="V244" s="11" t="n">
        <v>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f aca="false">SUM(U244:Z244)</f>
        <v>0</v>
      </c>
      <c r="AB244" s="11" t="n">
        <v>0</v>
      </c>
      <c r="AC244" s="11" t="n">
        <v>0</v>
      </c>
      <c r="AD244" s="11" t="n">
        <v>0</v>
      </c>
      <c r="AE244" s="11" t="n">
        <v>0</v>
      </c>
      <c r="AF244" s="11" t="n">
        <v>0</v>
      </c>
      <c r="AG244" s="11" t="n">
        <v>0</v>
      </c>
      <c r="AH244" s="11" t="n">
        <f aca="false">SUM(AB244:AG244)</f>
        <v>0</v>
      </c>
    </row>
    <row r="245" customFormat="false" ht="15" hidden="false" customHeight="false" outlineLevel="2" collapsed="false">
      <c r="A245" s="8" t="s">
        <v>1768</v>
      </c>
      <c r="B245" s="12" t="s">
        <v>1769</v>
      </c>
      <c r="C245" s="8" t="s">
        <v>1750</v>
      </c>
      <c r="D245" s="12" t="s">
        <v>1751</v>
      </c>
      <c r="E245" s="16"/>
      <c r="F245" s="9" t="str">
        <f aca="false">IF($E245="","",IFERROR(INDEX(担当者マスタ!$B$2:$B$101,MATCH($E245,担当者マスタ!$A$2:$A$101,0)),"※マスタ未登録"))</f>
        <v/>
      </c>
      <c r="G245" s="11" t="n">
        <v>71.75</v>
      </c>
      <c r="H245" s="11" t="n">
        <v>293.57</v>
      </c>
      <c r="I245" s="11" t="n">
        <v>180.098</v>
      </c>
      <c r="J245" s="11" t="n">
        <v>96.505</v>
      </c>
      <c r="K245" s="11" t="n">
        <v>392.371</v>
      </c>
      <c r="L245" s="11" t="n">
        <v>155.59</v>
      </c>
      <c r="M245" s="11" t="n">
        <f aca="false">SUM(G245:L245)</f>
        <v>1189.884</v>
      </c>
      <c r="N245" s="11" t="n">
        <v>30.99</v>
      </c>
      <c r="O245" s="11" t="n">
        <v>78.942</v>
      </c>
      <c r="P245" s="11" t="n">
        <v>41.109</v>
      </c>
      <c r="Q245" s="11" t="n">
        <v>24.92</v>
      </c>
      <c r="R245" s="11" t="n">
        <v>110.295</v>
      </c>
      <c r="S245" s="11" t="n">
        <v>58.37</v>
      </c>
      <c r="T245" s="11" t="n">
        <f aca="false">SUM(N245:S245)</f>
        <v>344.626</v>
      </c>
      <c r="U245" s="11" t="n">
        <v>86.239</v>
      </c>
      <c r="V245" s="11" t="n">
        <v>190.441</v>
      </c>
      <c r="W245" s="11" t="n">
        <v>55.398</v>
      </c>
      <c r="X245" s="11" t="n">
        <v>180.426</v>
      </c>
      <c r="Y245" s="11" t="n">
        <v>68.824</v>
      </c>
      <c r="Z245" s="11" t="n">
        <v>66.15</v>
      </c>
      <c r="AA245" s="11" t="n">
        <f aca="false">SUM(U245:Z245)</f>
        <v>647.478</v>
      </c>
      <c r="AB245" s="11" t="n">
        <v>24.737</v>
      </c>
      <c r="AC245" s="11" t="n">
        <v>58.076</v>
      </c>
      <c r="AD245" s="11" t="n">
        <v>15.25</v>
      </c>
      <c r="AE245" s="11" t="n">
        <v>48.842</v>
      </c>
      <c r="AF245" s="11" t="n">
        <v>20.183</v>
      </c>
      <c r="AG245" s="11" t="n">
        <v>18.2</v>
      </c>
      <c r="AH245" s="11" t="n">
        <f aca="false">SUM(AB245:AG245)</f>
        <v>185.288</v>
      </c>
    </row>
    <row r="246" customFormat="false" ht="15" hidden="false" customHeight="false" outlineLevel="2" collapsed="false">
      <c r="A246" s="8" t="s">
        <v>1770</v>
      </c>
      <c r="B246" s="12" t="s">
        <v>1771</v>
      </c>
      <c r="C246" s="8" t="s">
        <v>1750</v>
      </c>
      <c r="D246" s="12" t="s">
        <v>1751</v>
      </c>
      <c r="E246" s="16"/>
      <c r="F246" s="9" t="str">
        <f aca="false">IF($E246="","",IFERROR(INDEX(担当者マスタ!$B$2:$B$101,MATCH($E246,担当者マスタ!$A$2:$A$101,0)),"※マスタ未登録"))</f>
        <v/>
      </c>
      <c r="G246" s="11" t="n">
        <v>588.563</v>
      </c>
      <c r="H246" s="11" t="n">
        <v>727.055</v>
      </c>
      <c r="I246" s="11" t="n">
        <v>1301.243</v>
      </c>
      <c r="J246" s="11" t="n">
        <v>465.593</v>
      </c>
      <c r="K246" s="11" t="n">
        <v>482.218</v>
      </c>
      <c r="L246" s="11" t="n">
        <v>198.023</v>
      </c>
      <c r="M246" s="11" t="n">
        <f aca="false">SUM(G246:L246)</f>
        <v>3762.695</v>
      </c>
      <c r="N246" s="11" t="n">
        <v>83.019</v>
      </c>
      <c r="O246" s="11" t="n">
        <v>96.54</v>
      </c>
      <c r="P246" s="11" t="n">
        <v>170.921</v>
      </c>
      <c r="Q246" s="11" t="n">
        <v>69.132</v>
      </c>
      <c r="R246" s="11" t="n">
        <v>62.593</v>
      </c>
      <c r="S246" s="11" t="n">
        <v>18.41</v>
      </c>
      <c r="T246" s="11" t="n">
        <f aca="false">SUM(N246:S246)</f>
        <v>500.615</v>
      </c>
      <c r="U246" s="11" t="n">
        <v>3285.043</v>
      </c>
      <c r="V246" s="11" t="n">
        <v>3271.837</v>
      </c>
      <c r="W246" s="11" t="n">
        <v>4778.953</v>
      </c>
      <c r="X246" s="11" t="n">
        <v>1295.142</v>
      </c>
      <c r="Y246" s="11" t="n">
        <v>1512.318</v>
      </c>
      <c r="Z246" s="11" t="n">
        <v>2107.485</v>
      </c>
      <c r="AA246" s="11" t="n">
        <f aca="false">SUM(U246:Z246)</f>
        <v>16250.778</v>
      </c>
      <c r="AB246" s="11" t="n">
        <v>337.309</v>
      </c>
      <c r="AC246" s="11" t="n">
        <v>359.913</v>
      </c>
      <c r="AD246" s="11" t="n">
        <v>475.838</v>
      </c>
      <c r="AE246" s="11" t="n">
        <v>129.412</v>
      </c>
      <c r="AF246" s="11" t="n">
        <v>160.235</v>
      </c>
      <c r="AG246" s="11" t="n">
        <v>213.2</v>
      </c>
      <c r="AH246" s="11" t="n">
        <f aca="false">SUM(AB246:AG246)</f>
        <v>1675.907</v>
      </c>
    </row>
    <row r="247" customFormat="false" ht="15" hidden="false" customHeight="false" outlineLevel="2" collapsed="false">
      <c r="A247" s="8" t="s">
        <v>1772</v>
      </c>
      <c r="B247" s="12" t="s">
        <v>1773</v>
      </c>
      <c r="C247" s="8" t="s">
        <v>1750</v>
      </c>
      <c r="D247" s="12" t="s">
        <v>1751</v>
      </c>
      <c r="E247" s="16"/>
      <c r="F247" s="9" t="str">
        <f aca="false">IF($E247="","",IFERROR(INDEX(担当者マスタ!$B$2:$B$101,MATCH($E247,担当者マスタ!$A$2:$A$101,0)),"※マスタ未登録"))</f>
        <v/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19000</v>
      </c>
      <c r="L247" s="11" t="n">
        <v>0</v>
      </c>
      <c r="M247" s="11" t="n">
        <f aca="false">SUM(G247:L247)</f>
        <v>19000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4200</v>
      </c>
      <c r="S247" s="11" t="n">
        <v>0</v>
      </c>
      <c r="T247" s="11" t="n">
        <f aca="false">SUM(N247:S247)</f>
        <v>4200</v>
      </c>
      <c r="U247" s="11" t="n">
        <v>0</v>
      </c>
      <c r="V247" s="11" t="n">
        <v>11400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f aca="false">SUM(U247:Z247)</f>
        <v>11400</v>
      </c>
      <c r="AB247" s="11" t="n">
        <v>0</v>
      </c>
      <c r="AC247" s="11" t="n">
        <v>2150</v>
      </c>
      <c r="AD247" s="11" t="n">
        <v>0</v>
      </c>
      <c r="AE247" s="11" t="n">
        <v>0</v>
      </c>
      <c r="AF247" s="11" t="n">
        <v>0</v>
      </c>
      <c r="AG247" s="11" t="n">
        <v>0</v>
      </c>
      <c r="AH247" s="11" t="n">
        <f aca="false">SUM(AB247:AG247)</f>
        <v>2150</v>
      </c>
    </row>
    <row r="248" customFormat="false" ht="15" hidden="false" customHeight="false" outlineLevel="2" collapsed="false">
      <c r="A248" s="8" t="s">
        <v>1774</v>
      </c>
      <c r="B248" s="12" t="s">
        <v>1775</v>
      </c>
      <c r="C248" s="8" t="s">
        <v>1750</v>
      </c>
      <c r="D248" s="12" t="s">
        <v>1751</v>
      </c>
      <c r="E248" s="16"/>
      <c r="F248" s="9" t="str">
        <f aca="false">IF($E248="","",IFERROR(INDEX(担当者マスタ!$B$2:$B$101,MATCH($E248,担当者マスタ!$A$2:$A$101,0)),"※マスタ未登録"))</f>
        <v/>
      </c>
      <c r="G248" s="11" t="n">
        <v>2428.261</v>
      </c>
      <c r="H248" s="11" t="n">
        <v>2649.655</v>
      </c>
      <c r="I248" s="11" t="n">
        <v>3027.91</v>
      </c>
      <c r="J248" s="11" t="n">
        <v>1736.43</v>
      </c>
      <c r="K248" s="11" t="n">
        <v>1676.581</v>
      </c>
      <c r="L248" s="11" t="n">
        <v>1907.288</v>
      </c>
      <c r="M248" s="11" t="n">
        <f aca="false">SUM(G248:L248)</f>
        <v>13426.125</v>
      </c>
      <c r="N248" s="11" t="n">
        <v>381.339</v>
      </c>
      <c r="O248" s="11" t="n">
        <v>430.317</v>
      </c>
      <c r="P248" s="11" t="n">
        <v>499.015</v>
      </c>
      <c r="Q248" s="11" t="n">
        <v>229.602</v>
      </c>
      <c r="R248" s="11" t="n">
        <v>244.008</v>
      </c>
      <c r="S248" s="11" t="n">
        <v>292.09</v>
      </c>
      <c r="T248" s="11" t="n">
        <f aca="false">SUM(N248:S248)</f>
        <v>2076.371</v>
      </c>
      <c r="U248" s="11" t="n">
        <v>0</v>
      </c>
      <c r="V248" s="11" t="n">
        <v>1114</v>
      </c>
      <c r="W248" s="11" t="n">
        <v>2189.46</v>
      </c>
      <c r="X248" s="11" t="n">
        <v>1295.3</v>
      </c>
      <c r="Y248" s="11" t="n">
        <v>1479.005</v>
      </c>
      <c r="Z248" s="11" t="n">
        <v>2040.719</v>
      </c>
      <c r="AA248" s="11" t="n">
        <f aca="false">SUM(U248:Z248)</f>
        <v>8118.484</v>
      </c>
      <c r="AB248" s="11" t="n">
        <v>0</v>
      </c>
      <c r="AC248" s="11" t="n">
        <v>193.348</v>
      </c>
      <c r="AD248" s="11" t="n">
        <v>356.36</v>
      </c>
      <c r="AE248" s="11" t="n">
        <v>175.938</v>
      </c>
      <c r="AF248" s="11" t="n">
        <v>224.487</v>
      </c>
      <c r="AG248" s="11" t="n">
        <v>321.343</v>
      </c>
      <c r="AH248" s="11" t="n">
        <f aca="false">SUM(AB248:AG248)</f>
        <v>1271.476</v>
      </c>
    </row>
    <row r="249" customFormat="false" ht="15" hidden="false" customHeight="false" outlineLevel="2" collapsed="false">
      <c r="A249" s="8" t="s">
        <v>1776</v>
      </c>
      <c r="B249" s="12" t="s">
        <v>1777</v>
      </c>
      <c r="C249" s="8" t="s">
        <v>1750</v>
      </c>
      <c r="D249" s="12" t="s">
        <v>1751</v>
      </c>
      <c r="E249" s="16"/>
      <c r="F249" s="9" t="str">
        <f aca="false">IF($E249="","",IFERROR(INDEX(担当者マスタ!$B$2:$B$101,MATCH($E249,担当者マスタ!$A$2:$A$101,0)),"※マスタ未登録"))</f>
        <v/>
      </c>
      <c r="G249" s="11" t="n">
        <v>319.385</v>
      </c>
      <c r="H249" s="11" t="n">
        <v>174.98</v>
      </c>
      <c r="I249" s="11" t="n">
        <v>549.36</v>
      </c>
      <c r="J249" s="11" t="n">
        <v>174.475</v>
      </c>
      <c r="K249" s="11" t="n">
        <v>192.5</v>
      </c>
      <c r="L249" s="11" t="n">
        <v>209.285</v>
      </c>
      <c r="M249" s="11" t="n">
        <f aca="false">SUM(G249:L249)</f>
        <v>1619.985</v>
      </c>
      <c r="N249" s="11" t="n">
        <v>58.68</v>
      </c>
      <c r="O249" s="11" t="n">
        <v>39.43</v>
      </c>
      <c r="P249" s="11" t="n">
        <v>114.74</v>
      </c>
      <c r="Q249" s="11" t="n">
        <v>33.365</v>
      </c>
      <c r="R249" s="11" t="n">
        <v>32.45</v>
      </c>
      <c r="S249" s="11" t="n">
        <v>44.46</v>
      </c>
      <c r="T249" s="11" t="n">
        <f aca="false">SUM(N249:S249)</f>
        <v>323.125</v>
      </c>
      <c r="U249" s="11" t="n">
        <v>93.03</v>
      </c>
      <c r="V249" s="11" t="n">
        <v>157.76</v>
      </c>
      <c r="W249" s="11" t="n">
        <v>510.43</v>
      </c>
      <c r="X249" s="11" t="n">
        <v>104.8</v>
      </c>
      <c r="Y249" s="11" t="n">
        <v>96.05</v>
      </c>
      <c r="Z249" s="11" t="n">
        <v>83.25</v>
      </c>
      <c r="AA249" s="11" t="n">
        <f aca="false">SUM(U249:Z249)</f>
        <v>1045.32</v>
      </c>
      <c r="AB249" s="11" t="n">
        <v>11.47</v>
      </c>
      <c r="AC249" s="11" t="n">
        <v>35.11</v>
      </c>
      <c r="AD249" s="11" t="n">
        <v>100.69</v>
      </c>
      <c r="AE249" s="11" t="n">
        <v>19.5</v>
      </c>
      <c r="AF249" s="11" t="n">
        <v>19.285</v>
      </c>
      <c r="AG249" s="11" t="n">
        <v>16.925</v>
      </c>
      <c r="AH249" s="11" t="n">
        <f aca="false">SUM(AB249:AG249)</f>
        <v>202.98</v>
      </c>
    </row>
    <row r="250" customFormat="false" ht="15" hidden="false" customHeight="false" outlineLevel="2" collapsed="false">
      <c r="A250" s="8" t="s">
        <v>1778</v>
      </c>
      <c r="B250" s="12" t="s">
        <v>1779</v>
      </c>
      <c r="C250" s="8" t="s">
        <v>1750</v>
      </c>
      <c r="D250" s="12" t="s">
        <v>1751</v>
      </c>
      <c r="E250" s="16"/>
      <c r="F250" s="9" t="str">
        <f aca="false">IF($E250="","",IFERROR(INDEX(担当者マスタ!$B$2:$B$101,MATCH($E250,担当者マスタ!$A$2:$A$101,0)),"※マスタ未登録"))</f>
        <v/>
      </c>
      <c r="G250" s="11" t="n">
        <v>81.68</v>
      </c>
      <c r="H250" s="11" t="n">
        <v>159.18</v>
      </c>
      <c r="I250" s="11" t="n">
        <v>182.88</v>
      </c>
      <c r="J250" s="11" t="n">
        <v>115.69</v>
      </c>
      <c r="K250" s="11" t="n">
        <v>34.5</v>
      </c>
      <c r="L250" s="11" t="n">
        <v>-18</v>
      </c>
      <c r="M250" s="11" t="n">
        <f aca="false">SUM(G250:L250)</f>
        <v>555.93</v>
      </c>
      <c r="N250" s="11" t="n">
        <v>15.03</v>
      </c>
      <c r="O250" s="11" t="n">
        <v>30.28</v>
      </c>
      <c r="P250" s="11" t="n">
        <v>33.28</v>
      </c>
      <c r="Q250" s="11" t="n">
        <v>20.99</v>
      </c>
      <c r="R250" s="11" t="n">
        <v>5</v>
      </c>
      <c r="S250" s="11" t="n">
        <v>0</v>
      </c>
      <c r="T250" s="11" t="n">
        <f aca="false">SUM(N250:S250)</f>
        <v>104.58</v>
      </c>
      <c r="U250" s="11" t="n">
        <v>0</v>
      </c>
      <c r="V250" s="11" t="n">
        <v>394.32</v>
      </c>
      <c r="W250" s="11" t="n">
        <v>222.51</v>
      </c>
      <c r="X250" s="11" t="n">
        <v>0</v>
      </c>
      <c r="Y250" s="11" t="n">
        <v>0</v>
      </c>
      <c r="Z250" s="11" t="n">
        <v>0</v>
      </c>
      <c r="AA250" s="11" t="n">
        <f aca="false">SUM(U250:Z250)</f>
        <v>616.83</v>
      </c>
      <c r="AB250" s="11" t="n">
        <v>0</v>
      </c>
      <c r="AC250" s="11" t="n">
        <v>72.42</v>
      </c>
      <c r="AD250" s="11" t="n">
        <v>42.26</v>
      </c>
      <c r="AE250" s="11" t="n">
        <v>0</v>
      </c>
      <c r="AF250" s="11" t="n">
        <v>0</v>
      </c>
      <c r="AG250" s="11" t="n">
        <v>0</v>
      </c>
      <c r="AH250" s="11" t="n">
        <f aca="false">SUM(AB250:AG250)</f>
        <v>114.68</v>
      </c>
    </row>
    <row r="251" customFormat="false" ht="15" hidden="false" customHeight="false" outlineLevel="2" collapsed="false">
      <c r="A251" s="8" t="s">
        <v>1780</v>
      </c>
      <c r="B251" s="12" t="s">
        <v>1781</v>
      </c>
      <c r="C251" s="8" t="s">
        <v>1750</v>
      </c>
      <c r="D251" s="12" t="s">
        <v>1751</v>
      </c>
      <c r="E251" s="16"/>
      <c r="F251" s="9" t="str">
        <f aca="false">IF($E251="","",IFERROR(INDEX(担当者マスタ!$B$2:$B$101,MATCH($E251,担当者マスタ!$A$2:$A$101,0)),"※マスタ未登録"))</f>
        <v/>
      </c>
      <c r="G251" s="11" t="n">
        <v>0</v>
      </c>
      <c r="H251" s="11" t="n">
        <v>0</v>
      </c>
      <c r="I251" s="11" t="n">
        <v>0</v>
      </c>
      <c r="J251" s="11" t="n">
        <v>11000</v>
      </c>
      <c r="K251" s="11" t="n">
        <v>0</v>
      </c>
      <c r="L251" s="11" t="n">
        <v>0</v>
      </c>
      <c r="M251" s="11" t="n">
        <f aca="false">SUM(G251:L251)</f>
        <v>11000</v>
      </c>
      <c r="N251" s="11" t="n">
        <v>0</v>
      </c>
      <c r="O251" s="11" t="n">
        <v>0</v>
      </c>
      <c r="P251" s="11" t="n">
        <v>0</v>
      </c>
      <c r="Q251" s="11" t="n">
        <v>2140</v>
      </c>
      <c r="R251" s="11" t="n">
        <v>0</v>
      </c>
      <c r="S251" s="11" t="n">
        <v>0</v>
      </c>
      <c r="T251" s="11" t="n">
        <f aca="false">SUM(N251:S251)</f>
        <v>2140</v>
      </c>
      <c r="U251" s="11" t="n">
        <v>2630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f aca="false">SUM(U251:Z251)</f>
        <v>2630</v>
      </c>
      <c r="AB251" s="11" t="n">
        <v>532</v>
      </c>
      <c r="AC251" s="11" t="n">
        <v>0</v>
      </c>
      <c r="AD251" s="11" t="n">
        <v>0</v>
      </c>
      <c r="AE251" s="11" t="n">
        <v>0</v>
      </c>
      <c r="AF251" s="11" t="n">
        <v>0</v>
      </c>
      <c r="AG251" s="11" t="n">
        <v>0</v>
      </c>
      <c r="AH251" s="11" t="n">
        <f aca="false">SUM(AB251:AG251)</f>
        <v>532</v>
      </c>
    </row>
    <row r="252" customFormat="false" ht="15" hidden="false" customHeight="false" outlineLevel="2" collapsed="false">
      <c r="A252" s="8" t="s">
        <v>1782</v>
      </c>
      <c r="B252" s="9" t="s">
        <v>1783</v>
      </c>
      <c r="C252" s="8" t="s">
        <v>1750</v>
      </c>
      <c r="D252" s="12" t="s">
        <v>1751</v>
      </c>
      <c r="E252" s="16"/>
      <c r="F252" s="9" t="str">
        <f aca="false">IF($E252="","",IFERROR(INDEX(担当者マスタ!$B$2:$B$101,MATCH($E252,担当者マスタ!$A$2:$A$101,0)),"※マスタ未登録"))</f>
        <v/>
      </c>
      <c r="G252" s="11" t="n">
        <v>48.95</v>
      </c>
      <c r="H252" s="11" t="n">
        <v>81.88</v>
      </c>
      <c r="I252" s="11" t="n">
        <v>66.525</v>
      </c>
      <c r="J252" s="11" t="n">
        <v>59.755</v>
      </c>
      <c r="K252" s="11" t="n">
        <v>122.87</v>
      </c>
      <c r="L252" s="11" t="n">
        <v>154.528</v>
      </c>
      <c r="M252" s="11" t="n">
        <f aca="false">SUM(G252:L252)</f>
        <v>534.508</v>
      </c>
      <c r="N252" s="11" t="n">
        <v>12.63</v>
      </c>
      <c r="O252" s="11" t="n">
        <v>21.874</v>
      </c>
      <c r="P252" s="11" t="n">
        <v>18.135</v>
      </c>
      <c r="Q252" s="11" t="n">
        <v>16.155</v>
      </c>
      <c r="R252" s="11" t="n">
        <v>39.965</v>
      </c>
      <c r="S252" s="11" t="n">
        <v>47.829</v>
      </c>
      <c r="T252" s="11" t="n">
        <f aca="false">SUM(N252:S252)</f>
        <v>156.588</v>
      </c>
      <c r="U252" s="11" t="n">
        <v>55.88</v>
      </c>
      <c r="V252" s="11" t="n">
        <v>68.75</v>
      </c>
      <c r="W252" s="11" t="n">
        <v>59.93</v>
      </c>
      <c r="X252" s="11" t="n">
        <v>28.45</v>
      </c>
      <c r="Y252" s="11" t="n">
        <v>62.2</v>
      </c>
      <c r="Z252" s="11" t="n">
        <v>141.02</v>
      </c>
      <c r="AA252" s="11" t="n">
        <f aca="false">SUM(U252:Z252)</f>
        <v>416.23</v>
      </c>
      <c r="AB252" s="11" t="n">
        <v>14.6</v>
      </c>
      <c r="AC252" s="11" t="n">
        <v>19.23</v>
      </c>
      <c r="AD252" s="11" t="n">
        <v>16.28</v>
      </c>
      <c r="AE252" s="11" t="n">
        <v>8.25</v>
      </c>
      <c r="AF252" s="11" t="n">
        <v>16.14</v>
      </c>
      <c r="AG252" s="11" t="n">
        <v>44.415</v>
      </c>
      <c r="AH252" s="11" t="n">
        <f aca="false">SUM(AB252:AG252)</f>
        <v>118.915</v>
      </c>
    </row>
    <row r="253" customFormat="false" ht="15" hidden="false" customHeight="false" outlineLevel="2" collapsed="false">
      <c r="A253" s="8" t="s">
        <v>1784</v>
      </c>
      <c r="B253" s="12" t="s">
        <v>1785</v>
      </c>
      <c r="C253" s="8" t="s">
        <v>1750</v>
      </c>
      <c r="D253" s="12" t="s">
        <v>1751</v>
      </c>
      <c r="E253" s="16"/>
      <c r="F253" s="9" t="str">
        <f aca="false">IF($E253="","",IFERROR(INDEX(担当者マスタ!$B$2:$B$101,MATCH($E253,担当者マスタ!$A$2:$A$101,0)),"※マスタ未登録"))</f>
        <v/>
      </c>
      <c r="G253" s="11" t="n">
        <v>117.81</v>
      </c>
      <c r="H253" s="11" t="n">
        <v>67.7</v>
      </c>
      <c r="I253" s="11" t="n">
        <v>109.56</v>
      </c>
      <c r="J253" s="11" t="n">
        <v>67.155</v>
      </c>
      <c r="K253" s="11" t="n">
        <v>107.01</v>
      </c>
      <c r="L253" s="11" t="n">
        <v>84.055</v>
      </c>
      <c r="M253" s="11" t="n">
        <f aca="false">SUM(G253:L253)</f>
        <v>553.29</v>
      </c>
      <c r="N253" s="11" t="n">
        <v>39.999</v>
      </c>
      <c r="O253" s="11" t="n">
        <v>24.32</v>
      </c>
      <c r="P253" s="11" t="n">
        <v>36.178</v>
      </c>
      <c r="Q253" s="11" t="n">
        <v>23.598</v>
      </c>
      <c r="R253" s="11" t="n">
        <v>38.275</v>
      </c>
      <c r="S253" s="11" t="n">
        <v>30.312</v>
      </c>
      <c r="T253" s="11" t="n">
        <f aca="false">SUM(N253:S253)</f>
        <v>192.682</v>
      </c>
      <c r="U253" s="11" t="n">
        <v>127.785</v>
      </c>
      <c r="V253" s="11" t="n">
        <v>76.745</v>
      </c>
      <c r="W253" s="11" t="n">
        <v>151.855</v>
      </c>
      <c r="X253" s="11" t="n">
        <v>63.26</v>
      </c>
      <c r="Y253" s="11" t="n">
        <v>108.825</v>
      </c>
      <c r="Z253" s="11" t="n">
        <v>111.45</v>
      </c>
      <c r="AA253" s="11" t="n">
        <f aca="false">SUM(U253:Z253)</f>
        <v>639.92</v>
      </c>
      <c r="AB253" s="11" t="n">
        <v>43.325</v>
      </c>
      <c r="AC253" s="11" t="n">
        <v>24.838</v>
      </c>
      <c r="AD253" s="11" t="n">
        <v>46.625</v>
      </c>
      <c r="AE253" s="11" t="n">
        <v>18.266</v>
      </c>
      <c r="AF253" s="11" t="n">
        <v>36.936</v>
      </c>
      <c r="AG253" s="11" t="n">
        <v>37.193</v>
      </c>
      <c r="AH253" s="11" t="n">
        <f aca="false">SUM(AB253:AG253)</f>
        <v>207.183</v>
      </c>
    </row>
    <row r="254" customFormat="false" ht="15" hidden="false" customHeight="false" outlineLevel="2" collapsed="false">
      <c r="A254" s="8" t="s">
        <v>1786</v>
      </c>
      <c r="B254" s="12" t="s">
        <v>1787</v>
      </c>
      <c r="C254" s="8" t="s">
        <v>1750</v>
      </c>
      <c r="D254" s="12" t="s">
        <v>1751</v>
      </c>
      <c r="E254" s="16"/>
      <c r="F254" s="9" t="str">
        <f aca="false">IF($E254="","",IFERROR(INDEX(担当者マスタ!$B$2:$B$101,MATCH($E254,担当者マスタ!$A$2:$A$101,0)),"※マスタ未登録"))</f>
        <v/>
      </c>
      <c r="G254" s="11" t="n">
        <v>274.9</v>
      </c>
      <c r="H254" s="11" t="n">
        <v>407.42</v>
      </c>
      <c r="I254" s="11" t="n">
        <v>186.32</v>
      </c>
      <c r="J254" s="11" t="n">
        <v>1014.04</v>
      </c>
      <c r="K254" s="11" t="n">
        <v>210.815</v>
      </c>
      <c r="L254" s="11" t="n">
        <v>263.57</v>
      </c>
      <c r="M254" s="11" t="n">
        <f aca="false">SUM(G254:L254)</f>
        <v>2357.065</v>
      </c>
      <c r="N254" s="11" t="n">
        <v>39.54</v>
      </c>
      <c r="O254" s="11" t="n">
        <v>58.38</v>
      </c>
      <c r="P254" s="11" t="n">
        <v>26.64</v>
      </c>
      <c r="Q254" s="11" t="n">
        <v>190.81</v>
      </c>
      <c r="R254" s="11" t="n">
        <v>33.625</v>
      </c>
      <c r="S254" s="11" t="n">
        <v>41.94</v>
      </c>
      <c r="T254" s="11" t="n">
        <f aca="false">SUM(N254:S254)</f>
        <v>390.935</v>
      </c>
      <c r="U254" s="11" t="n">
        <v>348.4</v>
      </c>
      <c r="V254" s="11" t="n">
        <v>303.115</v>
      </c>
      <c r="W254" s="11" t="n">
        <v>340.24</v>
      </c>
      <c r="X254" s="11" t="n">
        <v>382.58</v>
      </c>
      <c r="Y254" s="11" t="n">
        <v>310.38</v>
      </c>
      <c r="Z254" s="11" t="n">
        <v>307.6</v>
      </c>
      <c r="AA254" s="11" t="n">
        <f aca="false">SUM(U254:Z254)</f>
        <v>1992.315</v>
      </c>
      <c r="AB254" s="11" t="n">
        <v>54.04</v>
      </c>
      <c r="AC254" s="11" t="n">
        <v>47.045</v>
      </c>
      <c r="AD254" s="11" t="n">
        <v>52.72</v>
      </c>
      <c r="AE254" s="11" t="n">
        <v>62.6</v>
      </c>
      <c r="AF254" s="11" t="n">
        <v>50.4</v>
      </c>
      <c r="AG254" s="11" t="n">
        <v>47.44</v>
      </c>
      <c r="AH254" s="11" t="n">
        <f aca="false">SUM(AB254:AG254)</f>
        <v>314.245</v>
      </c>
    </row>
    <row r="255" customFormat="false" ht="15" hidden="false" customHeight="false" outlineLevel="2" collapsed="false">
      <c r="A255" s="8" t="s">
        <v>1788</v>
      </c>
      <c r="B255" s="12" t="s">
        <v>1789</v>
      </c>
      <c r="C255" s="8" t="s">
        <v>1750</v>
      </c>
      <c r="D255" s="12" t="s">
        <v>1751</v>
      </c>
      <c r="E255" s="16"/>
      <c r="F255" s="9" t="str">
        <f aca="false">IF($E255="","",IFERROR(INDEX(担当者マスタ!$B$2:$B$101,MATCH($E255,担当者マスタ!$A$2:$A$101,0)),"※マスタ未登録"))</f>
        <v/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12.12</v>
      </c>
      <c r="L255" s="11" t="n">
        <v>0</v>
      </c>
      <c r="M255" s="11" t="n">
        <f aca="false">SUM(G255:L255)</f>
        <v>12.12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2.52</v>
      </c>
      <c r="S255" s="11" t="n">
        <v>0</v>
      </c>
      <c r="T255" s="11" t="n">
        <f aca="false">SUM(N255:S255)</f>
        <v>2.52</v>
      </c>
      <c r="U255" s="11" t="n">
        <v>12.12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f aca="false">SUM(U255:Z255)</f>
        <v>12.12</v>
      </c>
      <c r="AB255" s="11" t="n">
        <v>2.52</v>
      </c>
      <c r="AC255" s="11" t="n">
        <v>0</v>
      </c>
      <c r="AD255" s="11" t="n">
        <v>0</v>
      </c>
      <c r="AE255" s="11" t="n">
        <v>0</v>
      </c>
      <c r="AF255" s="11" t="n">
        <v>0</v>
      </c>
      <c r="AG255" s="11" t="n">
        <v>0</v>
      </c>
      <c r="AH255" s="11" t="n">
        <f aca="false">SUM(AB255:AG255)</f>
        <v>2.52</v>
      </c>
    </row>
    <row r="256" customFormat="false" ht="15" hidden="false" customHeight="false" outlineLevel="2" collapsed="false">
      <c r="A256" s="8" t="s">
        <v>1790</v>
      </c>
      <c r="B256" s="12" t="s">
        <v>1791</v>
      </c>
      <c r="C256" s="8" t="s">
        <v>1750</v>
      </c>
      <c r="D256" s="12" t="s">
        <v>1751</v>
      </c>
      <c r="E256" s="16"/>
      <c r="F256" s="9" t="str">
        <f aca="false">IF($E256="","",IFERROR(INDEX(担当者マスタ!$B$2:$B$101,MATCH($E256,担当者マスタ!$A$2:$A$101,0)),"※マスタ未登録"))</f>
        <v/>
      </c>
      <c r="G256" s="11" t="n">
        <v>2796.419</v>
      </c>
      <c r="H256" s="11" t="n">
        <v>2656.071</v>
      </c>
      <c r="I256" s="11" t="n">
        <v>2000.086</v>
      </c>
      <c r="J256" s="11" t="n">
        <v>1744.706</v>
      </c>
      <c r="K256" s="11" t="n">
        <v>1234.484</v>
      </c>
      <c r="L256" s="11" t="n">
        <v>1543.167</v>
      </c>
      <c r="M256" s="11" t="n">
        <f aca="false">SUM(G256:L256)</f>
        <v>11974.933</v>
      </c>
      <c r="N256" s="11" t="n">
        <v>500.458</v>
      </c>
      <c r="O256" s="11" t="n">
        <v>538.704</v>
      </c>
      <c r="P256" s="11" t="n">
        <v>386.719</v>
      </c>
      <c r="Q256" s="11" t="n">
        <v>335.533</v>
      </c>
      <c r="R256" s="11" t="n">
        <v>256.621</v>
      </c>
      <c r="S256" s="11" t="n">
        <v>323.43</v>
      </c>
      <c r="T256" s="11" t="n">
        <f aca="false">SUM(N256:S256)</f>
        <v>2341.465</v>
      </c>
      <c r="U256" s="11" t="n">
        <v>2726.543</v>
      </c>
      <c r="V256" s="11" t="n">
        <v>1710.19</v>
      </c>
      <c r="W256" s="11" t="n">
        <v>2335.069</v>
      </c>
      <c r="X256" s="11" t="n">
        <v>1378.09</v>
      </c>
      <c r="Y256" s="11" t="n">
        <v>2116.256</v>
      </c>
      <c r="Z256" s="11" t="n">
        <v>1679.986</v>
      </c>
      <c r="AA256" s="11" t="n">
        <f aca="false">SUM(U256:Z256)</f>
        <v>11946.134</v>
      </c>
      <c r="AB256" s="11" t="n">
        <v>490.847</v>
      </c>
      <c r="AC256" s="11" t="n">
        <v>336.952</v>
      </c>
      <c r="AD256" s="11" t="n">
        <v>505.982</v>
      </c>
      <c r="AE256" s="11" t="n">
        <v>267.31</v>
      </c>
      <c r="AF256" s="11" t="n">
        <v>428.184</v>
      </c>
      <c r="AG256" s="11" t="n">
        <v>345.295</v>
      </c>
      <c r="AH256" s="11" t="n">
        <f aca="false">SUM(AB256:AG256)</f>
        <v>2374.57</v>
      </c>
    </row>
    <row r="257" customFormat="false" ht="15" hidden="false" customHeight="false" outlineLevel="2" collapsed="false">
      <c r="A257" s="8" t="s">
        <v>1792</v>
      </c>
      <c r="B257" s="9" t="s">
        <v>1793</v>
      </c>
      <c r="C257" s="8" t="s">
        <v>1750</v>
      </c>
      <c r="D257" s="12" t="s">
        <v>1751</v>
      </c>
      <c r="E257" s="16"/>
      <c r="F257" s="9" t="str">
        <f aca="false">IF($E257="","",IFERROR(INDEX(担当者マスタ!$B$2:$B$101,MATCH($E257,担当者マスタ!$A$2:$A$101,0)),"※マスタ未登録"))</f>
        <v/>
      </c>
      <c r="G257" s="11" t="n">
        <v>14.6</v>
      </c>
      <c r="H257" s="11" t="n">
        <v>66.617</v>
      </c>
      <c r="I257" s="11" t="n">
        <v>123.93</v>
      </c>
      <c r="J257" s="11" t="n">
        <v>4.1</v>
      </c>
      <c r="K257" s="11" t="n">
        <v>12</v>
      </c>
      <c r="L257" s="11" t="n">
        <v>2.6</v>
      </c>
      <c r="M257" s="11" t="n">
        <f aca="false">SUM(G257:L257)</f>
        <v>223.847</v>
      </c>
      <c r="N257" s="11" t="n">
        <v>3.41</v>
      </c>
      <c r="O257" s="11" t="n">
        <v>16.266</v>
      </c>
      <c r="P257" s="11" t="n">
        <v>32.549</v>
      </c>
      <c r="Q257" s="11" t="n">
        <v>1.53</v>
      </c>
      <c r="R257" s="11" t="n">
        <v>2.76</v>
      </c>
      <c r="S257" s="11" t="n">
        <v>0.77</v>
      </c>
      <c r="T257" s="11" t="n">
        <f aca="false">SUM(N257:S257)</f>
        <v>57.285</v>
      </c>
      <c r="U257" s="11" t="n">
        <v>84.402</v>
      </c>
      <c r="V257" s="11" t="n">
        <v>44.075</v>
      </c>
      <c r="W257" s="11" t="n">
        <v>71.78</v>
      </c>
      <c r="X257" s="11" t="n">
        <v>21.33</v>
      </c>
      <c r="Y257" s="11" t="n">
        <v>2.6</v>
      </c>
      <c r="Z257" s="11" t="n">
        <v>73.3</v>
      </c>
      <c r="AA257" s="11" t="n">
        <f aca="false">SUM(U257:Z257)</f>
        <v>297.487</v>
      </c>
      <c r="AB257" s="11" t="n">
        <v>19.004</v>
      </c>
      <c r="AC257" s="11" t="n">
        <v>13.98</v>
      </c>
      <c r="AD257" s="11" t="n">
        <v>17.328</v>
      </c>
      <c r="AE257" s="11" t="n">
        <v>4.239</v>
      </c>
      <c r="AF257" s="11" t="n">
        <v>0.77</v>
      </c>
      <c r="AG257" s="11" t="n">
        <v>18.62</v>
      </c>
      <c r="AH257" s="11" t="n">
        <f aca="false">SUM(AB257:AG257)</f>
        <v>73.941</v>
      </c>
    </row>
    <row r="258" customFormat="false" ht="15" hidden="false" customHeight="false" outlineLevel="2" collapsed="false">
      <c r="A258" s="8" t="s">
        <v>1794</v>
      </c>
      <c r="B258" s="9" t="s">
        <v>1795</v>
      </c>
      <c r="C258" s="8" t="s">
        <v>1750</v>
      </c>
      <c r="D258" s="12" t="s">
        <v>1751</v>
      </c>
      <c r="E258" s="16"/>
      <c r="F258" s="9" t="str">
        <f aca="false">IF($E258="","",IFERROR(INDEX(担当者マスタ!$B$2:$B$101,MATCH($E258,担当者マスタ!$A$2:$A$101,0)),"※マスタ未登録"))</f>
        <v/>
      </c>
      <c r="G258" s="11" t="n">
        <v>6.2</v>
      </c>
      <c r="H258" s="11" t="n">
        <v>0</v>
      </c>
      <c r="I258" s="11" t="n">
        <v>4.45</v>
      </c>
      <c r="J258" s="11" t="n">
        <v>0</v>
      </c>
      <c r="K258" s="11" t="n">
        <v>0</v>
      </c>
      <c r="L258" s="11" t="n">
        <v>12.284</v>
      </c>
      <c r="M258" s="11" t="n">
        <f aca="false">SUM(G258:L258)</f>
        <v>22.934</v>
      </c>
      <c r="N258" s="11" t="n">
        <v>1.51</v>
      </c>
      <c r="O258" s="11" t="n">
        <v>0</v>
      </c>
      <c r="P258" s="11" t="n">
        <v>1.07</v>
      </c>
      <c r="Q258" s="11" t="n">
        <v>0</v>
      </c>
      <c r="R258" s="11" t="n">
        <v>0</v>
      </c>
      <c r="S258" s="11" t="n">
        <v>3.19</v>
      </c>
      <c r="T258" s="11" t="n">
        <f aca="false">SUM(N258:S258)</f>
        <v>5.77</v>
      </c>
      <c r="U258" s="11" t="n">
        <v>137.7</v>
      </c>
      <c r="V258" s="11" t="n">
        <v>0</v>
      </c>
      <c r="W258" s="11" t="n">
        <v>11.433</v>
      </c>
      <c r="X258" s="11" t="n">
        <v>0</v>
      </c>
      <c r="Y258" s="11" t="n">
        <v>0</v>
      </c>
      <c r="Z258" s="11" t="n">
        <v>7.25</v>
      </c>
      <c r="AA258" s="11" t="n">
        <f aca="false">SUM(U258:Z258)</f>
        <v>156.383</v>
      </c>
      <c r="AB258" s="11" t="n">
        <v>15.7</v>
      </c>
      <c r="AC258" s="11" t="n">
        <v>0</v>
      </c>
      <c r="AD258" s="11" t="n">
        <v>3.189</v>
      </c>
      <c r="AE258" s="11" t="n">
        <v>0</v>
      </c>
      <c r="AF258" s="11" t="n">
        <v>0</v>
      </c>
      <c r="AG258" s="11" t="n">
        <v>2.045</v>
      </c>
      <c r="AH258" s="11" t="n">
        <f aca="false">SUM(AB258:AG258)</f>
        <v>20.934</v>
      </c>
    </row>
    <row r="259" customFormat="false" ht="15" hidden="false" customHeight="false" outlineLevel="2" collapsed="false">
      <c r="A259" s="8" t="s">
        <v>1796</v>
      </c>
      <c r="B259" s="12" t="s">
        <v>1797</v>
      </c>
      <c r="C259" s="8" t="s">
        <v>1750</v>
      </c>
      <c r="D259" s="12" t="s">
        <v>1751</v>
      </c>
      <c r="E259" s="16"/>
      <c r="F259" s="9" t="str">
        <f aca="false">IF($E259="","",IFERROR(INDEX(担当者マスタ!$B$2:$B$101,MATCH($E259,担当者マスタ!$A$2:$A$101,0)),"※マスタ未登録"))</f>
        <v/>
      </c>
      <c r="G259" s="11" t="n">
        <v>218.099</v>
      </c>
      <c r="H259" s="11" t="n">
        <v>191.049</v>
      </c>
      <c r="I259" s="11" t="n">
        <v>112.906</v>
      </c>
      <c r="J259" s="11" t="n">
        <v>104.896</v>
      </c>
      <c r="K259" s="11" t="n">
        <v>47.194</v>
      </c>
      <c r="L259" s="11" t="n">
        <v>85.985</v>
      </c>
      <c r="M259" s="11" t="n">
        <f aca="false">SUM(G259:L259)</f>
        <v>760.129</v>
      </c>
      <c r="N259" s="11" t="n">
        <v>65.546</v>
      </c>
      <c r="O259" s="11" t="n">
        <v>52.257</v>
      </c>
      <c r="P259" s="11" t="n">
        <v>30.298</v>
      </c>
      <c r="Q259" s="11" t="n">
        <v>30.17</v>
      </c>
      <c r="R259" s="11" t="n">
        <v>12.567</v>
      </c>
      <c r="S259" s="11" t="n">
        <v>25.471</v>
      </c>
      <c r="T259" s="11" t="n">
        <f aca="false">SUM(N259:S259)</f>
        <v>216.309</v>
      </c>
      <c r="U259" s="11" t="n">
        <v>184.666</v>
      </c>
      <c r="V259" s="11" t="n">
        <v>222.072</v>
      </c>
      <c r="W259" s="11" t="n">
        <v>33.84</v>
      </c>
      <c r="X259" s="11" t="n">
        <v>58.645</v>
      </c>
      <c r="Y259" s="11" t="n">
        <v>22.03</v>
      </c>
      <c r="Z259" s="11" t="n">
        <v>59.72</v>
      </c>
      <c r="AA259" s="11" t="n">
        <f aca="false">SUM(U259:Z259)</f>
        <v>580.973</v>
      </c>
      <c r="AB259" s="11" t="n">
        <v>48.977</v>
      </c>
      <c r="AC259" s="11" t="n">
        <v>61.684</v>
      </c>
      <c r="AD259" s="11" t="n">
        <v>9.749</v>
      </c>
      <c r="AE259" s="11" t="n">
        <v>16.475</v>
      </c>
      <c r="AF259" s="11" t="n">
        <v>5.14</v>
      </c>
      <c r="AG259" s="11" t="n">
        <v>17.806</v>
      </c>
      <c r="AH259" s="11" t="n">
        <f aca="false">SUM(AB259:AG259)</f>
        <v>159.831</v>
      </c>
    </row>
    <row r="260" customFormat="false" ht="15" hidden="false" customHeight="false" outlineLevel="2" collapsed="false">
      <c r="A260" s="8" t="s">
        <v>1798</v>
      </c>
      <c r="B260" s="12" t="s">
        <v>1799</v>
      </c>
      <c r="C260" s="8" t="s">
        <v>1750</v>
      </c>
      <c r="D260" s="12" t="s">
        <v>1751</v>
      </c>
      <c r="E260" s="16"/>
      <c r="F260" s="9" t="str">
        <f aca="false">IF($E260="","",IFERROR(INDEX(担当者マスタ!$B$2:$B$101,MATCH($E260,担当者マスタ!$A$2:$A$101,0)),"※マスタ未登録"))</f>
        <v/>
      </c>
      <c r="G260" s="11" t="n">
        <v>30.9</v>
      </c>
      <c r="H260" s="11" t="n">
        <v>92.68</v>
      </c>
      <c r="I260" s="11" t="n">
        <v>165.22</v>
      </c>
      <c r="J260" s="11" t="n">
        <v>99.53</v>
      </c>
      <c r="K260" s="11" t="n">
        <v>180.43</v>
      </c>
      <c r="L260" s="11" t="n">
        <v>203.18</v>
      </c>
      <c r="M260" s="11" t="n">
        <f aca="false">SUM(G260:L260)</f>
        <v>771.94</v>
      </c>
      <c r="N260" s="11" t="n">
        <v>8.088</v>
      </c>
      <c r="O260" s="11" t="n">
        <v>23.524</v>
      </c>
      <c r="P260" s="11" t="n">
        <v>42.009</v>
      </c>
      <c r="Q260" s="11" t="n">
        <v>24.09</v>
      </c>
      <c r="R260" s="11" t="n">
        <v>43.864</v>
      </c>
      <c r="S260" s="11" t="n">
        <v>48.52</v>
      </c>
      <c r="T260" s="11" t="n">
        <f aca="false">SUM(N260:S260)</f>
        <v>190.095</v>
      </c>
      <c r="U260" s="11" t="n">
        <v>100.29</v>
      </c>
      <c r="V260" s="11" t="n">
        <v>115.24</v>
      </c>
      <c r="W260" s="11" t="n">
        <v>192.36</v>
      </c>
      <c r="X260" s="11" t="n">
        <v>49.74</v>
      </c>
      <c r="Y260" s="11" t="n">
        <v>205.67</v>
      </c>
      <c r="Z260" s="11" t="n">
        <v>278.58</v>
      </c>
      <c r="AA260" s="11" t="n">
        <f aca="false">SUM(U260:Z260)</f>
        <v>941.88</v>
      </c>
      <c r="AB260" s="11" t="n">
        <v>23.725</v>
      </c>
      <c r="AC260" s="11" t="n">
        <v>27.32</v>
      </c>
      <c r="AD260" s="11" t="n">
        <v>52.53</v>
      </c>
      <c r="AE260" s="11" t="n">
        <v>11.82</v>
      </c>
      <c r="AF260" s="11" t="n">
        <v>50.89</v>
      </c>
      <c r="AG260" s="11" t="n">
        <v>64.26</v>
      </c>
      <c r="AH260" s="11" t="n">
        <f aca="false">SUM(AB260:AG260)</f>
        <v>230.545</v>
      </c>
    </row>
    <row r="261" customFormat="false" ht="15" hidden="false" customHeight="false" outlineLevel="2" collapsed="false">
      <c r="A261" s="8" t="s">
        <v>1800</v>
      </c>
      <c r="B261" s="9" t="s">
        <v>1801</v>
      </c>
      <c r="C261" s="8" t="s">
        <v>1750</v>
      </c>
      <c r="D261" s="12" t="s">
        <v>1751</v>
      </c>
      <c r="E261" s="16"/>
      <c r="F261" s="9" t="str">
        <f aca="false">IF($E261="","",IFERROR(INDEX(担当者マスタ!$B$2:$B$101,MATCH($E261,担当者マスタ!$A$2:$A$101,0)),"※マスタ未登録"))</f>
        <v/>
      </c>
      <c r="G261" s="11" t="n">
        <v>6.3</v>
      </c>
      <c r="H261" s="11" t="n">
        <v>0</v>
      </c>
      <c r="I261" s="11" t="n">
        <v>0</v>
      </c>
      <c r="J261" s="11" t="n">
        <v>15.3</v>
      </c>
      <c r="K261" s="11" t="n">
        <v>0</v>
      </c>
      <c r="L261" s="11" t="n">
        <v>0</v>
      </c>
      <c r="M261" s="11" t="n">
        <f aca="false">SUM(G261:L261)</f>
        <v>21.6</v>
      </c>
      <c r="N261" s="11" t="n">
        <v>1.5</v>
      </c>
      <c r="O261" s="11" t="n">
        <v>0</v>
      </c>
      <c r="P261" s="11" t="n">
        <v>0</v>
      </c>
      <c r="Q261" s="11" t="n">
        <v>3.9</v>
      </c>
      <c r="R261" s="11" t="n">
        <v>0</v>
      </c>
      <c r="S261" s="11" t="n">
        <v>0</v>
      </c>
      <c r="T261" s="11" t="n">
        <f aca="false">SUM(N261:S261)</f>
        <v>5.4</v>
      </c>
      <c r="U261" s="11" t="n">
        <v>0</v>
      </c>
      <c r="V261" s="11" t="n">
        <v>0</v>
      </c>
      <c r="W261" s="11" t="n">
        <v>35.1</v>
      </c>
      <c r="X261" s="11" t="n">
        <v>0</v>
      </c>
      <c r="Y261" s="11" t="n">
        <v>0</v>
      </c>
      <c r="Z261" s="11" t="n">
        <v>0</v>
      </c>
      <c r="AA261" s="11" t="n">
        <f aca="false">SUM(U261:Z261)</f>
        <v>35.1</v>
      </c>
      <c r="AB261" s="11" t="n">
        <v>0</v>
      </c>
      <c r="AC261" s="11" t="n">
        <v>0</v>
      </c>
      <c r="AD261" s="11" t="n">
        <v>8.654</v>
      </c>
      <c r="AE261" s="11" t="n">
        <v>0</v>
      </c>
      <c r="AF261" s="11" t="n">
        <v>0</v>
      </c>
      <c r="AG261" s="11" t="n">
        <v>0</v>
      </c>
      <c r="AH261" s="11" t="n">
        <f aca="false">SUM(AB261:AG261)</f>
        <v>8.654</v>
      </c>
    </row>
    <row r="262" customFormat="false" ht="15" hidden="false" customHeight="false" outlineLevel="2" collapsed="false">
      <c r="A262" s="8" t="s">
        <v>1802</v>
      </c>
      <c r="B262" s="9" t="s">
        <v>1803</v>
      </c>
      <c r="C262" s="8" t="s">
        <v>1750</v>
      </c>
      <c r="D262" s="12" t="s">
        <v>1751</v>
      </c>
      <c r="E262" s="16"/>
      <c r="F262" s="9" t="str">
        <f aca="false">IF($E262="","",IFERROR(INDEX(担当者マスタ!$B$2:$B$101,MATCH($E262,担当者マスタ!$A$2:$A$101,0)),"※マスタ未登録"))</f>
        <v/>
      </c>
      <c r="G262" s="11" t="n">
        <v>7.02</v>
      </c>
      <c r="H262" s="11" t="n">
        <v>95.775</v>
      </c>
      <c r="I262" s="11" t="n">
        <v>73.202</v>
      </c>
      <c r="J262" s="11" t="n">
        <v>20.14</v>
      </c>
      <c r="K262" s="11" t="n">
        <v>0</v>
      </c>
      <c r="L262" s="11" t="n">
        <v>63.84</v>
      </c>
      <c r="M262" s="11" t="n">
        <f aca="false">SUM(G262:L262)</f>
        <v>259.977</v>
      </c>
      <c r="N262" s="11" t="n">
        <v>1.64</v>
      </c>
      <c r="O262" s="11" t="n">
        <v>23.261</v>
      </c>
      <c r="P262" s="11" t="n">
        <v>14.323</v>
      </c>
      <c r="Q262" s="11" t="n">
        <v>5</v>
      </c>
      <c r="R262" s="11" t="n">
        <v>0</v>
      </c>
      <c r="S262" s="11" t="n">
        <v>15.256</v>
      </c>
      <c r="T262" s="11" t="n">
        <f aca="false">SUM(N262:S262)</f>
        <v>59.48</v>
      </c>
      <c r="U262" s="11" t="n">
        <v>81.501</v>
      </c>
      <c r="V262" s="11" t="n">
        <v>75.505</v>
      </c>
      <c r="W262" s="11" t="n">
        <v>21.05</v>
      </c>
      <c r="X262" s="11" t="n">
        <v>7.03</v>
      </c>
      <c r="Y262" s="11" t="n">
        <v>0</v>
      </c>
      <c r="Z262" s="11" t="n">
        <v>79.545</v>
      </c>
      <c r="AA262" s="11" t="n">
        <f aca="false">SUM(U262:Z262)</f>
        <v>264.631</v>
      </c>
      <c r="AB262" s="11" t="n">
        <v>23.378</v>
      </c>
      <c r="AC262" s="11" t="n">
        <v>17.886</v>
      </c>
      <c r="AD262" s="11" t="n">
        <v>4.861</v>
      </c>
      <c r="AE262" s="11" t="n">
        <v>1.882</v>
      </c>
      <c r="AF262" s="11" t="n">
        <v>0</v>
      </c>
      <c r="AG262" s="11" t="n">
        <v>18.961</v>
      </c>
      <c r="AH262" s="11" t="n">
        <f aca="false">SUM(AB262:AG262)</f>
        <v>66.968</v>
      </c>
    </row>
    <row r="263" customFormat="false" ht="15" hidden="false" customHeight="false" outlineLevel="2" collapsed="false">
      <c r="A263" s="8" t="s">
        <v>1804</v>
      </c>
      <c r="B263" s="9" t="s">
        <v>1805</v>
      </c>
      <c r="C263" s="8" t="s">
        <v>1750</v>
      </c>
      <c r="D263" s="12" t="s">
        <v>1751</v>
      </c>
      <c r="E263" s="16"/>
      <c r="F263" s="9" t="str">
        <f aca="false">IF($E263="","",IFERROR(INDEX(担当者マスタ!$B$2:$B$101,MATCH($E263,担当者マスタ!$A$2:$A$101,0)),"※マスタ未登録"))</f>
        <v/>
      </c>
      <c r="G263" s="11" t="n">
        <v>603.322</v>
      </c>
      <c r="H263" s="11" t="n">
        <v>874.203</v>
      </c>
      <c r="I263" s="11" t="n">
        <v>914.596</v>
      </c>
      <c r="J263" s="11" t="n">
        <v>708.856</v>
      </c>
      <c r="K263" s="11" t="n">
        <v>403.188</v>
      </c>
      <c r="L263" s="11" t="n">
        <v>471.905</v>
      </c>
      <c r="M263" s="11" t="n">
        <f aca="false">SUM(G263:L263)</f>
        <v>3976.07</v>
      </c>
      <c r="N263" s="11" t="n">
        <v>47.04</v>
      </c>
      <c r="O263" s="11" t="n">
        <v>67.563</v>
      </c>
      <c r="P263" s="11" t="n">
        <v>75.004</v>
      </c>
      <c r="Q263" s="11" t="n">
        <v>86.635</v>
      </c>
      <c r="R263" s="11" t="n">
        <v>22.816</v>
      </c>
      <c r="S263" s="11" t="n">
        <v>49.307</v>
      </c>
      <c r="T263" s="11" t="n">
        <f aca="false">SUM(N263:S263)</f>
        <v>348.365</v>
      </c>
      <c r="U263" s="11" t="n">
        <v>867.513</v>
      </c>
      <c r="V263" s="11" t="n">
        <v>747.416</v>
      </c>
      <c r="W263" s="11" t="n">
        <v>689.305</v>
      </c>
      <c r="X263" s="11" t="n">
        <v>415.084</v>
      </c>
      <c r="Y263" s="11" t="n">
        <v>766.19</v>
      </c>
      <c r="Z263" s="11" t="n">
        <v>442.841</v>
      </c>
      <c r="AA263" s="11" t="n">
        <f aca="false">SUM(U263:Z263)</f>
        <v>3928.349</v>
      </c>
      <c r="AB263" s="11" t="n">
        <v>66.704</v>
      </c>
      <c r="AC263" s="11" t="n">
        <v>59.184</v>
      </c>
      <c r="AD263" s="11" t="n">
        <v>65.573</v>
      </c>
      <c r="AE263" s="11" t="n">
        <v>34.41</v>
      </c>
      <c r="AF263" s="11" t="n">
        <v>48.074</v>
      </c>
      <c r="AG263" s="11" t="n">
        <v>34.562</v>
      </c>
      <c r="AH263" s="11" t="n">
        <f aca="false">SUM(AB263:AG263)</f>
        <v>308.507</v>
      </c>
    </row>
    <row r="264" customFormat="false" ht="15" hidden="false" customHeight="false" outlineLevel="2" collapsed="false">
      <c r="A264" s="8" t="s">
        <v>1806</v>
      </c>
      <c r="B264" s="9" t="s">
        <v>1807</v>
      </c>
      <c r="C264" s="8" t="s">
        <v>1750</v>
      </c>
      <c r="D264" s="12" t="s">
        <v>1751</v>
      </c>
      <c r="E264" s="16"/>
      <c r="F264" s="9" t="str">
        <f aca="false">IF($E264="","",IFERROR(INDEX(担当者マスタ!$B$2:$B$101,MATCH($E264,担当者マスタ!$A$2:$A$101,0)),"※マスタ未登録"))</f>
        <v/>
      </c>
      <c r="G264" s="11" t="n">
        <v>17.5</v>
      </c>
      <c r="H264" s="11" t="n">
        <v>0</v>
      </c>
      <c r="I264" s="11" t="n">
        <v>61.66</v>
      </c>
      <c r="J264" s="11" t="n">
        <v>37.23</v>
      </c>
      <c r="K264" s="11" t="n">
        <v>3.05</v>
      </c>
      <c r="L264" s="11" t="n">
        <v>30.6</v>
      </c>
      <c r="M264" s="11" t="n">
        <f aca="false">SUM(G264:L264)</f>
        <v>150.04</v>
      </c>
      <c r="N264" s="11" t="n">
        <v>4.53</v>
      </c>
      <c r="O264" s="11" t="n">
        <v>0</v>
      </c>
      <c r="P264" s="11" t="n">
        <v>16.327</v>
      </c>
      <c r="Q264" s="11" t="n">
        <v>9.725</v>
      </c>
      <c r="R264" s="11" t="n">
        <v>0.47</v>
      </c>
      <c r="S264" s="11" t="n">
        <v>8.05</v>
      </c>
      <c r="T264" s="11" t="n">
        <f aca="false">SUM(N264:S264)</f>
        <v>39.102</v>
      </c>
      <c r="U264" s="11" t="n">
        <v>0</v>
      </c>
      <c r="V264" s="11" t="n">
        <v>0</v>
      </c>
      <c r="W264" s="11" t="n">
        <v>53.9</v>
      </c>
      <c r="X264" s="11" t="n">
        <v>23.85</v>
      </c>
      <c r="Y264" s="11" t="n">
        <v>0</v>
      </c>
      <c r="Z264" s="11" t="n">
        <v>0</v>
      </c>
      <c r="AA264" s="11" t="n">
        <f aca="false">SUM(U264:Z264)</f>
        <v>77.75</v>
      </c>
      <c r="AB264" s="11" t="n">
        <v>0</v>
      </c>
      <c r="AC264" s="11" t="n">
        <v>0</v>
      </c>
      <c r="AD264" s="11" t="n">
        <v>13.4</v>
      </c>
      <c r="AE264" s="11" t="n">
        <v>5.906</v>
      </c>
      <c r="AF264" s="11" t="n">
        <v>0</v>
      </c>
      <c r="AG264" s="11" t="n">
        <v>0</v>
      </c>
      <c r="AH264" s="11" t="n">
        <f aca="false">SUM(AB264:AG264)</f>
        <v>19.306</v>
      </c>
    </row>
    <row r="265" customFormat="false" ht="15" hidden="false" customHeight="false" outlineLevel="2" collapsed="false">
      <c r="A265" s="8" t="s">
        <v>1808</v>
      </c>
      <c r="B265" s="9" t="s">
        <v>1809</v>
      </c>
      <c r="C265" s="8" t="s">
        <v>1750</v>
      </c>
      <c r="D265" s="12" t="s">
        <v>1751</v>
      </c>
      <c r="E265" s="16"/>
      <c r="F265" s="9" t="str">
        <f aca="false">IF($E265="","",IFERROR(INDEX(担当者マスタ!$B$2:$B$101,MATCH($E265,担当者マスタ!$A$2:$A$101,0)),"※マスタ未登録"))</f>
        <v/>
      </c>
      <c r="G265" s="11" t="n">
        <v>19.8</v>
      </c>
      <c r="H265" s="11" t="n">
        <v>19.8</v>
      </c>
      <c r="I265" s="11" t="n">
        <v>0</v>
      </c>
      <c r="J265" s="11" t="n">
        <v>19.8</v>
      </c>
      <c r="K265" s="11" t="n">
        <v>0</v>
      </c>
      <c r="L265" s="11" t="n">
        <v>0</v>
      </c>
      <c r="M265" s="11" t="n">
        <f aca="false">SUM(G265:L265)</f>
        <v>59.4</v>
      </c>
      <c r="N265" s="11" t="n">
        <v>3.55</v>
      </c>
      <c r="O265" s="11" t="n">
        <v>3.55</v>
      </c>
      <c r="P265" s="11" t="n">
        <v>0</v>
      </c>
      <c r="Q265" s="11" t="n">
        <v>3.55</v>
      </c>
      <c r="R265" s="11" t="n">
        <v>0</v>
      </c>
      <c r="S265" s="11" t="n">
        <v>0</v>
      </c>
      <c r="T265" s="11" t="n">
        <f aca="false">SUM(N265:S265)</f>
        <v>10.65</v>
      </c>
      <c r="U265" s="11" t="n">
        <v>0</v>
      </c>
      <c r="V265" s="11" t="n">
        <v>0</v>
      </c>
      <c r="W265" s="11" t="n">
        <v>19.8</v>
      </c>
      <c r="X265" s="11" t="n">
        <v>0</v>
      </c>
      <c r="Y265" s="11" t="n">
        <v>96.8</v>
      </c>
      <c r="Z265" s="11" t="n">
        <v>22.2</v>
      </c>
      <c r="AA265" s="11" t="n">
        <f aca="false">SUM(U265:Z265)</f>
        <v>138.8</v>
      </c>
      <c r="AB265" s="11" t="n">
        <v>0</v>
      </c>
      <c r="AC265" s="11" t="n">
        <v>0</v>
      </c>
      <c r="AD265" s="11" t="n">
        <v>3.55</v>
      </c>
      <c r="AE265" s="11" t="n">
        <v>0</v>
      </c>
      <c r="AF265" s="11" t="n">
        <v>19.8</v>
      </c>
      <c r="AG265" s="11" t="n">
        <v>4.45</v>
      </c>
      <c r="AH265" s="11" t="n">
        <f aca="false">SUM(AB265:AG265)</f>
        <v>27.8</v>
      </c>
    </row>
    <row r="266" customFormat="false" ht="15" hidden="false" customHeight="false" outlineLevel="2" collapsed="false">
      <c r="A266" s="8" t="s">
        <v>1810</v>
      </c>
      <c r="B266" s="12" t="s">
        <v>1811</v>
      </c>
      <c r="C266" s="8" t="s">
        <v>1750</v>
      </c>
      <c r="D266" s="12" t="s">
        <v>1751</v>
      </c>
      <c r="E266" s="16"/>
      <c r="F266" s="9" t="str">
        <f aca="false">IF($E266="","",IFERROR(INDEX(担当者マスタ!$B$2:$B$101,MATCH($E266,担当者マスタ!$A$2:$A$101,0)),"※マスタ未登録"))</f>
        <v/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f aca="false">SUM(G266:L266)</f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f aca="false">SUM(N266:S266)</f>
        <v>0</v>
      </c>
      <c r="U266" s="11" t="n">
        <v>0</v>
      </c>
      <c r="V266" s="11" t="n">
        <v>27.1</v>
      </c>
      <c r="W266" s="11" t="n">
        <v>0</v>
      </c>
      <c r="X266" s="11" t="n">
        <v>0</v>
      </c>
      <c r="Y266" s="11" t="n">
        <v>0</v>
      </c>
      <c r="Z266" s="11" t="n">
        <v>0</v>
      </c>
      <c r="AA266" s="11" t="n">
        <f aca="false">SUM(U266:Z266)</f>
        <v>27.1</v>
      </c>
      <c r="AB266" s="11" t="n">
        <v>0</v>
      </c>
      <c r="AC266" s="11" t="n">
        <v>6.75</v>
      </c>
      <c r="AD266" s="11" t="n">
        <v>0</v>
      </c>
      <c r="AE266" s="11" t="n">
        <v>0</v>
      </c>
      <c r="AF266" s="11" t="n">
        <v>0</v>
      </c>
      <c r="AG266" s="11" t="n">
        <v>0</v>
      </c>
      <c r="AH266" s="11" t="n">
        <f aca="false">SUM(AB266:AG266)</f>
        <v>6.75</v>
      </c>
    </row>
    <row r="267" customFormat="false" ht="15" hidden="false" customHeight="false" outlineLevel="2" collapsed="false">
      <c r="A267" s="8" t="s">
        <v>1812</v>
      </c>
      <c r="B267" s="12" t="s">
        <v>1813</v>
      </c>
      <c r="C267" s="8" t="s">
        <v>1750</v>
      </c>
      <c r="D267" s="12" t="s">
        <v>1751</v>
      </c>
      <c r="E267" s="16"/>
      <c r="F267" s="9" t="str">
        <f aca="false">IF($E267="","",IFERROR(INDEX(担当者マスタ!$B$2:$B$101,MATCH($E267,担当者マスタ!$A$2:$A$101,0)),"※マスタ未登録"))</f>
        <v/>
      </c>
      <c r="G267" s="11" t="n">
        <v>10.9</v>
      </c>
      <c r="H267" s="11" t="n">
        <v>28.08</v>
      </c>
      <c r="I267" s="11" t="n">
        <v>17.55</v>
      </c>
      <c r="J267" s="11" t="n">
        <v>14.31</v>
      </c>
      <c r="K267" s="11" t="n">
        <v>2.1</v>
      </c>
      <c r="L267" s="11" t="n">
        <v>15.26</v>
      </c>
      <c r="M267" s="11" t="n">
        <f aca="false">SUM(G267:L267)</f>
        <v>88.2</v>
      </c>
      <c r="N267" s="11" t="n">
        <v>3.045</v>
      </c>
      <c r="O267" s="11" t="n">
        <v>8.01</v>
      </c>
      <c r="P267" s="11" t="n">
        <v>4.81</v>
      </c>
      <c r="Q267" s="11" t="n">
        <v>4.68</v>
      </c>
      <c r="R267" s="11" t="n">
        <v>0.51</v>
      </c>
      <c r="S267" s="11" t="n">
        <v>4.9</v>
      </c>
      <c r="T267" s="11" t="n">
        <f aca="false">SUM(N267:S267)</f>
        <v>25.955</v>
      </c>
      <c r="U267" s="11" t="n">
        <v>15.975</v>
      </c>
      <c r="V267" s="11" t="n">
        <v>18.797</v>
      </c>
      <c r="W267" s="11" t="n">
        <v>15.605</v>
      </c>
      <c r="X267" s="11" t="n">
        <v>16.21</v>
      </c>
      <c r="Y267" s="11" t="n">
        <v>25.36</v>
      </c>
      <c r="Z267" s="11" t="n">
        <v>17.407</v>
      </c>
      <c r="AA267" s="11" t="n">
        <f aca="false">SUM(U267:Z267)</f>
        <v>109.354</v>
      </c>
      <c r="AB267" s="11" t="n">
        <v>4.505</v>
      </c>
      <c r="AC267" s="11" t="n">
        <v>5.31</v>
      </c>
      <c r="AD267" s="11" t="n">
        <v>4.405</v>
      </c>
      <c r="AE267" s="11" t="n">
        <v>4.575</v>
      </c>
      <c r="AF267" s="11" t="n">
        <v>7.555</v>
      </c>
      <c r="AG267" s="11" t="n">
        <v>5.222</v>
      </c>
      <c r="AH267" s="11" t="n">
        <f aca="false">SUM(AB267:AG267)</f>
        <v>31.572</v>
      </c>
    </row>
    <row r="268" customFormat="false" ht="15" hidden="false" customHeight="false" outlineLevel="2" collapsed="false">
      <c r="A268" s="8" t="s">
        <v>1814</v>
      </c>
      <c r="B268" s="9" t="s">
        <v>1815</v>
      </c>
      <c r="C268" s="8" t="s">
        <v>1750</v>
      </c>
      <c r="D268" s="12" t="s">
        <v>1751</v>
      </c>
      <c r="E268" s="16"/>
      <c r="F268" s="9" t="str">
        <f aca="false">IF($E268="","",IFERROR(INDEX(担当者マスタ!$B$2:$B$101,MATCH($E268,担当者マスタ!$A$2:$A$101,0)),"※マスタ未登録"))</f>
        <v/>
      </c>
      <c r="G268" s="11" t="n">
        <v>64.155</v>
      </c>
      <c r="H268" s="11" t="n">
        <v>62.03</v>
      </c>
      <c r="I268" s="11" t="n">
        <v>100.155</v>
      </c>
      <c r="J268" s="11" t="n">
        <v>47.275</v>
      </c>
      <c r="K268" s="11" t="n">
        <v>32.235</v>
      </c>
      <c r="L268" s="11" t="n">
        <v>123.935</v>
      </c>
      <c r="M268" s="11" t="n">
        <f aca="false">SUM(G268:L268)</f>
        <v>429.785</v>
      </c>
      <c r="N268" s="11" t="n">
        <v>18.559</v>
      </c>
      <c r="O268" s="11" t="n">
        <v>23.967</v>
      </c>
      <c r="P268" s="11" t="n">
        <v>28.762</v>
      </c>
      <c r="Q268" s="11" t="n">
        <v>15.898</v>
      </c>
      <c r="R268" s="11" t="n">
        <v>9.463</v>
      </c>
      <c r="S268" s="11" t="n">
        <v>36.421</v>
      </c>
      <c r="T268" s="11" t="n">
        <f aca="false">SUM(N268:S268)</f>
        <v>133.07</v>
      </c>
      <c r="U268" s="11" t="n">
        <v>109.265</v>
      </c>
      <c r="V268" s="11" t="n">
        <v>63.74</v>
      </c>
      <c r="W268" s="11" t="n">
        <v>99.3</v>
      </c>
      <c r="X268" s="11" t="n">
        <v>56.73</v>
      </c>
      <c r="Y268" s="11" t="n">
        <v>96.825</v>
      </c>
      <c r="Z268" s="11" t="n">
        <v>11.175</v>
      </c>
      <c r="AA268" s="11" t="n">
        <f aca="false">SUM(U268:Z268)</f>
        <v>437.035</v>
      </c>
      <c r="AB268" s="11" t="n">
        <v>34.554</v>
      </c>
      <c r="AC268" s="11" t="n">
        <v>20.735</v>
      </c>
      <c r="AD268" s="11" t="n">
        <v>33.569</v>
      </c>
      <c r="AE268" s="11" t="n">
        <v>18.576</v>
      </c>
      <c r="AF268" s="11" t="n">
        <v>34.498</v>
      </c>
      <c r="AG268" s="11" t="n">
        <v>2.91</v>
      </c>
      <c r="AH268" s="11" t="n">
        <f aca="false">SUM(AB268:AG268)</f>
        <v>144.842</v>
      </c>
    </row>
    <row r="269" customFormat="false" ht="15" hidden="false" customHeight="false" outlineLevel="2" collapsed="false">
      <c r="A269" s="8" t="s">
        <v>1816</v>
      </c>
      <c r="B269" s="12" t="s">
        <v>1817</v>
      </c>
      <c r="C269" s="8" t="s">
        <v>1750</v>
      </c>
      <c r="D269" s="12" t="s">
        <v>1751</v>
      </c>
      <c r="E269" s="16"/>
      <c r="F269" s="9" t="str">
        <f aca="false">IF($E269="","",IFERROR(INDEX(担当者マスタ!$B$2:$B$101,MATCH($E269,担当者マスタ!$A$2:$A$101,0)),"※マスタ未登録"))</f>
        <v/>
      </c>
      <c r="G269" s="11" t="n">
        <v>8.92</v>
      </c>
      <c r="H269" s="11" t="n">
        <v>0</v>
      </c>
      <c r="I269" s="11" t="n">
        <v>8.92</v>
      </c>
      <c r="J269" s="11" t="n">
        <v>29.4</v>
      </c>
      <c r="K269" s="11" t="n">
        <v>0</v>
      </c>
      <c r="L269" s="11" t="n">
        <v>0</v>
      </c>
      <c r="M269" s="11" t="n">
        <f aca="false">SUM(G269:L269)</f>
        <v>47.24</v>
      </c>
      <c r="N269" s="11" t="n">
        <v>2.3</v>
      </c>
      <c r="O269" s="11" t="n">
        <v>0</v>
      </c>
      <c r="P269" s="11" t="n">
        <v>1.8</v>
      </c>
      <c r="Q269" s="11" t="n">
        <v>6.28</v>
      </c>
      <c r="R269" s="11" t="n">
        <v>0</v>
      </c>
      <c r="S269" s="11" t="n">
        <v>0</v>
      </c>
      <c r="T269" s="11" t="n">
        <f aca="false">SUM(N269:S269)</f>
        <v>10.38</v>
      </c>
      <c r="U269" s="11" t="n">
        <v>8.92</v>
      </c>
      <c r="V269" s="11" t="n">
        <v>0</v>
      </c>
      <c r="W269" s="11" t="n">
        <v>38.32</v>
      </c>
      <c r="X269" s="11" t="n">
        <v>0</v>
      </c>
      <c r="Y269" s="11" t="n">
        <v>8.92</v>
      </c>
      <c r="Z269" s="11" t="n">
        <v>0</v>
      </c>
      <c r="AA269" s="11" t="n">
        <f aca="false">SUM(U269:Z269)</f>
        <v>56.16</v>
      </c>
      <c r="AB269" s="11" t="n">
        <v>1.8</v>
      </c>
      <c r="AC269" s="11" t="n">
        <v>0</v>
      </c>
      <c r="AD269" s="11" t="n">
        <v>8.08</v>
      </c>
      <c r="AE269" s="11" t="n">
        <v>0</v>
      </c>
      <c r="AF269" s="11" t="n">
        <v>1.8</v>
      </c>
      <c r="AG269" s="11" t="n">
        <v>0</v>
      </c>
      <c r="AH269" s="11" t="n">
        <f aca="false">SUM(AB269:AG269)</f>
        <v>11.68</v>
      </c>
    </row>
    <row r="270" customFormat="false" ht="15" hidden="false" customHeight="false" outlineLevel="2" collapsed="false">
      <c r="A270" s="8" t="s">
        <v>1818</v>
      </c>
      <c r="B270" s="12" t="s">
        <v>1819</v>
      </c>
      <c r="C270" s="8" t="s">
        <v>1750</v>
      </c>
      <c r="D270" s="12" t="s">
        <v>1751</v>
      </c>
      <c r="E270" s="16"/>
      <c r="F270" s="9" t="str">
        <f aca="false">IF($E270="","",IFERROR(INDEX(担当者マスタ!$B$2:$B$101,MATCH($E270,担当者マスタ!$A$2:$A$101,0)),"※マスタ未登録"))</f>
        <v/>
      </c>
      <c r="G270" s="11" t="n">
        <v>17.21</v>
      </c>
      <c r="H270" s="11" t="n">
        <v>9.22</v>
      </c>
      <c r="I270" s="11" t="n">
        <v>0</v>
      </c>
      <c r="J270" s="11" t="n">
        <v>9.114</v>
      </c>
      <c r="K270" s="11" t="n">
        <v>4.34</v>
      </c>
      <c r="L270" s="11" t="n">
        <v>40.97</v>
      </c>
      <c r="M270" s="11" t="n">
        <f aca="false">SUM(G270:L270)</f>
        <v>80.854</v>
      </c>
      <c r="N270" s="11" t="n">
        <v>2.854</v>
      </c>
      <c r="O270" s="11" t="n">
        <v>1.718</v>
      </c>
      <c r="P270" s="11" t="n">
        <v>0</v>
      </c>
      <c r="Q270" s="11" t="n">
        <v>1.472</v>
      </c>
      <c r="R270" s="11" t="n">
        <v>0.55</v>
      </c>
      <c r="S270" s="11" t="n">
        <v>7.138</v>
      </c>
      <c r="T270" s="11" t="n">
        <f aca="false">SUM(N270:S270)</f>
        <v>13.732</v>
      </c>
      <c r="U270" s="11" t="n">
        <v>75.14</v>
      </c>
      <c r="V270" s="11" t="n">
        <v>7.31</v>
      </c>
      <c r="W270" s="11" t="n">
        <v>35.19</v>
      </c>
      <c r="X270" s="11" t="n">
        <v>14.04</v>
      </c>
      <c r="Y270" s="11" t="n">
        <v>4.485</v>
      </c>
      <c r="Z270" s="11" t="n">
        <v>14.04</v>
      </c>
      <c r="AA270" s="11" t="n">
        <f aca="false">SUM(U270:Z270)</f>
        <v>150.205</v>
      </c>
      <c r="AB270" s="11" t="n">
        <v>22.804</v>
      </c>
      <c r="AC270" s="11" t="n">
        <v>1.324</v>
      </c>
      <c r="AD270" s="11" t="n">
        <v>10.597</v>
      </c>
      <c r="AE270" s="11" t="n">
        <v>2.556</v>
      </c>
      <c r="AF270" s="11" t="n">
        <v>0.722</v>
      </c>
      <c r="AG270" s="11" t="n">
        <v>2.556</v>
      </c>
      <c r="AH270" s="11" t="n">
        <f aca="false">SUM(AB270:AG270)</f>
        <v>40.559</v>
      </c>
    </row>
    <row r="271" customFormat="false" ht="15" hidden="false" customHeight="false" outlineLevel="2" collapsed="false">
      <c r="A271" s="8" t="s">
        <v>1820</v>
      </c>
      <c r="B271" s="12" t="s">
        <v>1821</v>
      </c>
      <c r="C271" s="8" t="s">
        <v>1750</v>
      </c>
      <c r="D271" s="12" t="s">
        <v>1751</v>
      </c>
      <c r="E271" s="16"/>
      <c r="F271" s="9" t="str">
        <f aca="false">IF($E271="","",IFERROR(INDEX(担当者マスタ!$B$2:$B$101,MATCH($E271,担当者マスタ!$A$2:$A$101,0)),"※マスタ未登録"))</f>
        <v/>
      </c>
      <c r="G271" s="11" t="n">
        <v>0</v>
      </c>
      <c r="H271" s="11" t="n">
        <v>57.6</v>
      </c>
      <c r="I271" s="11" t="n">
        <v>91.005</v>
      </c>
      <c r="J271" s="11" t="n">
        <v>78.8</v>
      </c>
      <c r="K271" s="11" t="n">
        <v>124.48</v>
      </c>
      <c r="L271" s="11" t="n">
        <v>68.075</v>
      </c>
      <c r="M271" s="11" t="n">
        <f aca="false">SUM(G271:L271)</f>
        <v>419.96</v>
      </c>
      <c r="N271" s="11" t="n">
        <v>0</v>
      </c>
      <c r="O271" s="11" t="n">
        <v>9.96</v>
      </c>
      <c r="P271" s="11" t="n">
        <v>15.315</v>
      </c>
      <c r="Q271" s="11" t="n">
        <v>16.12</v>
      </c>
      <c r="R271" s="11" t="n">
        <v>25.08</v>
      </c>
      <c r="S271" s="11" t="n">
        <v>13.635</v>
      </c>
      <c r="T271" s="11" t="n">
        <f aca="false">SUM(N271:S271)</f>
        <v>80.11</v>
      </c>
      <c r="U271" s="11" t="n">
        <v>74</v>
      </c>
      <c r="V271" s="11" t="n">
        <v>83.2</v>
      </c>
      <c r="W271" s="11" t="n">
        <v>41.6</v>
      </c>
      <c r="X271" s="11" t="n">
        <v>121.845</v>
      </c>
      <c r="Y271" s="11" t="n">
        <v>4.62</v>
      </c>
      <c r="Z271" s="11" t="n">
        <v>41.6</v>
      </c>
      <c r="AA271" s="11" t="n">
        <f aca="false">SUM(U271:Z271)</f>
        <v>366.865</v>
      </c>
      <c r="AB271" s="11" t="n">
        <v>17.6</v>
      </c>
      <c r="AC271" s="11" t="n">
        <v>20</v>
      </c>
      <c r="AD271" s="11" t="n">
        <v>10</v>
      </c>
      <c r="AE271" s="11" t="n">
        <v>28.9</v>
      </c>
      <c r="AF271" s="11" t="n">
        <v>0.88</v>
      </c>
      <c r="AG271" s="11" t="n">
        <v>10</v>
      </c>
      <c r="AH271" s="11" t="n">
        <f aca="false">SUM(AB271:AG271)</f>
        <v>87.38</v>
      </c>
    </row>
    <row r="272" customFormat="false" ht="15" hidden="false" customHeight="false" outlineLevel="2" collapsed="false">
      <c r="A272" s="8" t="s">
        <v>1822</v>
      </c>
      <c r="B272" s="12" t="s">
        <v>1823</v>
      </c>
      <c r="C272" s="8" t="s">
        <v>1750</v>
      </c>
      <c r="D272" s="12" t="s">
        <v>1751</v>
      </c>
      <c r="E272" s="16"/>
      <c r="F272" s="9" t="str">
        <f aca="false">IF($E272="","",IFERROR(INDEX(担当者マスタ!$B$2:$B$101,MATCH($E272,担当者マスタ!$A$2:$A$101,0)),"※マスタ未登録"))</f>
        <v/>
      </c>
      <c r="G272" s="11" t="n">
        <v>138.54</v>
      </c>
      <c r="H272" s="11" t="n">
        <v>465.389</v>
      </c>
      <c r="I272" s="11" t="n">
        <v>497.036</v>
      </c>
      <c r="J272" s="11" t="n">
        <v>96.931</v>
      </c>
      <c r="K272" s="11" t="n">
        <v>160.956</v>
      </c>
      <c r="L272" s="11" t="n">
        <v>119.018</v>
      </c>
      <c r="M272" s="11" t="n">
        <f aca="false">SUM(G272:L272)</f>
        <v>1477.87</v>
      </c>
      <c r="N272" s="11" t="n">
        <v>25.2</v>
      </c>
      <c r="O272" s="11" t="n">
        <v>85.458</v>
      </c>
      <c r="P272" s="11" t="n">
        <v>83.967</v>
      </c>
      <c r="Q272" s="11" t="n">
        <v>17.664</v>
      </c>
      <c r="R272" s="11" t="n">
        <v>29.232</v>
      </c>
      <c r="S272" s="11" t="n">
        <v>21.711</v>
      </c>
      <c r="T272" s="11" t="n">
        <f aca="false">SUM(N272:S272)</f>
        <v>263.232</v>
      </c>
      <c r="U272" s="11" t="n">
        <v>177.346</v>
      </c>
      <c r="V272" s="11" t="n">
        <v>411.66</v>
      </c>
      <c r="W272" s="11" t="n">
        <v>220.101</v>
      </c>
      <c r="X272" s="11" t="n">
        <v>135.093</v>
      </c>
      <c r="Y272" s="11" t="n">
        <v>21.3</v>
      </c>
      <c r="Z272" s="11" t="n">
        <v>510.334</v>
      </c>
      <c r="AA272" s="11" t="n">
        <f aca="false">SUM(U272:Z272)</f>
        <v>1475.834</v>
      </c>
      <c r="AB272" s="11" t="n">
        <v>37.416</v>
      </c>
      <c r="AC272" s="11" t="n">
        <v>75.3</v>
      </c>
      <c r="AD272" s="11" t="n">
        <v>36.641</v>
      </c>
      <c r="AE272" s="11" t="n">
        <v>24.607</v>
      </c>
      <c r="AF272" s="11" t="n">
        <v>4</v>
      </c>
      <c r="AG272" s="11" t="n">
        <v>93.138</v>
      </c>
      <c r="AH272" s="11" t="n">
        <f aca="false">SUM(AB272:AG272)</f>
        <v>271.102</v>
      </c>
    </row>
    <row r="273" customFormat="false" ht="15" hidden="false" customHeight="false" outlineLevel="2" collapsed="false">
      <c r="A273" s="8" t="s">
        <v>1824</v>
      </c>
      <c r="B273" s="12" t="s">
        <v>1825</v>
      </c>
      <c r="C273" s="8" t="s">
        <v>1750</v>
      </c>
      <c r="D273" s="12" t="s">
        <v>1751</v>
      </c>
      <c r="E273" s="16"/>
      <c r="F273" s="9" t="str">
        <f aca="false">IF($E273="","",IFERROR(INDEX(担当者マスタ!$B$2:$B$101,MATCH($E273,担当者マスタ!$A$2:$A$101,0)),"※マスタ未登録"))</f>
        <v/>
      </c>
      <c r="G273" s="11" t="n">
        <v>0</v>
      </c>
      <c r="H273" s="11" t="n">
        <v>7.59</v>
      </c>
      <c r="I273" s="11" t="n">
        <v>3.84</v>
      </c>
      <c r="J273" s="11" t="n">
        <v>0</v>
      </c>
      <c r="K273" s="11" t="n">
        <v>0</v>
      </c>
      <c r="L273" s="11" t="n">
        <v>0</v>
      </c>
      <c r="M273" s="11" t="n">
        <f aca="false">SUM(G273:L273)</f>
        <v>11.43</v>
      </c>
      <c r="N273" s="11" t="n">
        <v>0</v>
      </c>
      <c r="O273" s="11" t="n">
        <v>2.106</v>
      </c>
      <c r="P273" s="11" t="n">
        <v>1.056</v>
      </c>
      <c r="Q273" s="11" t="n">
        <v>0</v>
      </c>
      <c r="R273" s="11" t="n">
        <v>0</v>
      </c>
      <c r="S273" s="11" t="n">
        <v>0</v>
      </c>
      <c r="T273" s="11" t="n">
        <f aca="false">SUM(N273:S273)</f>
        <v>3.162</v>
      </c>
      <c r="U273" s="11" t="n">
        <v>0</v>
      </c>
      <c r="V273" s="11" t="n">
        <v>1.92</v>
      </c>
      <c r="W273" s="11" t="n">
        <v>7.59</v>
      </c>
      <c r="X273" s="11" t="n">
        <v>0</v>
      </c>
      <c r="Y273" s="11" t="n">
        <v>0</v>
      </c>
      <c r="Z273" s="11" t="n">
        <v>0</v>
      </c>
      <c r="AA273" s="11" t="n">
        <f aca="false">SUM(U273:Z273)</f>
        <v>9.51</v>
      </c>
      <c r="AB273" s="11" t="n">
        <v>0</v>
      </c>
      <c r="AC273" s="11" t="n">
        <v>0.384</v>
      </c>
      <c r="AD273" s="11" t="n">
        <v>1.518</v>
      </c>
      <c r="AE273" s="11" t="n">
        <v>0</v>
      </c>
      <c r="AF273" s="11" t="n">
        <v>0</v>
      </c>
      <c r="AG273" s="11" t="n">
        <v>0</v>
      </c>
      <c r="AH273" s="11" t="n">
        <f aca="false">SUM(AB273:AG273)</f>
        <v>1.902</v>
      </c>
    </row>
    <row r="274" customFormat="false" ht="15" hidden="false" customHeight="false" outlineLevel="2" collapsed="false">
      <c r="A274" s="8" t="s">
        <v>1826</v>
      </c>
      <c r="B274" s="12" t="s">
        <v>1827</v>
      </c>
      <c r="C274" s="8" t="s">
        <v>1750</v>
      </c>
      <c r="D274" s="12" t="s">
        <v>1751</v>
      </c>
      <c r="E274" s="16"/>
      <c r="F274" s="9" t="str">
        <f aca="false">IF($E274="","",IFERROR(INDEX(担当者マスタ!$B$2:$B$101,MATCH($E274,担当者マスタ!$A$2:$A$101,0)),"※マスタ未登録"))</f>
        <v/>
      </c>
      <c r="G274" s="11" t="n">
        <v>0</v>
      </c>
      <c r="H274" s="11" t="n">
        <v>32.2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f aca="false">SUM(G274:L274)</f>
        <v>32.2</v>
      </c>
      <c r="N274" s="11" t="n">
        <v>0</v>
      </c>
      <c r="O274" s="11" t="n">
        <v>9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f aca="false">SUM(N274:S274)</f>
        <v>9</v>
      </c>
      <c r="U274" s="11" t="n">
        <v>32.2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f aca="false">SUM(U274:Z274)</f>
        <v>32.2</v>
      </c>
      <c r="AB274" s="11" t="n">
        <v>9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0</v>
      </c>
      <c r="AH274" s="11" t="n">
        <f aca="false">SUM(AB274:AG274)</f>
        <v>9</v>
      </c>
    </row>
    <row r="275" customFormat="false" ht="15" hidden="false" customHeight="false" outlineLevel="1" collapsed="false">
      <c r="A275" s="19"/>
      <c r="B275" s="19"/>
      <c r="C275" s="17" t="s">
        <v>1953</v>
      </c>
      <c r="D275" s="19" t="s">
        <v>1751</v>
      </c>
      <c r="E275" s="19"/>
      <c r="F275" s="19"/>
      <c r="G275" s="18" t="n">
        <f aca="false">SUBTOTAL(9,G236:G274)</f>
        <v>10257.846</v>
      </c>
      <c r="H275" s="18" t="n">
        <f aca="false">SUBTOTAL(9,H236:H274)</f>
        <v>12303.023</v>
      </c>
      <c r="I275" s="18" t="n">
        <f aca="false">SUBTOTAL(9,I236:I274)</f>
        <v>12024.997</v>
      </c>
      <c r="J275" s="18" t="n">
        <f aca="false">SUBTOTAL(9,J236:J274)</f>
        <v>19783.714</v>
      </c>
      <c r="K275" s="18" t="n">
        <f aca="false">SUBTOTAL(9,K236:K274)</f>
        <v>25367.002</v>
      </c>
      <c r="L275" s="18" t="n">
        <f aca="false">SUBTOTAL(9,L236:L274)</f>
        <v>7484.858</v>
      </c>
      <c r="M275" s="18" t="n">
        <f aca="false">SUBTOTAL(9,M236:M274)</f>
        <v>87221.44</v>
      </c>
      <c r="N275" s="18" t="n">
        <f aca="false">SUBTOTAL(9,N236:N274)</f>
        <v>1754.088</v>
      </c>
      <c r="O275" s="18" t="n">
        <f aca="false">SUBTOTAL(9,O236:O274)</f>
        <v>2275.691</v>
      </c>
      <c r="P275" s="18" t="n">
        <f aca="false">SUBTOTAL(9,P236:P274)</f>
        <v>2054.44</v>
      </c>
      <c r="Q275" s="18" t="n">
        <f aca="false">SUBTOTAL(9,Q236:Q274)</f>
        <v>3624.362</v>
      </c>
      <c r="R275" s="18" t="n">
        <f aca="false">SUBTOTAL(9,R236:R274)</f>
        <v>5347.133</v>
      </c>
      <c r="S275" s="18" t="n">
        <f aca="false">SUBTOTAL(9,S236:S274)</f>
        <v>1401.038</v>
      </c>
      <c r="T275" s="18" t="n">
        <f aca="false">SUBTOTAL(9,T236:T274)</f>
        <v>16456.752</v>
      </c>
      <c r="U275" s="18" t="n">
        <f aca="false">SUBTOTAL(9,U236:U274)</f>
        <v>13599.843</v>
      </c>
      <c r="V275" s="18" t="n">
        <f aca="false">SUBTOTAL(9,V236:V274)</f>
        <v>22640.059</v>
      </c>
      <c r="W275" s="18" t="n">
        <f aca="false">SUBTOTAL(9,W236:W274)</f>
        <v>14098.642</v>
      </c>
      <c r="X275" s="18" t="n">
        <f aca="false">SUBTOTAL(9,X236:X274)</f>
        <v>8178.259</v>
      </c>
      <c r="Y275" s="18" t="n">
        <f aca="false">SUBTOTAL(9,Y236:Y274)</f>
        <v>8925.199</v>
      </c>
      <c r="Z275" s="18" t="n">
        <f aca="false">SUBTOTAL(9,Z236:Z274)</f>
        <v>10135.734</v>
      </c>
      <c r="AA275" s="18" t="n">
        <f aca="false">SUBTOTAL(9,AA236:AA274)</f>
        <v>77577.736</v>
      </c>
      <c r="AB275" s="18" t="n">
        <f aca="false">SUBTOTAL(9,AB236:AB274)</f>
        <v>2200.633</v>
      </c>
      <c r="AC275" s="18" t="n">
        <f aca="false">SUBTOTAL(9,AC236:AC274)</f>
        <v>3991.338</v>
      </c>
      <c r="AD275" s="18" t="n">
        <f aca="false">SUBTOTAL(9,AD236:AD274)</f>
        <v>2258.541</v>
      </c>
      <c r="AE275" s="18" t="n">
        <f aca="false">SUBTOTAL(9,AE236:AE274)</f>
        <v>1292.902</v>
      </c>
      <c r="AF275" s="18" t="n">
        <f aca="false">SUBTOTAL(9,AF236:AF274)</f>
        <v>1489.411</v>
      </c>
      <c r="AG275" s="18" t="n">
        <f aca="false">SUBTOTAL(9,AG236:AG274)</f>
        <v>1654.782</v>
      </c>
      <c r="AH275" s="18" t="n">
        <f aca="false">SUBTOTAL(9,AH236:AH274)</f>
        <v>12887.607</v>
      </c>
    </row>
    <row r="276" customFormat="false" ht="15" hidden="false" customHeight="false" outlineLevel="2" collapsed="false">
      <c r="A276" s="8" t="s">
        <v>1828</v>
      </c>
      <c r="B276" s="12" t="s">
        <v>1829</v>
      </c>
      <c r="C276" s="8" t="s">
        <v>1830</v>
      </c>
      <c r="D276" s="12" t="s">
        <v>1831</v>
      </c>
      <c r="E276" s="16"/>
      <c r="F276" s="9" t="str">
        <f aca="false">IF($E276="","",IFERROR(INDEX(担当者マスタ!$B$2:$B$101,MATCH($E276,担当者マスタ!$A$2:$A$101,0)),"※マスタ未登録"))</f>
        <v/>
      </c>
      <c r="G276" s="11" t="n">
        <v>14.51</v>
      </c>
      <c r="H276" s="11" t="n">
        <v>34.3</v>
      </c>
      <c r="I276" s="11" t="n">
        <v>8.7</v>
      </c>
      <c r="J276" s="11" t="n">
        <v>5.3</v>
      </c>
      <c r="K276" s="11" t="n">
        <v>36.5</v>
      </c>
      <c r="L276" s="11" t="n">
        <v>5.3</v>
      </c>
      <c r="M276" s="11" t="n">
        <f aca="false">SUM(G276:L276)</f>
        <v>104.61</v>
      </c>
      <c r="N276" s="11" t="n">
        <v>5.895</v>
      </c>
      <c r="O276" s="11" t="n">
        <v>7.39</v>
      </c>
      <c r="P276" s="11" t="n">
        <v>3.424</v>
      </c>
      <c r="Q276" s="11" t="n">
        <v>2.75</v>
      </c>
      <c r="R276" s="11" t="n">
        <v>6.5</v>
      </c>
      <c r="S276" s="11" t="n">
        <v>2.75</v>
      </c>
      <c r="T276" s="11" t="n">
        <f aca="false">SUM(N276:S276)</f>
        <v>28.709</v>
      </c>
      <c r="U276" s="11" t="n">
        <v>10.31</v>
      </c>
      <c r="V276" s="11" t="n">
        <v>98.54</v>
      </c>
      <c r="W276" s="11" t="n">
        <v>0</v>
      </c>
      <c r="X276" s="11" t="n">
        <v>1.96</v>
      </c>
      <c r="Y276" s="11" t="n">
        <v>38.5</v>
      </c>
      <c r="Z276" s="11" t="n">
        <v>0</v>
      </c>
      <c r="AA276" s="11" t="n">
        <f aca="false">SUM(U276:Z276)</f>
        <v>149.31</v>
      </c>
      <c r="AB276" s="11" t="n">
        <v>4.86</v>
      </c>
      <c r="AC276" s="11" t="n">
        <v>16.686</v>
      </c>
      <c r="AD276" s="11" t="n">
        <v>0</v>
      </c>
      <c r="AE276" s="11" t="n">
        <v>0.52</v>
      </c>
      <c r="AF276" s="11" t="n">
        <v>8.785</v>
      </c>
      <c r="AG276" s="11" t="n">
        <v>0</v>
      </c>
      <c r="AH276" s="11" t="n">
        <f aca="false">SUM(AB276:AG276)</f>
        <v>30.851</v>
      </c>
    </row>
    <row r="277" customFormat="false" ht="15" hidden="false" customHeight="false" outlineLevel="2" collapsed="false">
      <c r="A277" s="8" t="s">
        <v>1832</v>
      </c>
      <c r="B277" s="12" t="s">
        <v>1833</v>
      </c>
      <c r="C277" s="8" t="s">
        <v>1830</v>
      </c>
      <c r="D277" s="12" t="s">
        <v>1831</v>
      </c>
      <c r="E277" s="16"/>
      <c r="F277" s="9" t="str">
        <f aca="false">IF($E277="","",IFERROR(INDEX(担当者マスタ!$B$2:$B$101,MATCH($E277,担当者マスタ!$A$2:$A$101,0)),"※マスタ未登録"))</f>
        <v/>
      </c>
      <c r="G277" s="11" t="n">
        <v>21.08</v>
      </c>
      <c r="H277" s="11" t="n">
        <v>4.2</v>
      </c>
      <c r="I277" s="11" t="n">
        <v>100.2</v>
      </c>
      <c r="J277" s="11" t="n">
        <v>0</v>
      </c>
      <c r="K277" s="11" t="n">
        <v>0</v>
      </c>
      <c r="L277" s="11" t="n">
        <v>61.445</v>
      </c>
      <c r="M277" s="11" t="n">
        <f aca="false">SUM(G277:L277)</f>
        <v>186.925</v>
      </c>
      <c r="N277" s="11" t="n">
        <v>5.2</v>
      </c>
      <c r="O277" s="11" t="n">
        <v>1.89</v>
      </c>
      <c r="P277" s="11" t="n">
        <v>25.82</v>
      </c>
      <c r="Q277" s="11" t="n">
        <v>0</v>
      </c>
      <c r="R277" s="11" t="n">
        <v>0</v>
      </c>
      <c r="S277" s="11" t="n">
        <v>18.945</v>
      </c>
      <c r="T277" s="11" t="n">
        <f aca="false">SUM(N277:S277)</f>
        <v>51.855</v>
      </c>
      <c r="U277" s="11" t="n">
        <v>12.145</v>
      </c>
      <c r="V277" s="11" t="n">
        <v>13.5</v>
      </c>
      <c r="W277" s="11" t="n">
        <v>73.8</v>
      </c>
      <c r="X277" s="11" t="n">
        <v>0</v>
      </c>
      <c r="Y277" s="11" t="n">
        <v>0</v>
      </c>
      <c r="Z277" s="11" t="n">
        <v>0</v>
      </c>
      <c r="AA277" s="11" t="n">
        <f aca="false">SUM(U277:Z277)</f>
        <v>99.445</v>
      </c>
      <c r="AB277" s="11" t="n">
        <v>6.415</v>
      </c>
      <c r="AC277" s="11" t="n">
        <v>2.8</v>
      </c>
      <c r="AD277" s="11" t="n">
        <v>19.85</v>
      </c>
      <c r="AE277" s="11" t="n">
        <v>0</v>
      </c>
      <c r="AF277" s="11" t="n">
        <v>0</v>
      </c>
      <c r="AG277" s="11" t="n">
        <v>0</v>
      </c>
      <c r="AH277" s="11" t="n">
        <f aca="false">SUM(AB277:AG277)</f>
        <v>29.065</v>
      </c>
    </row>
    <row r="278" customFormat="false" ht="15" hidden="false" customHeight="false" outlineLevel="2" collapsed="false">
      <c r="A278" s="8" t="s">
        <v>1834</v>
      </c>
      <c r="B278" s="9" t="s">
        <v>1835</v>
      </c>
      <c r="C278" s="8" t="s">
        <v>1830</v>
      </c>
      <c r="D278" s="12" t="s">
        <v>1831</v>
      </c>
      <c r="E278" s="16"/>
      <c r="F278" s="9" t="str">
        <f aca="false">IF($E278="","",IFERROR(INDEX(担当者マスタ!$B$2:$B$101,MATCH($E278,担当者マスタ!$A$2:$A$101,0)),"※マスタ未登録"))</f>
        <v/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f aca="false">SUM(G278:L278)</f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f aca="false">SUM(N278:S278)</f>
        <v>0</v>
      </c>
      <c r="U278" s="11" t="n">
        <v>0</v>
      </c>
      <c r="V278" s="11" t="n">
        <v>0</v>
      </c>
      <c r="W278" s="11" t="n">
        <v>298.76</v>
      </c>
      <c r="X278" s="11" t="n">
        <v>0</v>
      </c>
      <c r="Y278" s="11" t="n">
        <v>0</v>
      </c>
      <c r="Z278" s="11" t="n">
        <v>0</v>
      </c>
      <c r="AA278" s="11" t="n">
        <f aca="false">SUM(U278:Z278)</f>
        <v>298.76</v>
      </c>
      <c r="AB278" s="11" t="n">
        <v>0</v>
      </c>
      <c r="AC278" s="11" t="n">
        <v>0</v>
      </c>
      <c r="AD278" s="11" t="n">
        <v>40.348</v>
      </c>
      <c r="AE278" s="11" t="n">
        <v>0</v>
      </c>
      <c r="AF278" s="11" t="n">
        <v>0</v>
      </c>
      <c r="AG278" s="11" t="n">
        <v>0</v>
      </c>
      <c r="AH278" s="11" t="n">
        <f aca="false">SUM(AB278:AG278)</f>
        <v>40.348</v>
      </c>
    </row>
    <row r="279" customFormat="false" ht="15" hidden="false" customHeight="false" outlineLevel="2" collapsed="false">
      <c r="A279" s="8" t="s">
        <v>1836</v>
      </c>
      <c r="B279" s="12" t="s">
        <v>1837</v>
      </c>
      <c r="C279" s="8" t="s">
        <v>1830</v>
      </c>
      <c r="D279" s="12" t="s">
        <v>1831</v>
      </c>
      <c r="E279" s="16"/>
      <c r="F279" s="9" t="str">
        <f aca="false">IF($E279="","",IFERROR(INDEX(担当者マスタ!$B$2:$B$101,MATCH($E279,担当者マスタ!$A$2:$A$101,0)),"※マスタ未登録"))</f>
        <v/>
      </c>
      <c r="G279" s="11" t="n">
        <v>14.84</v>
      </c>
      <c r="H279" s="11" t="n">
        <v>43.5</v>
      </c>
      <c r="I279" s="11" t="n">
        <v>25</v>
      </c>
      <c r="J279" s="11" t="n">
        <v>23.3</v>
      </c>
      <c r="K279" s="11" t="n">
        <v>0</v>
      </c>
      <c r="L279" s="11" t="n">
        <v>0</v>
      </c>
      <c r="M279" s="11" t="n">
        <f aca="false">SUM(G279:L279)</f>
        <v>106.64</v>
      </c>
      <c r="N279" s="11" t="n">
        <v>11.92</v>
      </c>
      <c r="O279" s="11" t="n">
        <v>21.04</v>
      </c>
      <c r="P279" s="11" t="n">
        <v>9.5</v>
      </c>
      <c r="Q279" s="11" t="n">
        <v>12.6</v>
      </c>
      <c r="R279" s="11" t="n">
        <v>0</v>
      </c>
      <c r="S279" s="11" t="n">
        <v>0</v>
      </c>
      <c r="T279" s="11" t="n">
        <f aca="false">SUM(N279:S279)</f>
        <v>55.06</v>
      </c>
      <c r="U279" s="11" t="n">
        <v>24.5</v>
      </c>
      <c r="V279" s="11" t="n">
        <v>8</v>
      </c>
      <c r="W279" s="11" t="n">
        <v>6.88</v>
      </c>
      <c r="X279" s="11" t="n">
        <v>6.4</v>
      </c>
      <c r="Y279" s="11" t="n">
        <v>332.5</v>
      </c>
      <c r="Z279" s="11" t="n">
        <v>258.5</v>
      </c>
      <c r="AA279" s="11" t="n">
        <f aca="false">SUM(U279:Z279)</f>
        <v>636.78</v>
      </c>
      <c r="AB279" s="11" t="n">
        <v>6.1</v>
      </c>
      <c r="AC279" s="11" t="n">
        <v>7.5</v>
      </c>
      <c r="AD279" s="11" t="n">
        <v>2.13</v>
      </c>
      <c r="AE279" s="11" t="n">
        <v>2.6</v>
      </c>
      <c r="AF279" s="11" t="n">
        <v>139.226</v>
      </c>
      <c r="AG279" s="11" t="n">
        <v>122.372</v>
      </c>
      <c r="AH279" s="11" t="n">
        <f aca="false">SUM(AB279:AG279)</f>
        <v>279.928</v>
      </c>
    </row>
    <row r="280" customFormat="false" ht="15" hidden="false" customHeight="false" outlineLevel="2" collapsed="false">
      <c r="A280" s="8" t="s">
        <v>1838</v>
      </c>
      <c r="B280" s="12" t="s">
        <v>1839</v>
      </c>
      <c r="C280" s="8" t="s">
        <v>1830</v>
      </c>
      <c r="D280" s="12" t="s">
        <v>1831</v>
      </c>
      <c r="E280" s="16"/>
      <c r="F280" s="9" t="str">
        <f aca="false">IF($E280="","",IFERROR(INDEX(担当者マスタ!$B$2:$B$101,MATCH($E280,担当者マスタ!$A$2:$A$101,0)),"※マスタ未登録"))</f>
        <v/>
      </c>
      <c r="G280" s="11" t="n">
        <v>23450.687</v>
      </c>
      <c r="H280" s="11" t="n">
        <v>25632.074</v>
      </c>
      <c r="I280" s="11" t="n">
        <v>20281.007</v>
      </c>
      <c r="J280" s="11" t="n">
        <v>11489.691</v>
      </c>
      <c r="K280" s="11" t="n">
        <v>5880.966</v>
      </c>
      <c r="L280" s="11" t="n">
        <v>4077.963</v>
      </c>
      <c r="M280" s="11" t="n">
        <f aca="false">SUM(G280:L280)</f>
        <v>90812.388</v>
      </c>
      <c r="N280" s="11" t="n">
        <v>5130.855</v>
      </c>
      <c r="O280" s="11" t="n">
        <v>5935.315</v>
      </c>
      <c r="P280" s="11" t="n">
        <v>4840.803</v>
      </c>
      <c r="Q280" s="11" t="n">
        <v>2366.813</v>
      </c>
      <c r="R280" s="11" t="n">
        <v>1048.557</v>
      </c>
      <c r="S280" s="11" t="n">
        <v>695.682</v>
      </c>
      <c r="T280" s="11" t="n">
        <f aca="false">SUM(N280:S280)</f>
        <v>20018.025</v>
      </c>
      <c r="U280" s="11" t="n">
        <v>20176.031</v>
      </c>
      <c r="V280" s="11" t="n">
        <v>18336.925</v>
      </c>
      <c r="W280" s="11" t="n">
        <v>15387.334</v>
      </c>
      <c r="X280" s="11" t="n">
        <v>7051.025</v>
      </c>
      <c r="Y280" s="11" t="n">
        <v>5092.161</v>
      </c>
      <c r="Z280" s="11" t="n">
        <v>5500.084</v>
      </c>
      <c r="AA280" s="11" t="n">
        <f aca="false">SUM(U280:Z280)</f>
        <v>71543.56</v>
      </c>
      <c r="AB280" s="11" t="n">
        <v>4902.258</v>
      </c>
      <c r="AC280" s="11" t="n">
        <v>4824.327</v>
      </c>
      <c r="AD280" s="11" t="n">
        <v>3950.795</v>
      </c>
      <c r="AE280" s="11" t="n">
        <v>1607.195</v>
      </c>
      <c r="AF280" s="11" t="n">
        <v>836.594</v>
      </c>
      <c r="AG280" s="11" t="n">
        <v>1225.165</v>
      </c>
      <c r="AH280" s="11" t="n">
        <f aca="false">SUM(AB280:AG280)</f>
        <v>17346.334</v>
      </c>
    </row>
    <row r="281" customFormat="false" ht="15" hidden="false" customHeight="false" outlineLevel="2" collapsed="false">
      <c r="A281" s="8" t="s">
        <v>1840</v>
      </c>
      <c r="B281" s="12" t="s">
        <v>1841</v>
      </c>
      <c r="C281" s="8" t="s">
        <v>1830</v>
      </c>
      <c r="D281" s="12" t="s">
        <v>1831</v>
      </c>
      <c r="E281" s="16"/>
      <c r="F281" s="9" t="str">
        <f aca="false">IF($E281="","",IFERROR(INDEX(担当者マスタ!$B$2:$B$101,MATCH($E281,担当者マスタ!$A$2:$A$101,0)),"※マスタ未登録"))</f>
        <v/>
      </c>
      <c r="G281" s="11" t="n">
        <v>4878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f aca="false">SUM(G281:L281)</f>
        <v>4878</v>
      </c>
      <c r="N281" s="11" t="n">
        <v>802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f aca="false">SUM(N281:S281)</f>
        <v>802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f aca="false">SUM(U281:Z281)</f>
        <v>0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f aca="false">SUM(AB281:AG281)</f>
        <v>0</v>
      </c>
    </row>
    <row r="282" customFormat="false" ht="15" hidden="false" customHeight="false" outlineLevel="2" collapsed="false">
      <c r="A282" s="8" t="s">
        <v>1842</v>
      </c>
      <c r="B282" s="9" t="s">
        <v>1843</v>
      </c>
      <c r="C282" s="8" t="s">
        <v>1830</v>
      </c>
      <c r="D282" s="12" t="s">
        <v>1831</v>
      </c>
      <c r="E282" s="16"/>
      <c r="F282" s="9" t="str">
        <f aca="false">IF($E282="","",IFERROR(INDEX(担当者マスタ!$B$2:$B$101,MATCH($E282,担当者マスタ!$A$2:$A$101,0)),"※マスタ未登録"))</f>
        <v/>
      </c>
      <c r="G282" s="11" t="n">
        <v>1178.877</v>
      </c>
      <c r="H282" s="11" t="n">
        <v>1442.944</v>
      </c>
      <c r="I282" s="11" t="n">
        <v>1580.209</v>
      </c>
      <c r="J282" s="11" t="n">
        <v>702.995</v>
      </c>
      <c r="K282" s="11" t="n">
        <v>877.64</v>
      </c>
      <c r="L282" s="11" t="n">
        <v>2303.635</v>
      </c>
      <c r="M282" s="11" t="n">
        <f aca="false">SUM(G282:L282)</f>
        <v>8086.3</v>
      </c>
      <c r="N282" s="11" t="n">
        <v>236.72</v>
      </c>
      <c r="O282" s="11" t="n">
        <v>337.856</v>
      </c>
      <c r="P282" s="11" t="n">
        <v>321.453</v>
      </c>
      <c r="Q282" s="11" t="n">
        <v>244.465</v>
      </c>
      <c r="R282" s="11" t="n">
        <v>277.309</v>
      </c>
      <c r="S282" s="11" t="n">
        <v>593.889</v>
      </c>
      <c r="T282" s="11" t="n">
        <f aca="false">SUM(N282:S282)</f>
        <v>2011.692</v>
      </c>
      <c r="U282" s="11" t="n">
        <v>1955.91</v>
      </c>
      <c r="V282" s="11" t="n">
        <v>1343</v>
      </c>
      <c r="W282" s="11" t="n">
        <v>867.01</v>
      </c>
      <c r="X282" s="11" t="n">
        <v>2057.07</v>
      </c>
      <c r="Y282" s="11" t="n">
        <v>869.57</v>
      </c>
      <c r="Z282" s="11" t="n">
        <v>2005</v>
      </c>
      <c r="AA282" s="11" t="n">
        <f aca="false">SUM(U282:Z282)</f>
        <v>9097.56</v>
      </c>
      <c r="AB282" s="11" t="n">
        <v>334.135</v>
      </c>
      <c r="AC282" s="11" t="n">
        <v>262.337</v>
      </c>
      <c r="AD282" s="11" t="n">
        <v>198.784</v>
      </c>
      <c r="AE282" s="11" t="n">
        <v>573.356</v>
      </c>
      <c r="AF282" s="11" t="n">
        <v>155.603</v>
      </c>
      <c r="AG282" s="11" t="n">
        <v>552.621</v>
      </c>
      <c r="AH282" s="11" t="n">
        <f aca="false">SUM(AB282:AG282)</f>
        <v>2076.836</v>
      </c>
    </row>
    <row r="283" customFormat="false" ht="15" hidden="false" customHeight="false" outlineLevel="2" collapsed="false">
      <c r="A283" s="8" t="s">
        <v>1844</v>
      </c>
      <c r="B283" s="12" t="s">
        <v>1845</v>
      </c>
      <c r="C283" s="8" t="s">
        <v>1830</v>
      </c>
      <c r="D283" s="12" t="s">
        <v>1831</v>
      </c>
      <c r="E283" s="16"/>
      <c r="F283" s="9" t="str">
        <f aca="false">IF($E283="","",IFERROR(INDEX(担当者マスタ!$B$2:$B$101,MATCH($E283,担当者マスタ!$A$2:$A$101,0)),"※マスタ未登録"))</f>
        <v/>
      </c>
      <c r="G283" s="11" t="n">
        <v>7.7</v>
      </c>
      <c r="H283" s="11" t="n">
        <v>21.037</v>
      </c>
      <c r="I283" s="11" t="n">
        <v>0</v>
      </c>
      <c r="J283" s="11" t="n">
        <v>10.01</v>
      </c>
      <c r="K283" s="11" t="n">
        <v>14.538</v>
      </c>
      <c r="L283" s="11" t="n">
        <v>13.11</v>
      </c>
      <c r="M283" s="11" t="n">
        <f aca="false">SUM(G283:L283)</f>
        <v>66.395</v>
      </c>
      <c r="N283" s="11" t="n">
        <v>1.2</v>
      </c>
      <c r="O283" s="11" t="n">
        <v>3.374</v>
      </c>
      <c r="P283" s="11" t="n">
        <v>0</v>
      </c>
      <c r="Q283" s="11" t="n">
        <v>1.56</v>
      </c>
      <c r="R283" s="11" t="n">
        <v>1.294</v>
      </c>
      <c r="S283" s="11" t="n">
        <v>2.175</v>
      </c>
      <c r="T283" s="11" t="n">
        <f aca="false">SUM(N283:S283)</f>
        <v>9.603</v>
      </c>
      <c r="U283" s="11" t="n">
        <v>31.1</v>
      </c>
      <c r="V283" s="11" t="n">
        <v>24.4</v>
      </c>
      <c r="W283" s="11" t="n">
        <v>8.68</v>
      </c>
      <c r="X283" s="11" t="n">
        <v>0</v>
      </c>
      <c r="Y283" s="11" t="n">
        <v>5.39</v>
      </c>
      <c r="Z283" s="11" t="n">
        <v>41.342</v>
      </c>
      <c r="AA283" s="11" t="n">
        <f aca="false">SUM(U283:Z283)</f>
        <v>110.912</v>
      </c>
      <c r="AB283" s="11" t="n">
        <v>6.98</v>
      </c>
      <c r="AC283" s="11" t="n">
        <v>3.519</v>
      </c>
      <c r="AD283" s="11" t="n">
        <v>0.88</v>
      </c>
      <c r="AE283" s="11" t="n">
        <v>0</v>
      </c>
      <c r="AF283" s="11" t="n">
        <v>0.84</v>
      </c>
      <c r="AG283" s="11" t="n">
        <v>6.744</v>
      </c>
      <c r="AH283" s="11" t="n">
        <f aca="false">SUM(AB283:AG283)</f>
        <v>18.963</v>
      </c>
    </row>
    <row r="284" customFormat="false" ht="15" hidden="false" customHeight="false" outlineLevel="2" collapsed="false">
      <c r="A284" s="8" t="s">
        <v>1846</v>
      </c>
      <c r="B284" s="12" t="s">
        <v>1847</v>
      </c>
      <c r="C284" s="8" t="s">
        <v>1830</v>
      </c>
      <c r="D284" s="12" t="s">
        <v>1831</v>
      </c>
      <c r="E284" s="16"/>
      <c r="F284" s="9" t="str">
        <f aca="false">IF($E284="","",IFERROR(INDEX(担当者マスタ!$B$2:$B$101,MATCH($E284,担当者マスタ!$A$2:$A$101,0)),"※マスタ未登録"))</f>
        <v/>
      </c>
      <c r="G284" s="11" t="n">
        <v>0</v>
      </c>
      <c r="H284" s="11" t="n">
        <v>23.64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f aca="false">SUM(G284:L284)</f>
        <v>23.64</v>
      </c>
      <c r="N284" s="11" t="n">
        <v>0</v>
      </c>
      <c r="O284" s="11" t="n">
        <v>5.16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f aca="false">SUM(N284:S284)</f>
        <v>5.16</v>
      </c>
      <c r="U284" s="11" t="n">
        <v>0</v>
      </c>
      <c r="V284" s="11" t="n">
        <v>17.73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f aca="false">SUM(U284:Z284)</f>
        <v>17.73</v>
      </c>
      <c r="AB284" s="11" t="n">
        <v>0</v>
      </c>
      <c r="AC284" s="11" t="n">
        <v>3.87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f aca="false">SUM(AB284:AG284)</f>
        <v>3.87</v>
      </c>
    </row>
    <row r="285" customFormat="false" ht="15" hidden="false" customHeight="false" outlineLevel="2" collapsed="false">
      <c r="A285" s="8" t="s">
        <v>1848</v>
      </c>
      <c r="B285" s="12" t="s">
        <v>1849</v>
      </c>
      <c r="C285" s="8" t="s">
        <v>1830</v>
      </c>
      <c r="D285" s="12" t="s">
        <v>1831</v>
      </c>
      <c r="E285" s="16"/>
      <c r="F285" s="9" t="str">
        <f aca="false">IF($E285="","",IFERROR(INDEX(担当者マスタ!$B$2:$B$101,MATCH($E285,担当者マスタ!$A$2:$A$101,0)),"※マスタ未登録"))</f>
        <v/>
      </c>
      <c r="G285" s="11" t="n">
        <v>8.55</v>
      </c>
      <c r="H285" s="11" t="n">
        <v>0</v>
      </c>
      <c r="I285" s="11" t="n">
        <v>9.6</v>
      </c>
      <c r="J285" s="11" t="n">
        <v>0</v>
      </c>
      <c r="K285" s="11" t="n">
        <v>0</v>
      </c>
      <c r="L285" s="11" t="n">
        <v>32.9</v>
      </c>
      <c r="M285" s="11" t="n">
        <f aca="false">SUM(G285:L285)</f>
        <v>51.05</v>
      </c>
      <c r="N285" s="11" t="n">
        <v>0.337</v>
      </c>
      <c r="O285" s="11" t="n">
        <v>0</v>
      </c>
      <c r="P285" s="11" t="n">
        <v>2.28</v>
      </c>
      <c r="Q285" s="11" t="n">
        <v>0</v>
      </c>
      <c r="R285" s="11" t="n">
        <v>0</v>
      </c>
      <c r="S285" s="11" t="n">
        <v>6.265</v>
      </c>
      <c r="T285" s="11" t="n">
        <f aca="false">SUM(N285:S285)</f>
        <v>8.882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21.96</v>
      </c>
      <c r="AA285" s="11" t="n">
        <f aca="false">SUM(U285:Z285)</f>
        <v>21.96</v>
      </c>
      <c r="AB285" s="11" t="n">
        <v>0</v>
      </c>
      <c r="AC285" s="11" t="n">
        <v>0</v>
      </c>
      <c r="AD285" s="11" t="n">
        <v>0</v>
      </c>
      <c r="AE285" s="11" t="n">
        <v>0</v>
      </c>
      <c r="AF285" s="11" t="n">
        <v>0</v>
      </c>
      <c r="AG285" s="11" t="n">
        <v>6.66</v>
      </c>
      <c r="AH285" s="11" t="n">
        <f aca="false">SUM(AB285:AG285)</f>
        <v>6.66</v>
      </c>
    </row>
    <row r="286" customFormat="false" ht="15" hidden="false" customHeight="false" outlineLevel="2" collapsed="false">
      <c r="A286" s="8" t="s">
        <v>1850</v>
      </c>
      <c r="B286" s="12" t="s">
        <v>1851</v>
      </c>
      <c r="C286" s="8" t="s">
        <v>1830</v>
      </c>
      <c r="D286" s="12" t="s">
        <v>1831</v>
      </c>
      <c r="E286" s="16"/>
      <c r="F286" s="9" t="str">
        <f aca="false">IF($E286="","",IFERROR(INDEX(担当者マスタ!$B$2:$B$101,MATCH($E286,担当者マスタ!$A$2:$A$101,0)),"※マスタ未登録"))</f>
        <v/>
      </c>
      <c r="G286" s="11" t="n">
        <v>302.4</v>
      </c>
      <c r="H286" s="11" t="n">
        <v>226.8</v>
      </c>
      <c r="I286" s="11" t="n">
        <v>37.8</v>
      </c>
      <c r="J286" s="11" t="n">
        <v>0</v>
      </c>
      <c r="K286" s="11" t="n">
        <v>0</v>
      </c>
      <c r="L286" s="11" t="n">
        <v>151.2</v>
      </c>
      <c r="M286" s="11" t="n">
        <f aca="false">SUM(G286:L286)</f>
        <v>718.2</v>
      </c>
      <c r="N286" s="11" t="n">
        <v>24</v>
      </c>
      <c r="O286" s="11" t="n">
        <v>18</v>
      </c>
      <c r="P286" s="11" t="n">
        <v>3</v>
      </c>
      <c r="Q286" s="11" t="n">
        <v>0</v>
      </c>
      <c r="R286" s="11" t="n">
        <v>0</v>
      </c>
      <c r="S286" s="11" t="n">
        <v>12</v>
      </c>
      <c r="T286" s="11" t="n">
        <f aca="false">SUM(N286:S286)</f>
        <v>57</v>
      </c>
      <c r="U286" s="11" t="n">
        <v>75.6</v>
      </c>
      <c r="V286" s="11" t="n">
        <v>189</v>
      </c>
      <c r="W286" s="11" t="n">
        <v>302.4</v>
      </c>
      <c r="X286" s="11" t="n">
        <v>75.6</v>
      </c>
      <c r="Y286" s="11" t="n">
        <v>0</v>
      </c>
      <c r="Z286" s="11" t="n">
        <v>0</v>
      </c>
      <c r="AA286" s="11" t="n">
        <f aca="false">SUM(U286:Z286)</f>
        <v>642.6</v>
      </c>
      <c r="AB286" s="11" t="n">
        <v>6</v>
      </c>
      <c r="AC286" s="11" t="n">
        <v>15</v>
      </c>
      <c r="AD286" s="11" t="n">
        <v>24</v>
      </c>
      <c r="AE286" s="11" t="n">
        <v>6</v>
      </c>
      <c r="AF286" s="11" t="n">
        <v>0</v>
      </c>
      <c r="AG286" s="11" t="n">
        <v>0</v>
      </c>
      <c r="AH286" s="11" t="n">
        <f aca="false">SUM(AB286:AG286)</f>
        <v>51</v>
      </c>
    </row>
    <row r="287" customFormat="false" ht="15" hidden="false" customHeight="false" outlineLevel="2" collapsed="false">
      <c r="A287" s="8" t="s">
        <v>1852</v>
      </c>
      <c r="B287" s="9" t="s">
        <v>1853</v>
      </c>
      <c r="C287" s="8" t="s">
        <v>1830</v>
      </c>
      <c r="D287" s="12" t="s">
        <v>1831</v>
      </c>
      <c r="E287" s="16"/>
      <c r="F287" s="9" t="str">
        <f aca="false">IF($E287="","",IFERROR(INDEX(担当者マスタ!$B$2:$B$101,MATCH($E287,担当者マスタ!$A$2:$A$101,0)),"※マスタ未登録"))</f>
        <v/>
      </c>
      <c r="G287" s="11" t="n">
        <v>0</v>
      </c>
      <c r="H287" s="11" t="n">
        <v>0</v>
      </c>
      <c r="I287" s="11" t="n">
        <v>10.566</v>
      </c>
      <c r="J287" s="11" t="n">
        <v>3.44</v>
      </c>
      <c r="K287" s="11" t="n">
        <v>45.9</v>
      </c>
      <c r="L287" s="11" t="n">
        <v>0</v>
      </c>
      <c r="M287" s="11" t="n">
        <f aca="false">SUM(G287:L287)</f>
        <v>59.906</v>
      </c>
      <c r="N287" s="11" t="n">
        <v>0</v>
      </c>
      <c r="O287" s="11" t="n">
        <v>0</v>
      </c>
      <c r="P287" s="11" t="n">
        <v>1.902</v>
      </c>
      <c r="Q287" s="11" t="n">
        <v>1.065</v>
      </c>
      <c r="R287" s="11" t="n">
        <v>13.565</v>
      </c>
      <c r="S287" s="11" t="n">
        <v>0</v>
      </c>
      <c r="T287" s="11" t="n">
        <f aca="false">SUM(N287:S287)</f>
        <v>16.532</v>
      </c>
      <c r="U287" s="11" t="n">
        <v>16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f aca="false">SUM(U287:Z287)</f>
        <v>16</v>
      </c>
      <c r="AB287" s="11" t="n">
        <v>16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</v>
      </c>
      <c r="AH287" s="11" t="n">
        <f aca="false">SUM(AB287:AG287)</f>
        <v>16</v>
      </c>
    </row>
    <row r="288" customFormat="false" ht="15" hidden="false" customHeight="false" outlineLevel="2" collapsed="false">
      <c r="A288" s="8" t="s">
        <v>1854</v>
      </c>
      <c r="B288" s="9" t="s">
        <v>1855</v>
      </c>
      <c r="C288" s="8" t="s">
        <v>1830</v>
      </c>
      <c r="D288" s="12" t="s">
        <v>1831</v>
      </c>
      <c r="E288" s="16"/>
      <c r="F288" s="9" t="str">
        <f aca="false">IF($E288="","",IFERROR(INDEX(担当者マスタ!$B$2:$B$101,MATCH($E288,担当者マスタ!$A$2:$A$101,0)),"※マスタ未登録"))</f>
        <v/>
      </c>
      <c r="G288" s="11" t="n">
        <v>53.2</v>
      </c>
      <c r="H288" s="11" t="n">
        <v>38.18</v>
      </c>
      <c r="I288" s="11" t="n">
        <v>38.18</v>
      </c>
      <c r="J288" s="11" t="n">
        <v>15.02</v>
      </c>
      <c r="K288" s="11" t="n">
        <v>69.06</v>
      </c>
      <c r="L288" s="11" t="n">
        <v>42.02</v>
      </c>
      <c r="M288" s="11" t="n">
        <f aca="false">SUM(G288:L288)</f>
        <v>255.66</v>
      </c>
      <c r="N288" s="11" t="n">
        <v>17.944</v>
      </c>
      <c r="O288" s="11" t="n">
        <v>13.094</v>
      </c>
      <c r="P288" s="11" t="n">
        <v>13.094</v>
      </c>
      <c r="Q288" s="11" t="n">
        <v>4.85</v>
      </c>
      <c r="R288" s="11" t="n">
        <v>28.154</v>
      </c>
      <c r="S288" s="11" t="n">
        <v>14.424</v>
      </c>
      <c r="T288" s="11" t="n">
        <f aca="false">SUM(N288:S288)</f>
        <v>91.56</v>
      </c>
      <c r="U288" s="11" t="n">
        <v>42.02</v>
      </c>
      <c r="V288" s="11" t="n">
        <v>42.02</v>
      </c>
      <c r="W288" s="11" t="n">
        <v>16.54</v>
      </c>
      <c r="X288" s="11" t="n">
        <v>30.13</v>
      </c>
      <c r="Y288" s="11" t="n">
        <v>16.54</v>
      </c>
      <c r="Z288" s="11" t="n">
        <v>42.02</v>
      </c>
      <c r="AA288" s="11" t="n">
        <f aca="false">SUM(U288:Z288)</f>
        <v>189.27</v>
      </c>
      <c r="AB288" s="11" t="n">
        <v>14.424</v>
      </c>
      <c r="AC288" s="11" t="n">
        <v>14.424</v>
      </c>
      <c r="AD288" s="11" t="n">
        <v>5.352</v>
      </c>
      <c r="AE288" s="11" t="n">
        <v>10.122</v>
      </c>
      <c r="AF288" s="11" t="n">
        <v>5.352</v>
      </c>
      <c r="AG288" s="11" t="n">
        <v>14.424</v>
      </c>
      <c r="AH288" s="11" t="n">
        <f aca="false">SUM(AB288:AG288)</f>
        <v>64.098</v>
      </c>
    </row>
    <row r="289" customFormat="false" ht="15" hidden="false" customHeight="false" outlineLevel="2" collapsed="false">
      <c r="A289" s="8" t="s">
        <v>1856</v>
      </c>
      <c r="B289" s="12" t="s">
        <v>155</v>
      </c>
      <c r="C289" s="8" t="s">
        <v>1830</v>
      </c>
      <c r="D289" s="12" t="s">
        <v>1831</v>
      </c>
      <c r="E289" s="16"/>
      <c r="F289" s="9" t="str">
        <f aca="false">IF($E289="","",IFERROR(INDEX(担当者マスタ!$B$2:$B$101,MATCH($E289,担当者マスタ!$A$2:$A$101,0)),"※マスタ未登録"))</f>
        <v/>
      </c>
      <c r="G289" s="11" t="n">
        <v>0</v>
      </c>
      <c r="H289" s="11" t="n">
        <v>29.6</v>
      </c>
      <c r="I289" s="11" t="n">
        <v>0</v>
      </c>
      <c r="J289" s="11" t="n">
        <v>0</v>
      </c>
      <c r="K289" s="11" t="n">
        <v>0</v>
      </c>
      <c r="L289" s="11" t="n">
        <v>14.8</v>
      </c>
      <c r="M289" s="11" t="n">
        <f aca="false">SUM(G289:L289)</f>
        <v>44.4</v>
      </c>
      <c r="N289" s="11" t="n">
        <v>0</v>
      </c>
      <c r="O289" s="11" t="n">
        <v>5.12</v>
      </c>
      <c r="P289" s="11" t="n">
        <v>0</v>
      </c>
      <c r="Q289" s="11" t="n">
        <v>0</v>
      </c>
      <c r="R289" s="11" t="n">
        <v>0</v>
      </c>
      <c r="S289" s="11" t="n">
        <v>2.56</v>
      </c>
      <c r="T289" s="11" t="n">
        <f aca="false">SUM(N289:S289)</f>
        <v>7.68</v>
      </c>
      <c r="U289" s="11" t="n">
        <v>14.8</v>
      </c>
      <c r="V289" s="11" t="n">
        <v>0</v>
      </c>
      <c r="W289" s="11" t="n">
        <v>0</v>
      </c>
      <c r="X289" s="11" t="n">
        <v>0</v>
      </c>
      <c r="Y289" s="11" t="n">
        <v>0</v>
      </c>
      <c r="Z289" s="11" t="n">
        <v>0</v>
      </c>
      <c r="AA289" s="11" t="n">
        <f aca="false">SUM(U289:Z289)</f>
        <v>14.8</v>
      </c>
      <c r="AB289" s="11" t="n">
        <v>2.56</v>
      </c>
      <c r="AC289" s="11" t="n">
        <v>0</v>
      </c>
      <c r="AD289" s="11" t="n">
        <v>0</v>
      </c>
      <c r="AE289" s="11" t="n">
        <v>0</v>
      </c>
      <c r="AF289" s="11" t="n">
        <v>0</v>
      </c>
      <c r="AG289" s="11" t="n">
        <v>0</v>
      </c>
      <c r="AH289" s="11" t="n">
        <f aca="false">SUM(AB289:AG289)</f>
        <v>2.56</v>
      </c>
    </row>
    <row r="290" customFormat="false" ht="15" hidden="false" customHeight="false" outlineLevel="2" collapsed="false">
      <c r="A290" s="8" t="s">
        <v>1857</v>
      </c>
      <c r="B290" s="12" t="s">
        <v>1858</v>
      </c>
      <c r="C290" s="8" t="s">
        <v>1830</v>
      </c>
      <c r="D290" s="12" t="s">
        <v>1831</v>
      </c>
      <c r="E290" s="16"/>
      <c r="F290" s="9" t="str">
        <f aca="false">IF($E290="","",IFERROR(INDEX(担当者マスタ!$B$2:$B$101,MATCH($E290,担当者マスタ!$A$2:$A$101,0)),"※マスタ未登録"))</f>
        <v/>
      </c>
      <c r="G290" s="11" t="n">
        <v>0</v>
      </c>
      <c r="H290" s="11" t="n">
        <v>0</v>
      </c>
      <c r="I290" s="11" t="n">
        <v>0</v>
      </c>
      <c r="J290" s="11" t="n">
        <v>85.25</v>
      </c>
      <c r="K290" s="11" t="n">
        <v>0</v>
      </c>
      <c r="L290" s="11" t="n">
        <v>14.1</v>
      </c>
      <c r="M290" s="11" t="n">
        <f aca="false">SUM(G290:L290)</f>
        <v>99.35</v>
      </c>
      <c r="N290" s="11" t="n">
        <v>0</v>
      </c>
      <c r="O290" s="11" t="n">
        <v>0</v>
      </c>
      <c r="P290" s="11" t="n">
        <v>0</v>
      </c>
      <c r="Q290" s="11" t="n">
        <v>19.55</v>
      </c>
      <c r="R290" s="11" t="n">
        <v>0</v>
      </c>
      <c r="S290" s="11" t="n">
        <v>0.8</v>
      </c>
      <c r="T290" s="11" t="n">
        <f aca="false">SUM(N290:S290)</f>
        <v>20.35</v>
      </c>
      <c r="U290" s="11" t="n">
        <v>2.61</v>
      </c>
      <c r="V290" s="11" t="n">
        <v>1.305</v>
      </c>
      <c r="W290" s="11" t="n">
        <v>19.8</v>
      </c>
      <c r="X290" s="11" t="n">
        <v>5.8</v>
      </c>
      <c r="Y290" s="11" t="n">
        <v>100.6</v>
      </c>
      <c r="Z290" s="11" t="n">
        <v>0</v>
      </c>
      <c r="AA290" s="11" t="n">
        <f aca="false">SUM(U290:Z290)</f>
        <v>130.115</v>
      </c>
      <c r="AB290" s="11" t="n">
        <v>0.392</v>
      </c>
      <c r="AC290" s="11" t="n">
        <v>0.196</v>
      </c>
      <c r="AD290" s="11" t="n">
        <v>3.06</v>
      </c>
      <c r="AE290" s="11" t="n">
        <v>0.94</v>
      </c>
      <c r="AF290" s="11" t="n">
        <v>21.3</v>
      </c>
      <c r="AG290" s="11" t="n">
        <v>0</v>
      </c>
      <c r="AH290" s="11" t="n">
        <f aca="false">SUM(AB290:AG290)</f>
        <v>25.888</v>
      </c>
    </row>
    <row r="291" customFormat="false" ht="15" hidden="false" customHeight="false" outlineLevel="2" collapsed="false">
      <c r="A291" s="8" t="s">
        <v>1859</v>
      </c>
      <c r="B291" s="9" t="s">
        <v>1860</v>
      </c>
      <c r="C291" s="8" t="s">
        <v>1830</v>
      </c>
      <c r="D291" s="12" t="s">
        <v>1831</v>
      </c>
      <c r="E291" s="16"/>
      <c r="F291" s="9" t="str">
        <f aca="false">IF($E291="","",IFERROR(INDEX(担当者マスタ!$B$2:$B$101,MATCH($E291,担当者マスタ!$A$2:$A$101,0)),"※マスタ未登録"))</f>
        <v/>
      </c>
      <c r="G291" s="11" t="n">
        <v>74.16</v>
      </c>
      <c r="H291" s="11" t="n">
        <v>4.6</v>
      </c>
      <c r="I291" s="11" t="n">
        <v>0</v>
      </c>
      <c r="J291" s="11" t="n">
        <v>0</v>
      </c>
      <c r="K291" s="11" t="n">
        <v>19</v>
      </c>
      <c r="L291" s="11" t="n">
        <v>0</v>
      </c>
      <c r="M291" s="11" t="n">
        <f aca="false">SUM(G291:L291)</f>
        <v>97.76</v>
      </c>
      <c r="N291" s="11" t="n">
        <v>16.58</v>
      </c>
      <c r="O291" s="11" t="n">
        <v>0.75</v>
      </c>
      <c r="P291" s="11" t="n">
        <v>0</v>
      </c>
      <c r="Q291" s="11" t="n">
        <v>0</v>
      </c>
      <c r="R291" s="11" t="n">
        <v>4.75</v>
      </c>
      <c r="S291" s="11" t="n">
        <v>0</v>
      </c>
      <c r="T291" s="11" t="n">
        <f aca="false">SUM(N291:S291)</f>
        <v>22.08</v>
      </c>
      <c r="U291" s="11" t="n">
        <v>25.8</v>
      </c>
      <c r="V291" s="11" t="n">
        <v>0</v>
      </c>
      <c r="W291" s="11" t="n">
        <v>0</v>
      </c>
      <c r="X291" s="11" t="n">
        <v>0</v>
      </c>
      <c r="Y291" s="11" t="n">
        <v>0</v>
      </c>
      <c r="Z291" s="11" t="n">
        <v>351</v>
      </c>
      <c r="AA291" s="11" t="n">
        <f aca="false">SUM(U291:Z291)</f>
        <v>376.8</v>
      </c>
      <c r="AB291" s="11" t="n">
        <v>4.72</v>
      </c>
      <c r="AC291" s="11" t="n">
        <v>0</v>
      </c>
      <c r="AD291" s="11" t="n">
        <v>0</v>
      </c>
      <c r="AE291" s="11" t="n">
        <v>0</v>
      </c>
      <c r="AF291" s="11" t="n">
        <v>0</v>
      </c>
      <c r="AG291" s="11" t="n">
        <v>76.95</v>
      </c>
      <c r="AH291" s="11" t="n">
        <f aca="false">SUM(AB291:AG291)</f>
        <v>81.67</v>
      </c>
    </row>
    <row r="292" customFormat="false" ht="15" hidden="false" customHeight="false" outlineLevel="2" collapsed="false">
      <c r="A292" s="8" t="s">
        <v>1861</v>
      </c>
      <c r="B292" s="12" t="s">
        <v>1862</v>
      </c>
      <c r="C292" s="8" t="s">
        <v>1830</v>
      </c>
      <c r="D292" s="12" t="s">
        <v>1831</v>
      </c>
      <c r="E292" s="16"/>
      <c r="F292" s="9" t="str">
        <f aca="false">IF($E292="","",IFERROR(INDEX(担当者マスタ!$B$2:$B$101,MATCH($E292,担当者マスタ!$A$2:$A$101,0)),"※マスタ未登録"))</f>
        <v/>
      </c>
      <c r="G292" s="11" t="n">
        <v>21.2</v>
      </c>
      <c r="H292" s="11" t="n">
        <v>21.2</v>
      </c>
      <c r="I292" s="11" t="n">
        <v>15.9</v>
      </c>
      <c r="J292" s="11" t="n">
        <v>0</v>
      </c>
      <c r="K292" s="11" t="n">
        <v>26.5</v>
      </c>
      <c r="L292" s="11" t="n">
        <v>0</v>
      </c>
      <c r="M292" s="11" t="n">
        <f aca="false">SUM(G292:L292)</f>
        <v>84.8</v>
      </c>
      <c r="N292" s="11" t="n">
        <v>2</v>
      </c>
      <c r="O292" s="11" t="n">
        <v>2</v>
      </c>
      <c r="P292" s="11" t="n">
        <v>1.5</v>
      </c>
      <c r="Q292" s="11" t="n">
        <v>0</v>
      </c>
      <c r="R292" s="11" t="n">
        <v>2.5</v>
      </c>
      <c r="S292" s="11" t="n">
        <v>0</v>
      </c>
      <c r="T292" s="11" t="n">
        <f aca="false">SUM(N292:S292)</f>
        <v>8</v>
      </c>
      <c r="U292" s="11" t="n">
        <v>0</v>
      </c>
      <c r="V292" s="11" t="n">
        <v>31.8</v>
      </c>
      <c r="W292" s="11" t="n">
        <v>0</v>
      </c>
      <c r="X292" s="11" t="n">
        <v>0</v>
      </c>
      <c r="Y292" s="11" t="n">
        <v>26.5</v>
      </c>
      <c r="Z292" s="11" t="n">
        <v>0</v>
      </c>
      <c r="AA292" s="11" t="n">
        <f aca="false">SUM(U292:Z292)</f>
        <v>58.3</v>
      </c>
      <c r="AB292" s="11" t="n">
        <v>0</v>
      </c>
      <c r="AC292" s="11" t="n">
        <v>3</v>
      </c>
      <c r="AD292" s="11" t="n">
        <v>0</v>
      </c>
      <c r="AE292" s="11" t="n">
        <v>0</v>
      </c>
      <c r="AF292" s="11" t="n">
        <v>2.5</v>
      </c>
      <c r="AG292" s="11" t="n">
        <v>0</v>
      </c>
      <c r="AH292" s="11" t="n">
        <f aca="false">SUM(AB292:AG292)</f>
        <v>5.5</v>
      </c>
    </row>
    <row r="293" customFormat="false" ht="15" hidden="false" customHeight="false" outlineLevel="2" collapsed="false">
      <c r="A293" s="8" t="s">
        <v>1863</v>
      </c>
      <c r="B293" s="12" t="s">
        <v>1864</v>
      </c>
      <c r="C293" s="8" t="s">
        <v>1830</v>
      </c>
      <c r="D293" s="12" t="s">
        <v>1831</v>
      </c>
      <c r="E293" s="16"/>
      <c r="F293" s="9" t="str">
        <f aca="false">IF($E293="","",IFERROR(INDEX(担当者マスタ!$B$2:$B$101,MATCH($E293,担当者マスタ!$A$2:$A$101,0)),"※マスタ未登録"))</f>
        <v/>
      </c>
      <c r="G293" s="11" t="n">
        <v>0</v>
      </c>
      <c r="H293" s="11" t="n">
        <v>31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f aca="false">SUM(G293:L293)</f>
        <v>31</v>
      </c>
      <c r="N293" s="11" t="n">
        <v>0</v>
      </c>
      <c r="O293" s="11" t="n">
        <v>24.09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f aca="false">SUM(N293:S293)</f>
        <v>24.09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f aca="false">SUM(U293:Z293)</f>
        <v>0</v>
      </c>
      <c r="AB293" s="11" t="n">
        <v>0</v>
      </c>
      <c r="AC293" s="11" t="n">
        <v>0</v>
      </c>
      <c r="AD293" s="11" t="n">
        <v>0</v>
      </c>
      <c r="AE293" s="11" t="n">
        <v>0</v>
      </c>
      <c r="AF293" s="11" t="n">
        <v>0</v>
      </c>
      <c r="AG293" s="11" t="n">
        <v>0</v>
      </c>
      <c r="AH293" s="11" t="n">
        <f aca="false">SUM(AB293:AG293)</f>
        <v>0</v>
      </c>
    </row>
    <row r="294" customFormat="false" ht="15" hidden="false" customHeight="false" outlineLevel="2" collapsed="false">
      <c r="A294" s="8" t="s">
        <v>1865</v>
      </c>
      <c r="B294" s="12" t="s">
        <v>1866</v>
      </c>
      <c r="C294" s="8" t="s">
        <v>1830</v>
      </c>
      <c r="D294" s="12" t="s">
        <v>1831</v>
      </c>
      <c r="E294" s="16"/>
      <c r="F294" s="9" t="str">
        <f aca="false">IF($E294="","",IFERROR(INDEX(担当者マスタ!$B$2:$B$101,MATCH($E294,担当者マスタ!$A$2:$A$101,0)),"※マスタ未登録"))</f>
        <v/>
      </c>
      <c r="G294" s="11" t="n">
        <v>93.1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41.6</v>
      </c>
      <c r="M294" s="11" t="n">
        <f aca="false">SUM(G294:L294)</f>
        <v>134.7</v>
      </c>
      <c r="N294" s="11" t="n">
        <v>8.5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3.8</v>
      </c>
      <c r="T294" s="11" t="n">
        <f aca="false">SUM(N294:S294)</f>
        <v>12.3</v>
      </c>
      <c r="U294" s="11" t="n">
        <v>103</v>
      </c>
      <c r="V294" s="11" t="n">
        <v>0</v>
      </c>
      <c r="W294" s="11" t="n">
        <v>41.6</v>
      </c>
      <c r="X294" s="11" t="n">
        <v>0</v>
      </c>
      <c r="Y294" s="11" t="n">
        <v>52</v>
      </c>
      <c r="Z294" s="11" t="n">
        <v>0</v>
      </c>
      <c r="AA294" s="11" t="n">
        <f aca="false">SUM(U294:Z294)</f>
        <v>196.6</v>
      </c>
      <c r="AB294" s="11" t="n">
        <v>9.4</v>
      </c>
      <c r="AC294" s="11" t="n">
        <v>0</v>
      </c>
      <c r="AD294" s="11" t="n">
        <v>3.8</v>
      </c>
      <c r="AE294" s="11" t="n">
        <v>0</v>
      </c>
      <c r="AF294" s="11" t="n">
        <v>6</v>
      </c>
      <c r="AG294" s="11" t="n">
        <v>0</v>
      </c>
      <c r="AH294" s="11" t="n">
        <f aca="false">SUM(AB294:AG294)</f>
        <v>19.2</v>
      </c>
    </row>
    <row r="295" customFormat="false" ht="15" hidden="false" customHeight="false" outlineLevel="2" collapsed="false">
      <c r="A295" s="8" t="s">
        <v>1867</v>
      </c>
      <c r="B295" s="12" t="s">
        <v>1868</v>
      </c>
      <c r="C295" s="8" t="s">
        <v>1830</v>
      </c>
      <c r="D295" s="12" t="s">
        <v>1831</v>
      </c>
      <c r="E295" s="16"/>
      <c r="F295" s="9" t="str">
        <f aca="false">IF($E295="","",IFERROR(INDEX(担当者マスタ!$B$2:$B$101,MATCH($E295,担当者マスタ!$A$2:$A$101,0)),"※マスタ未登録"))</f>
        <v/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28.98</v>
      </c>
      <c r="M295" s="11" t="n">
        <f aca="false">SUM(G295:L295)</f>
        <v>28.98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5.04</v>
      </c>
      <c r="T295" s="11" t="n">
        <f aca="false">SUM(N295:S295)</f>
        <v>5.04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28.98</v>
      </c>
      <c r="Z295" s="11" t="n">
        <v>0</v>
      </c>
      <c r="AA295" s="11" t="n">
        <f aca="false">SUM(U295:Z295)</f>
        <v>28.98</v>
      </c>
      <c r="AB295" s="11" t="n">
        <v>0</v>
      </c>
      <c r="AC295" s="11" t="n">
        <v>0</v>
      </c>
      <c r="AD295" s="11" t="n">
        <v>0</v>
      </c>
      <c r="AE295" s="11" t="n">
        <v>0</v>
      </c>
      <c r="AF295" s="11" t="n">
        <v>5.04</v>
      </c>
      <c r="AG295" s="11" t="n">
        <v>0</v>
      </c>
      <c r="AH295" s="11" t="n">
        <f aca="false">SUM(AB295:AG295)</f>
        <v>5.04</v>
      </c>
    </row>
    <row r="296" customFormat="false" ht="15" hidden="false" customHeight="false" outlineLevel="2" collapsed="false">
      <c r="A296" s="8" t="s">
        <v>1869</v>
      </c>
      <c r="B296" s="12" t="s">
        <v>1870</v>
      </c>
      <c r="C296" s="8" t="s">
        <v>1830</v>
      </c>
      <c r="D296" s="12" t="s">
        <v>1831</v>
      </c>
      <c r="E296" s="16"/>
      <c r="F296" s="9" t="str">
        <f aca="false">IF($E296="","",IFERROR(INDEX(担当者マスタ!$B$2:$B$101,MATCH($E296,担当者マスタ!$A$2:$A$101,0)),"※マスタ未登録"))</f>
        <v/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f aca="false">SUM(G296:L296)</f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f aca="false">SUM(N296:S296)</f>
        <v>0</v>
      </c>
      <c r="U296" s="11" t="n">
        <v>326.8</v>
      </c>
      <c r="V296" s="11" t="n">
        <v>215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f aca="false">SUM(U296:Z296)</f>
        <v>541.8</v>
      </c>
      <c r="AB296" s="11" t="n">
        <v>71.136</v>
      </c>
      <c r="AC296" s="11" t="n">
        <v>46.8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f aca="false">SUM(AB296:AG296)</f>
        <v>117.936</v>
      </c>
    </row>
    <row r="297" customFormat="false" ht="15" hidden="false" customHeight="false" outlineLevel="2" collapsed="false">
      <c r="A297" s="8" t="s">
        <v>1871</v>
      </c>
      <c r="B297" s="12" t="s">
        <v>1872</v>
      </c>
      <c r="C297" s="8" t="s">
        <v>1830</v>
      </c>
      <c r="D297" s="12" t="s">
        <v>1831</v>
      </c>
      <c r="E297" s="16"/>
      <c r="F297" s="9" t="str">
        <f aca="false">IF($E297="","",IFERROR(INDEX(担当者マスタ!$B$2:$B$101,MATCH($E297,担当者マスタ!$A$2:$A$101,0)),"※マスタ未登録"))</f>
        <v/>
      </c>
      <c r="G297" s="11" t="n">
        <v>0</v>
      </c>
      <c r="H297" s="11" t="n">
        <v>60.054</v>
      </c>
      <c r="I297" s="11" t="n">
        <v>205.778</v>
      </c>
      <c r="J297" s="11" t="n">
        <v>88.8</v>
      </c>
      <c r="K297" s="11" t="n">
        <v>160.84</v>
      </c>
      <c r="L297" s="11" t="n">
        <v>233.769</v>
      </c>
      <c r="M297" s="11" t="n">
        <f aca="false">SUM(G297:L297)</f>
        <v>749.241</v>
      </c>
      <c r="N297" s="11" t="n">
        <v>0</v>
      </c>
      <c r="O297" s="11" t="n">
        <v>14.508</v>
      </c>
      <c r="P297" s="11" t="n">
        <v>52.626</v>
      </c>
      <c r="Q297" s="11" t="n">
        <v>33.86</v>
      </c>
      <c r="R297" s="11" t="n">
        <v>32.624</v>
      </c>
      <c r="S297" s="11" t="n">
        <v>54.901</v>
      </c>
      <c r="T297" s="11" t="n">
        <f aca="false">SUM(N297:S297)</f>
        <v>188.519</v>
      </c>
      <c r="U297" s="11" t="n">
        <v>65.884</v>
      </c>
      <c r="V297" s="11" t="n">
        <v>202.244</v>
      </c>
      <c r="W297" s="11" t="n">
        <v>132.494</v>
      </c>
      <c r="X297" s="11" t="n">
        <v>101.88</v>
      </c>
      <c r="Y297" s="11" t="n">
        <v>193.134</v>
      </c>
      <c r="Z297" s="11" t="n">
        <v>196.83</v>
      </c>
      <c r="AA297" s="11" t="n">
        <f aca="false">SUM(U297:Z297)</f>
        <v>892.466</v>
      </c>
      <c r="AB297" s="11" t="n">
        <v>15.05</v>
      </c>
      <c r="AC297" s="11" t="n">
        <v>54.476</v>
      </c>
      <c r="AD297" s="11" t="n">
        <v>34.078</v>
      </c>
      <c r="AE297" s="11" t="n">
        <v>24.436</v>
      </c>
      <c r="AF297" s="11" t="n">
        <v>48.65</v>
      </c>
      <c r="AG297" s="11" t="n">
        <v>35.317</v>
      </c>
      <c r="AH297" s="11" t="n">
        <f aca="false">SUM(AB297:AG297)</f>
        <v>212.007</v>
      </c>
    </row>
    <row r="298" customFormat="false" ht="15" hidden="false" customHeight="false" outlineLevel="2" collapsed="false">
      <c r="A298" s="8" t="s">
        <v>1873</v>
      </c>
      <c r="B298" s="12" t="s">
        <v>1874</v>
      </c>
      <c r="C298" s="8" t="s">
        <v>1830</v>
      </c>
      <c r="D298" s="12" t="s">
        <v>1831</v>
      </c>
      <c r="E298" s="16"/>
      <c r="F298" s="9" t="str">
        <f aca="false">IF($E298="","",IFERROR(INDEX(担当者マスタ!$B$2:$B$101,MATCH($E298,担当者マスタ!$A$2:$A$101,0)),"※マスタ未登録"))</f>
        <v/>
      </c>
      <c r="G298" s="11" t="n">
        <v>1576.158</v>
      </c>
      <c r="H298" s="11" t="n">
        <v>241.354</v>
      </c>
      <c r="I298" s="11" t="n">
        <v>300.96</v>
      </c>
      <c r="J298" s="11" t="n">
        <v>161.797</v>
      </c>
      <c r="K298" s="11" t="n">
        <v>75.597</v>
      </c>
      <c r="L298" s="11" t="n">
        <v>322.274</v>
      </c>
      <c r="M298" s="11" t="n">
        <f aca="false">SUM(G298:L298)</f>
        <v>2678.14</v>
      </c>
      <c r="N298" s="11" t="n">
        <v>251.703</v>
      </c>
      <c r="O298" s="11" t="n">
        <v>40.705</v>
      </c>
      <c r="P298" s="11" t="n">
        <v>37.701</v>
      </c>
      <c r="Q298" s="11" t="n">
        <v>20.747</v>
      </c>
      <c r="R298" s="11" t="n">
        <v>6.617</v>
      </c>
      <c r="S298" s="11" t="n">
        <v>47.817</v>
      </c>
      <c r="T298" s="11" t="n">
        <f aca="false">SUM(N298:S298)</f>
        <v>405.29</v>
      </c>
      <c r="U298" s="11" t="n">
        <v>618.73</v>
      </c>
      <c r="V298" s="11" t="n">
        <v>623.668</v>
      </c>
      <c r="W298" s="11" t="n">
        <v>791.649</v>
      </c>
      <c r="X298" s="11" t="n">
        <v>193.421</v>
      </c>
      <c r="Y298" s="11" t="n">
        <v>305.575</v>
      </c>
      <c r="Z298" s="11" t="n">
        <v>343.379</v>
      </c>
      <c r="AA298" s="11" t="n">
        <f aca="false">SUM(U298:Z298)</f>
        <v>2876.422</v>
      </c>
      <c r="AB298" s="11" t="n">
        <v>40.901</v>
      </c>
      <c r="AC298" s="11" t="n">
        <v>91.591</v>
      </c>
      <c r="AD298" s="11" t="n">
        <v>112.495</v>
      </c>
      <c r="AE298" s="11" t="n">
        <v>20.405</v>
      </c>
      <c r="AF298" s="11" t="n">
        <v>49.465</v>
      </c>
      <c r="AG298" s="11" t="n">
        <v>51.067</v>
      </c>
      <c r="AH298" s="11" t="n">
        <f aca="false">SUM(AB298:AG298)</f>
        <v>365.924</v>
      </c>
    </row>
    <row r="299" customFormat="false" ht="15" hidden="false" customHeight="false" outlineLevel="2" collapsed="false">
      <c r="A299" s="8" t="s">
        <v>1875</v>
      </c>
      <c r="B299" s="12" t="s">
        <v>1876</v>
      </c>
      <c r="C299" s="8" t="s">
        <v>1830</v>
      </c>
      <c r="D299" s="12" t="s">
        <v>1831</v>
      </c>
      <c r="E299" s="16"/>
      <c r="F299" s="9" t="str">
        <f aca="false">IF($E299="","",IFERROR(INDEX(担当者マスタ!$B$2:$B$101,MATCH($E299,担当者マスタ!$A$2:$A$101,0)),"※マスタ未登録"))</f>
        <v/>
      </c>
      <c r="G299" s="11" t="n">
        <v>0</v>
      </c>
      <c r="H299" s="11" t="n">
        <v>133.8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f aca="false">SUM(G299:L299)</f>
        <v>133.8</v>
      </c>
      <c r="N299" s="11" t="n">
        <v>0</v>
      </c>
      <c r="O299" s="11" t="n">
        <v>37.1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f aca="false">SUM(N299:S299)</f>
        <v>37.1</v>
      </c>
      <c r="U299" s="11" t="n">
        <v>0</v>
      </c>
      <c r="V299" s="11" t="n">
        <v>61.54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f aca="false">SUM(U299:Z299)</f>
        <v>61.54</v>
      </c>
      <c r="AB299" s="11" t="n">
        <v>0</v>
      </c>
      <c r="AC299" s="11" t="n">
        <v>9.62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n">
        <f aca="false">SUM(AB299:AG299)</f>
        <v>9.62</v>
      </c>
    </row>
    <row r="300" customFormat="false" ht="15" hidden="false" customHeight="false" outlineLevel="2" collapsed="false">
      <c r="A300" s="8" t="s">
        <v>1877</v>
      </c>
      <c r="B300" s="12" t="s">
        <v>1878</v>
      </c>
      <c r="C300" s="8" t="s">
        <v>1830</v>
      </c>
      <c r="D300" s="12" t="s">
        <v>1831</v>
      </c>
      <c r="E300" s="16"/>
      <c r="F300" s="9" t="str">
        <f aca="false">IF($E300="","",IFERROR(INDEX(担当者マスタ!$B$2:$B$101,MATCH($E300,担当者マスタ!$A$2:$A$101,0)),"※マスタ未登録"))</f>
        <v/>
      </c>
      <c r="G300" s="11" t="n">
        <v>0</v>
      </c>
      <c r="H300" s="11" t="n">
        <v>331.84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f aca="false">SUM(G300:L300)</f>
        <v>331.84</v>
      </c>
      <c r="N300" s="11" t="n">
        <v>0</v>
      </c>
      <c r="O300" s="11" t="n">
        <v>65.322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f aca="false">SUM(N300:S300)</f>
        <v>65.322</v>
      </c>
      <c r="U300" s="11" t="n">
        <v>0</v>
      </c>
      <c r="V300" s="11" t="n">
        <v>159.94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f aca="false">SUM(U300:Z300)</f>
        <v>159.94</v>
      </c>
      <c r="AB300" s="11" t="n">
        <v>0</v>
      </c>
      <c r="AC300" s="11" t="n">
        <v>29.571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n">
        <f aca="false">SUM(AB300:AG300)</f>
        <v>29.571</v>
      </c>
    </row>
    <row r="301" customFormat="false" ht="15" hidden="false" customHeight="false" outlineLevel="2" collapsed="false">
      <c r="A301" s="8" t="s">
        <v>1879</v>
      </c>
      <c r="B301" s="12" t="s">
        <v>1880</v>
      </c>
      <c r="C301" s="8" t="s">
        <v>1830</v>
      </c>
      <c r="D301" s="12" t="s">
        <v>1831</v>
      </c>
      <c r="E301" s="16"/>
      <c r="F301" s="9" t="str">
        <f aca="false">IF($E301="","",IFERROR(INDEX(担当者マスタ!$B$2:$B$101,MATCH($E301,担当者マスタ!$A$2:$A$101,0)),"※マスタ未登録"))</f>
        <v/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f aca="false">SUM(G301:L301)</f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f aca="false">SUM(N301:S301)</f>
        <v>0</v>
      </c>
      <c r="U301" s="11" t="n">
        <v>80</v>
      </c>
      <c r="V301" s="11" t="n">
        <v>0</v>
      </c>
      <c r="W301" s="11" t="n">
        <v>42.5</v>
      </c>
      <c r="X301" s="11" t="n">
        <v>0</v>
      </c>
      <c r="Y301" s="11" t="n">
        <v>0</v>
      </c>
      <c r="Z301" s="11" t="n">
        <v>0</v>
      </c>
      <c r="AA301" s="11" t="n">
        <f aca="false">SUM(U301:Z301)</f>
        <v>122.5</v>
      </c>
      <c r="AB301" s="11" t="n">
        <v>8.4</v>
      </c>
      <c r="AC301" s="11" t="n">
        <v>0</v>
      </c>
      <c r="AD301" s="11" t="n">
        <v>4.25</v>
      </c>
      <c r="AE301" s="11" t="n">
        <v>0</v>
      </c>
      <c r="AF301" s="11" t="n">
        <v>0</v>
      </c>
      <c r="AG301" s="11" t="n">
        <v>0</v>
      </c>
      <c r="AH301" s="11" t="n">
        <f aca="false">SUM(AB301:AG301)</f>
        <v>12.65</v>
      </c>
    </row>
    <row r="302" customFormat="false" ht="15" hidden="false" customHeight="false" outlineLevel="2" collapsed="false">
      <c r="A302" s="8" t="s">
        <v>1881</v>
      </c>
      <c r="B302" s="12" t="s">
        <v>1882</v>
      </c>
      <c r="C302" s="8" t="s">
        <v>1830</v>
      </c>
      <c r="D302" s="12" t="s">
        <v>1831</v>
      </c>
      <c r="E302" s="16"/>
      <c r="F302" s="9" t="str">
        <f aca="false">IF($E302="","",IFERROR(INDEX(担当者マスタ!$B$2:$B$101,MATCH($E302,担当者マスタ!$A$2:$A$101,0)),"※マスタ未登録"))</f>
        <v/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f aca="false">SUM(G302:L302)</f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f aca="false">SUM(N302:S302)</f>
        <v>0</v>
      </c>
      <c r="U302" s="11" t="n">
        <v>0</v>
      </c>
      <c r="V302" s="11" t="n">
        <v>0</v>
      </c>
      <c r="W302" s="11" t="n">
        <v>44.76</v>
      </c>
      <c r="X302" s="11" t="n">
        <v>0</v>
      </c>
      <c r="Y302" s="11" t="n">
        <v>0</v>
      </c>
      <c r="Z302" s="11" t="n">
        <v>100</v>
      </c>
      <c r="AA302" s="11" t="n">
        <f aca="false">SUM(U302:Z302)</f>
        <v>144.76</v>
      </c>
      <c r="AB302" s="11" t="n">
        <v>0</v>
      </c>
      <c r="AC302" s="11" t="n">
        <v>0</v>
      </c>
      <c r="AD302" s="11" t="n">
        <v>33.075</v>
      </c>
      <c r="AE302" s="11" t="n">
        <v>0</v>
      </c>
      <c r="AF302" s="11" t="n">
        <v>0</v>
      </c>
      <c r="AG302" s="11" t="n">
        <v>15</v>
      </c>
      <c r="AH302" s="11" t="n">
        <f aca="false">SUM(AB302:AG302)</f>
        <v>48.075</v>
      </c>
    </row>
    <row r="303" customFormat="false" ht="15" hidden="false" customHeight="false" outlineLevel="2" collapsed="false">
      <c r="A303" s="8" t="s">
        <v>1883</v>
      </c>
      <c r="B303" s="12" t="s">
        <v>1884</v>
      </c>
      <c r="C303" s="8" t="s">
        <v>1830</v>
      </c>
      <c r="D303" s="12" t="s">
        <v>1831</v>
      </c>
      <c r="E303" s="16"/>
      <c r="F303" s="9" t="str">
        <f aca="false">IF($E303="","",IFERROR(INDEX(担当者マスタ!$B$2:$B$101,MATCH($E303,担当者マスタ!$A$2:$A$101,0)),"※マスタ未登録"))</f>
        <v/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f aca="false">SUM(G303:L303)</f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f aca="false">SUM(N303:S303)</f>
        <v>0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31.74</v>
      </c>
      <c r="Z303" s="11" t="n">
        <v>98.65</v>
      </c>
      <c r="AA303" s="11" t="n">
        <f aca="false">SUM(U303:Z303)</f>
        <v>130.39</v>
      </c>
      <c r="AB303" s="11" t="n">
        <v>0</v>
      </c>
      <c r="AC303" s="11" t="n">
        <v>0</v>
      </c>
      <c r="AD303" s="11" t="n">
        <v>0</v>
      </c>
      <c r="AE303" s="11" t="n">
        <v>0</v>
      </c>
      <c r="AF303" s="11" t="n">
        <v>2.048</v>
      </c>
      <c r="AG303" s="11" t="n">
        <v>59.735</v>
      </c>
      <c r="AH303" s="11" t="n">
        <f aca="false">SUM(AB303:AG303)</f>
        <v>61.783</v>
      </c>
    </row>
    <row r="304" customFormat="false" ht="15" hidden="false" customHeight="false" outlineLevel="1" collapsed="false">
      <c r="A304" s="19"/>
      <c r="B304" s="19"/>
      <c r="C304" s="17" t="s">
        <v>1954</v>
      </c>
      <c r="D304" s="19" t="s">
        <v>1831</v>
      </c>
      <c r="E304" s="19"/>
      <c r="F304" s="19"/>
      <c r="G304" s="18" t="n">
        <f aca="false">SUBTOTAL(9,G276:G303)</f>
        <v>31694.462</v>
      </c>
      <c r="H304" s="18" t="n">
        <f aca="false">SUBTOTAL(9,H276:H303)</f>
        <v>28320.123</v>
      </c>
      <c r="I304" s="18" t="n">
        <f aca="false">SUBTOTAL(9,I276:I303)</f>
        <v>22613.9</v>
      </c>
      <c r="J304" s="18" t="n">
        <f aca="false">SUBTOTAL(9,J276:J303)</f>
        <v>12585.603</v>
      </c>
      <c r="K304" s="18" t="n">
        <f aca="false">SUBTOTAL(9,K276:K303)</f>
        <v>7206.541</v>
      </c>
      <c r="L304" s="18" t="n">
        <f aca="false">SUBTOTAL(9,L276:L303)</f>
        <v>7343.096</v>
      </c>
      <c r="M304" s="18" t="n">
        <f aca="false">SUBTOTAL(9,M276:M303)</f>
        <v>109763.725</v>
      </c>
      <c r="N304" s="18" t="n">
        <f aca="false">SUBTOTAL(9,N276:N303)</f>
        <v>6514.854</v>
      </c>
      <c r="O304" s="18" t="n">
        <f aca="false">SUBTOTAL(9,O276:O303)</f>
        <v>6532.714</v>
      </c>
      <c r="P304" s="18" t="n">
        <f aca="false">SUBTOTAL(9,P276:P303)</f>
        <v>5313.103</v>
      </c>
      <c r="Q304" s="18" t="n">
        <f aca="false">SUBTOTAL(9,Q276:Q303)</f>
        <v>2708.26</v>
      </c>
      <c r="R304" s="18" t="n">
        <f aca="false">SUBTOTAL(9,R276:R303)</f>
        <v>1421.87</v>
      </c>
      <c r="S304" s="18" t="n">
        <f aca="false">SUBTOTAL(9,S276:S303)</f>
        <v>1461.048</v>
      </c>
      <c r="T304" s="18" t="n">
        <f aca="false">SUBTOTAL(9,T276:T303)</f>
        <v>23951.849</v>
      </c>
      <c r="U304" s="18" t="n">
        <f aca="false">SUBTOTAL(9,U276:U303)</f>
        <v>23581.24</v>
      </c>
      <c r="V304" s="18" t="n">
        <f aca="false">SUBTOTAL(9,V276:V303)</f>
        <v>21368.612</v>
      </c>
      <c r="W304" s="18" t="n">
        <f aca="false">SUBTOTAL(9,W276:W303)</f>
        <v>18034.207</v>
      </c>
      <c r="X304" s="18" t="n">
        <f aca="false">SUBTOTAL(9,X276:X303)</f>
        <v>9523.286</v>
      </c>
      <c r="Y304" s="18" t="n">
        <f aca="false">SUBTOTAL(9,Y276:Y303)</f>
        <v>7093.19</v>
      </c>
      <c r="Z304" s="18" t="n">
        <f aca="false">SUBTOTAL(9,Z276:Z303)</f>
        <v>8958.765</v>
      </c>
      <c r="AA304" s="18" t="n">
        <f aca="false">SUBTOTAL(9,AA276:AA303)</f>
        <v>88559.3</v>
      </c>
      <c r="AB304" s="18" t="n">
        <f aca="false">SUBTOTAL(9,AB276:AB303)</f>
        <v>5449.731</v>
      </c>
      <c r="AC304" s="18" t="n">
        <f aca="false">SUBTOTAL(9,AC276:AC303)</f>
        <v>5385.717</v>
      </c>
      <c r="AD304" s="18" t="n">
        <f aca="false">SUBTOTAL(9,AD276:AD303)</f>
        <v>4432.897</v>
      </c>
      <c r="AE304" s="18" t="n">
        <f aca="false">SUBTOTAL(9,AE276:AE303)</f>
        <v>2245.574</v>
      </c>
      <c r="AF304" s="18" t="n">
        <f aca="false">SUBTOTAL(9,AF276:AF303)</f>
        <v>1281.403</v>
      </c>
      <c r="AG304" s="18" t="n">
        <f aca="false">SUBTOTAL(9,AG276:AG303)</f>
        <v>2166.055</v>
      </c>
      <c r="AH304" s="18" t="n">
        <f aca="false">SUBTOTAL(9,AH276:AH303)</f>
        <v>20961.377</v>
      </c>
    </row>
    <row r="305" customFormat="false" ht="15" hidden="false" customHeight="false" outlineLevel="2" collapsed="false">
      <c r="A305" s="8" t="s">
        <v>1885</v>
      </c>
      <c r="B305" s="12" t="s">
        <v>1886</v>
      </c>
      <c r="C305" s="8" t="s">
        <v>1887</v>
      </c>
      <c r="D305" s="12" t="s">
        <v>1888</v>
      </c>
      <c r="E305" s="16"/>
      <c r="F305" s="9" t="str">
        <f aca="false">IF($E305="","",IFERROR(INDEX(担当者マスタ!$B$2:$B$101,MATCH($E305,担当者マスタ!$A$2:$A$101,0)),"※マスタ未登録"))</f>
        <v/>
      </c>
      <c r="G305" s="11" t="n">
        <v>54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f aca="false">SUM(G305:L305)</f>
        <v>54</v>
      </c>
      <c r="N305" s="11" t="n">
        <v>11.65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f aca="false">SUM(N305:S305)</f>
        <v>11.65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320</v>
      </c>
      <c r="Z305" s="11" t="n">
        <v>0</v>
      </c>
      <c r="AA305" s="11" t="n">
        <f aca="false">SUM(U305:Z305)</f>
        <v>320</v>
      </c>
      <c r="AB305" s="11" t="n">
        <v>0</v>
      </c>
      <c r="AC305" s="11" t="n">
        <v>0</v>
      </c>
      <c r="AD305" s="11" t="n">
        <v>0</v>
      </c>
      <c r="AE305" s="11" t="n">
        <v>0</v>
      </c>
      <c r="AF305" s="11" t="n">
        <v>75</v>
      </c>
      <c r="AG305" s="11" t="n">
        <v>0</v>
      </c>
      <c r="AH305" s="11" t="n">
        <f aca="false">SUM(AB305:AG305)</f>
        <v>75</v>
      </c>
    </row>
    <row r="306" customFormat="false" ht="15" hidden="false" customHeight="false" outlineLevel="2" collapsed="false">
      <c r="A306" s="8" t="s">
        <v>1889</v>
      </c>
      <c r="B306" s="12" t="s">
        <v>1890</v>
      </c>
      <c r="C306" s="8" t="s">
        <v>1887</v>
      </c>
      <c r="D306" s="12" t="s">
        <v>1888</v>
      </c>
      <c r="E306" s="16"/>
      <c r="F306" s="9" t="str">
        <f aca="false">IF($E306="","",IFERROR(INDEX(担当者マスタ!$B$2:$B$101,MATCH($E306,担当者マスタ!$A$2:$A$101,0)),"※マスタ未登録"))</f>
        <v/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f aca="false">SUM(G306:L306)</f>
        <v>0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f aca="false">SUM(N306:S306)</f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16000</v>
      </c>
      <c r="AA306" s="11" t="n">
        <f aca="false">SUM(U306:Z306)</f>
        <v>16000</v>
      </c>
      <c r="AB306" s="11" t="n">
        <v>0</v>
      </c>
      <c r="AC306" s="11" t="n">
        <v>0</v>
      </c>
      <c r="AD306" s="11" t="n">
        <v>0</v>
      </c>
      <c r="AE306" s="11" t="n">
        <v>0</v>
      </c>
      <c r="AF306" s="11" t="n">
        <v>0</v>
      </c>
      <c r="AG306" s="11" t="n">
        <v>3974.964</v>
      </c>
      <c r="AH306" s="11" t="n">
        <f aca="false">SUM(AB306:AG306)</f>
        <v>3974.964</v>
      </c>
    </row>
    <row r="307" customFormat="false" ht="15" hidden="false" customHeight="false" outlineLevel="2" collapsed="false">
      <c r="A307" s="8" t="s">
        <v>1891</v>
      </c>
      <c r="B307" s="12" t="s">
        <v>1892</v>
      </c>
      <c r="C307" s="8" t="s">
        <v>1887</v>
      </c>
      <c r="D307" s="12" t="s">
        <v>1888</v>
      </c>
      <c r="E307" s="16"/>
      <c r="F307" s="9" t="str">
        <f aca="false">IF($E307="","",IFERROR(INDEX(担当者マスタ!$B$2:$B$101,MATCH($E307,担当者マスタ!$A$2:$A$101,0)),"※マスタ未登録"))</f>
        <v/>
      </c>
      <c r="G307" s="11" t="n">
        <v>0</v>
      </c>
      <c r="H307" s="11" t="n">
        <v>0</v>
      </c>
      <c r="I307" s="11" t="n">
        <v>10.4</v>
      </c>
      <c r="J307" s="11" t="n">
        <v>0</v>
      </c>
      <c r="K307" s="11" t="n">
        <v>0</v>
      </c>
      <c r="L307" s="11" t="n">
        <v>0</v>
      </c>
      <c r="M307" s="11" t="n">
        <f aca="false">SUM(G307:L307)</f>
        <v>10.4</v>
      </c>
      <c r="N307" s="11" t="n">
        <v>0</v>
      </c>
      <c r="O307" s="11" t="n">
        <v>0</v>
      </c>
      <c r="P307" s="11" t="n">
        <v>3.36</v>
      </c>
      <c r="Q307" s="11" t="n">
        <v>0</v>
      </c>
      <c r="R307" s="11" t="n">
        <v>0</v>
      </c>
      <c r="S307" s="11" t="n">
        <v>0</v>
      </c>
      <c r="T307" s="11" t="n">
        <f aca="false">SUM(N307:S307)</f>
        <v>3.36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f aca="false">SUM(U307:Z307)</f>
        <v>0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0</v>
      </c>
      <c r="AH307" s="11" t="n">
        <f aca="false">SUM(AB307:AG307)</f>
        <v>0</v>
      </c>
    </row>
    <row r="308" customFormat="false" ht="15" hidden="false" customHeight="false" outlineLevel="2" collapsed="false">
      <c r="A308" s="8" t="s">
        <v>1893</v>
      </c>
      <c r="B308" s="12" t="s">
        <v>1894</v>
      </c>
      <c r="C308" s="8" t="s">
        <v>1887</v>
      </c>
      <c r="D308" s="12" t="s">
        <v>1888</v>
      </c>
      <c r="E308" s="16"/>
      <c r="F308" s="9" t="str">
        <f aca="false">IF($E308="","",IFERROR(INDEX(担当者マスタ!$B$2:$B$101,MATCH($E308,担当者マスタ!$A$2:$A$101,0)),"※マスタ未登録"))</f>
        <v/>
      </c>
      <c r="G308" s="11" t="n">
        <v>0</v>
      </c>
      <c r="H308" s="11" t="n">
        <v>195.252</v>
      </c>
      <c r="I308" s="11" t="n">
        <v>0</v>
      </c>
      <c r="J308" s="11" t="n">
        <v>0</v>
      </c>
      <c r="K308" s="11" t="n">
        <v>0</v>
      </c>
      <c r="L308" s="11" t="n">
        <v>86.64</v>
      </c>
      <c r="M308" s="11" t="n">
        <f aca="false">SUM(G308:L308)</f>
        <v>281.892</v>
      </c>
      <c r="N308" s="11" t="n">
        <v>0</v>
      </c>
      <c r="O308" s="11" t="n">
        <v>41.445</v>
      </c>
      <c r="P308" s="11" t="n">
        <v>0</v>
      </c>
      <c r="Q308" s="11" t="n">
        <v>0</v>
      </c>
      <c r="R308" s="11" t="n">
        <v>0</v>
      </c>
      <c r="S308" s="11" t="n">
        <v>16.72</v>
      </c>
      <c r="T308" s="11" t="n">
        <f aca="false">SUM(N308:S308)</f>
        <v>58.165</v>
      </c>
      <c r="U308" s="11" t="n">
        <v>163.664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f aca="false">SUM(U308:Z308)</f>
        <v>163.664</v>
      </c>
      <c r="AB308" s="11" t="n">
        <v>32.436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f aca="false">SUM(AB308:AG308)</f>
        <v>32.436</v>
      </c>
    </row>
    <row r="309" customFormat="false" ht="15" hidden="false" customHeight="false" outlineLevel="2" collapsed="false">
      <c r="A309" s="8" t="s">
        <v>1895</v>
      </c>
      <c r="B309" s="9" t="s">
        <v>1896</v>
      </c>
      <c r="C309" s="8" t="s">
        <v>1887</v>
      </c>
      <c r="D309" s="12" t="s">
        <v>1888</v>
      </c>
      <c r="E309" s="16"/>
      <c r="F309" s="9" t="str">
        <f aca="false">IF($E309="","",IFERROR(INDEX(担当者マスタ!$B$2:$B$101,MATCH($E309,担当者マスタ!$A$2:$A$101,0)),"※マスタ未登録"))</f>
        <v/>
      </c>
      <c r="G309" s="11" t="n">
        <v>41.165</v>
      </c>
      <c r="H309" s="11" t="n">
        <v>0</v>
      </c>
      <c r="I309" s="11" t="n">
        <v>60.403</v>
      </c>
      <c r="J309" s="11" t="n">
        <v>0</v>
      </c>
      <c r="K309" s="11" t="n">
        <v>1344.679</v>
      </c>
      <c r="L309" s="11" t="n">
        <v>13.187</v>
      </c>
      <c r="M309" s="11" t="n">
        <f aca="false">SUM(G309:L309)</f>
        <v>1459.434</v>
      </c>
      <c r="N309" s="11" t="n">
        <v>6.365</v>
      </c>
      <c r="O309" s="11" t="n">
        <v>0</v>
      </c>
      <c r="P309" s="11" t="n">
        <v>13.853</v>
      </c>
      <c r="Q309" s="11" t="n">
        <v>0</v>
      </c>
      <c r="R309" s="11" t="n">
        <v>352.066</v>
      </c>
      <c r="S309" s="11" t="n">
        <v>5.362</v>
      </c>
      <c r="T309" s="11" t="n">
        <f aca="false">SUM(N309:S309)</f>
        <v>377.646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f aca="false">SUM(U309:Z309)</f>
        <v>0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0</v>
      </c>
      <c r="AG309" s="11" t="n">
        <v>0</v>
      </c>
      <c r="AH309" s="11" t="n">
        <f aca="false">SUM(AB309:AG309)</f>
        <v>0</v>
      </c>
    </row>
    <row r="310" customFormat="false" ht="15" hidden="false" customHeight="false" outlineLevel="2" collapsed="false">
      <c r="A310" s="8" t="s">
        <v>1897</v>
      </c>
      <c r="B310" s="9" t="s">
        <v>1898</v>
      </c>
      <c r="C310" s="8" t="s">
        <v>1887</v>
      </c>
      <c r="D310" s="12" t="s">
        <v>1888</v>
      </c>
      <c r="E310" s="16"/>
      <c r="F310" s="9" t="str">
        <f aca="false">IF($E310="","",IFERROR(INDEX(担当者マスタ!$B$2:$B$101,MATCH($E310,担当者マスタ!$A$2:$A$101,0)),"※マスタ未登録"))</f>
        <v/>
      </c>
      <c r="G310" s="11" t="n">
        <v>0</v>
      </c>
      <c r="H310" s="11" t="n">
        <v>0</v>
      </c>
      <c r="I310" s="11" t="n">
        <v>0</v>
      </c>
      <c r="J310" s="11" t="n">
        <v>138</v>
      </c>
      <c r="K310" s="11" t="n">
        <v>0</v>
      </c>
      <c r="L310" s="11" t="n">
        <v>308</v>
      </c>
      <c r="M310" s="11" t="n">
        <f aca="false">SUM(G310:L310)</f>
        <v>446</v>
      </c>
      <c r="N310" s="11" t="n">
        <v>0</v>
      </c>
      <c r="O310" s="11" t="n">
        <v>0</v>
      </c>
      <c r="P310" s="11" t="n">
        <v>0</v>
      </c>
      <c r="Q310" s="11" t="n">
        <v>59.445</v>
      </c>
      <c r="R310" s="11" t="n">
        <v>0</v>
      </c>
      <c r="S310" s="11" t="n">
        <v>85.75</v>
      </c>
      <c r="T310" s="11" t="n">
        <f aca="false">SUM(N310:S310)</f>
        <v>145.195</v>
      </c>
      <c r="U310" s="11" t="n">
        <v>0</v>
      </c>
      <c r="V310" s="11" t="n">
        <v>0</v>
      </c>
      <c r="W310" s="11" t="n">
        <v>90</v>
      </c>
      <c r="X310" s="11" t="n">
        <v>0</v>
      </c>
      <c r="Y310" s="11" t="n">
        <v>0</v>
      </c>
      <c r="Z310" s="11" t="n">
        <v>0</v>
      </c>
      <c r="AA310" s="11" t="n">
        <f aca="false">SUM(U310:Z310)</f>
        <v>90</v>
      </c>
      <c r="AB310" s="11" t="n">
        <v>0</v>
      </c>
      <c r="AC310" s="11" t="n">
        <v>0</v>
      </c>
      <c r="AD310" s="11" t="n">
        <v>35.65</v>
      </c>
      <c r="AE310" s="11" t="n">
        <v>0</v>
      </c>
      <c r="AF310" s="11" t="n">
        <v>0</v>
      </c>
      <c r="AG310" s="11" t="n">
        <v>0</v>
      </c>
      <c r="AH310" s="11" t="n">
        <f aca="false">SUM(AB310:AG310)</f>
        <v>35.65</v>
      </c>
    </row>
    <row r="311" customFormat="false" ht="15" hidden="false" customHeight="false" outlineLevel="2" collapsed="false">
      <c r="A311" s="8" t="s">
        <v>1899</v>
      </c>
      <c r="B311" s="9" t="s">
        <v>1900</v>
      </c>
      <c r="C311" s="8" t="s">
        <v>1887</v>
      </c>
      <c r="D311" s="12" t="s">
        <v>1888</v>
      </c>
      <c r="E311" s="16"/>
      <c r="F311" s="9" t="str">
        <f aca="false">IF($E311="","",IFERROR(INDEX(担当者マスタ!$B$2:$B$101,MATCH($E311,担当者マスタ!$A$2:$A$101,0)),"※マスタ未登録"))</f>
        <v/>
      </c>
      <c r="G311" s="11" t="n">
        <v>71.4</v>
      </c>
      <c r="H311" s="11" t="n">
        <v>1635.72</v>
      </c>
      <c r="I311" s="11" t="n">
        <v>1923.65</v>
      </c>
      <c r="J311" s="11" t="n">
        <v>571.35</v>
      </c>
      <c r="K311" s="11" t="n">
        <v>206.55</v>
      </c>
      <c r="L311" s="11" t="n">
        <v>2585.82</v>
      </c>
      <c r="M311" s="11" t="n">
        <f aca="false">SUM(G311:L311)</f>
        <v>6994.49</v>
      </c>
      <c r="N311" s="11" t="n">
        <v>15.3</v>
      </c>
      <c r="O311" s="11" t="n">
        <v>306.49</v>
      </c>
      <c r="P311" s="11" t="n">
        <v>279.261</v>
      </c>
      <c r="Q311" s="11" t="n">
        <v>146.3</v>
      </c>
      <c r="R311" s="11" t="n">
        <v>69.7</v>
      </c>
      <c r="S311" s="11" t="n">
        <v>450.54</v>
      </c>
      <c r="T311" s="11" t="n">
        <f aca="false">SUM(N311:S311)</f>
        <v>1267.591</v>
      </c>
      <c r="U311" s="11" t="n">
        <v>3392.47</v>
      </c>
      <c r="V311" s="11" t="n">
        <v>370.11</v>
      </c>
      <c r="W311" s="11" t="n">
        <v>46.86</v>
      </c>
      <c r="X311" s="11" t="n">
        <v>2551.05</v>
      </c>
      <c r="Y311" s="11" t="n">
        <v>839</v>
      </c>
      <c r="Z311" s="11" t="n">
        <v>1572.15</v>
      </c>
      <c r="AA311" s="11" t="n">
        <f aca="false">SUM(U311:Z311)</f>
        <v>8771.64</v>
      </c>
      <c r="AB311" s="11" t="n">
        <v>563.334</v>
      </c>
      <c r="AC311" s="11" t="n">
        <v>83.66</v>
      </c>
      <c r="AD311" s="11" t="n">
        <v>16.61</v>
      </c>
      <c r="AE311" s="11" t="n">
        <v>449.125</v>
      </c>
      <c r="AF311" s="11" t="n">
        <v>197.3</v>
      </c>
      <c r="AG311" s="11" t="n">
        <v>440.66</v>
      </c>
      <c r="AH311" s="11" t="n">
        <f aca="false">SUM(AB311:AG311)</f>
        <v>1750.689</v>
      </c>
    </row>
    <row r="312" customFormat="false" ht="15" hidden="false" customHeight="false" outlineLevel="1" collapsed="false">
      <c r="A312" s="19"/>
      <c r="B312" s="19"/>
      <c r="C312" s="17" t="s">
        <v>1955</v>
      </c>
      <c r="D312" s="19" t="s">
        <v>1956</v>
      </c>
      <c r="E312" s="19"/>
      <c r="F312" s="19"/>
      <c r="G312" s="18" t="n">
        <f aca="false">SUBTOTAL(9,G305:G311)</f>
        <v>166.565</v>
      </c>
      <c r="H312" s="18" t="n">
        <f aca="false">SUBTOTAL(9,H305:H311)</f>
        <v>1830.972</v>
      </c>
      <c r="I312" s="18" t="n">
        <f aca="false">SUBTOTAL(9,I305:I311)</f>
        <v>1994.453</v>
      </c>
      <c r="J312" s="18" t="n">
        <f aca="false">SUBTOTAL(9,J305:J311)</f>
        <v>709.35</v>
      </c>
      <c r="K312" s="18" t="n">
        <f aca="false">SUBTOTAL(9,K305:K311)</f>
        <v>1551.229</v>
      </c>
      <c r="L312" s="18" t="n">
        <f aca="false">SUBTOTAL(9,L305:L311)</f>
        <v>2993.647</v>
      </c>
      <c r="M312" s="18" t="n">
        <f aca="false">SUBTOTAL(9,M305:M311)</f>
        <v>9246.216</v>
      </c>
      <c r="N312" s="18" t="n">
        <f aca="false">SUBTOTAL(9,N305:N311)</f>
        <v>33.315</v>
      </c>
      <c r="O312" s="18" t="n">
        <f aca="false">SUBTOTAL(9,O305:O311)</f>
        <v>347.935</v>
      </c>
      <c r="P312" s="18" t="n">
        <f aca="false">SUBTOTAL(9,P305:P311)</f>
        <v>296.474</v>
      </c>
      <c r="Q312" s="18" t="n">
        <f aca="false">SUBTOTAL(9,Q305:Q311)</f>
        <v>205.745</v>
      </c>
      <c r="R312" s="18" t="n">
        <f aca="false">SUBTOTAL(9,R305:R311)</f>
        <v>421.766</v>
      </c>
      <c r="S312" s="18" t="n">
        <f aca="false">SUBTOTAL(9,S305:S311)</f>
        <v>558.372</v>
      </c>
      <c r="T312" s="18" t="n">
        <f aca="false">SUBTOTAL(9,T305:T311)</f>
        <v>1863.607</v>
      </c>
      <c r="U312" s="18" t="n">
        <f aca="false">SUBTOTAL(9,U305:U311)</f>
        <v>3556.134</v>
      </c>
      <c r="V312" s="18" t="n">
        <f aca="false">SUBTOTAL(9,V305:V311)</f>
        <v>370.11</v>
      </c>
      <c r="W312" s="18" t="n">
        <f aca="false">SUBTOTAL(9,W305:W311)</f>
        <v>136.86</v>
      </c>
      <c r="X312" s="18" t="n">
        <f aca="false">SUBTOTAL(9,X305:X311)</f>
        <v>2551.05</v>
      </c>
      <c r="Y312" s="18" t="n">
        <f aca="false">SUBTOTAL(9,Y305:Y311)</f>
        <v>1159</v>
      </c>
      <c r="Z312" s="18" t="n">
        <f aca="false">SUBTOTAL(9,Z305:Z311)</f>
        <v>17572.15</v>
      </c>
      <c r="AA312" s="18" t="n">
        <f aca="false">SUBTOTAL(9,AA305:AA311)</f>
        <v>25345.304</v>
      </c>
      <c r="AB312" s="18" t="n">
        <f aca="false">SUBTOTAL(9,AB305:AB311)</f>
        <v>595.77</v>
      </c>
      <c r="AC312" s="18" t="n">
        <f aca="false">SUBTOTAL(9,AC305:AC311)</f>
        <v>83.66</v>
      </c>
      <c r="AD312" s="18" t="n">
        <f aca="false">SUBTOTAL(9,AD305:AD311)</f>
        <v>52.26</v>
      </c>
      <c r="AE312" s="18" t="n">
        <f aca="false">SUBTOTAL(9,AE305:AE311)</f>
        <v>449.125</v>
      </c>
      <c r="AF312" s="18" t="n">
        <f aca="false">SUBTOTAL(9,AF305:AF311)</f>
        <v>272.3</v>
      </c>
      <c r="AG312" s="18" t="n">
        <f aca="false">SUBTOTAL(9,AG305:AG311)</f>
        <v>4415.624</v>
      </c>
      <c r="AH312" s="18" t="n">
        <f aca="false">SUBTOTAL(9,AH305:AH311)</f>
        <v>5868.739</v>
      </c>
    </row>
    <row r="313" customFormat="false" ht="15" hidden="false" customHeight="false" outlineLevel="2" collapsed="false">
      <c r="A313" s="8" t="s">
        <v>1901</v>
      </c>
      <c r="B313" s="12" t="s">
        <v>1902</v>
      </c>
      <c r="C313" s="8" t="s">
        <v>1903</v>
      </c>
      <c r="D313" s="12" t="s">
        <v>655</v>
      </c>
      <c r="E313" s="16"/>
      <c r="F313" s="9" t="str">
        <f aca="false">IF($E313="","",IFERROR(INDEX(担当者マスタ!$B$2:$B$101,MATCH($E313,担当者マスタ!$A$2:$A$101,0)),"※マスタ未登録"))</f>
        <v/>
      </c>
      <c r="G313" s="11" t="n">
        <v>26.7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f aca="false">SUM(G313:L313)</f>
        <v>26.7</v>
      </c>
      <c r="N313" s="11" t="n">
        <v>2.7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f aca="false">SUM(N313:S313)</f>
        <v>2.7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f aca="false">SUM(U313:Z313)</f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f aca="false">SUM(AB313:AG313)</f>
        <v>0</v>
      </c>
    </row>
    <row r="314" customFormat="false" ht="15" hidden="false" customHeight="false" outlineLevel="2" collapsed="false">
      <c r="A314" s="8" t="s">
        <v>1904</v>
      </c>
      <c r="B314" s="12" t="s">
        <v>1905</v>
      </c>
      <c r="C314" s="8" t="s">
        <v>1903</v>
      </c>
      <c r="D314" s="12" t="s">
        <v>655</v>
      </c>
      <c r="E314" s="16"/>
      <c r="F314" s="9" t="str">
        <f aca="false">IF($E314="","",IFERROR(INDEX(担当者マスタ!$B$2:$B$101,MATCH($E314,担当者マスタ!$A$2:$A$101,0)),"※マスタ未登録"))</f>
        <v/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11.76</v>
      </c>
      <c r="M314" s="11" t="n">
        <f aca="false">SUM(G314:L314)</f>
        <v>11.76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1.2</v>
      </c>
      <c r="T314" s="11" t="n">
        <f aca="false">SUM(N314:S314)</f>
        <v>1.2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f aca="false">SUM(U314:Z314)</f>
        <v>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f aca="false">SUM(AB314:AG314)</f>
        <v>0</v>
      </c>
    </row>
    <row r="315" customFormat="false" ht="15" hidden="false" customHeight="false" outlineLevel="2" collapsed="false">
      <c r="A315" s="8" t="s">
        <v>1906</v>
      </c>
      <c r="B315" s="12" t="s">
        <v>1907</v>
      </c>
      <c r="C315" s="8" t="s">
        <v>1903</v>
      </c>
      <c r="D315" s="12" t="s">
        <v>655</v>
      </c>
      <c r="E315" s="16"/>
      <c r="F315" s="9" t="str">
        <f aca="false">IF($E315="","",IFERROR(INDEX(担当者マスタ!$B$2:$B$101,MATCH($E315,担当者マスタ!$A$2:$A$101,0)),"※マスタ未登録"))</f>
        <v/>
      </c>
      <c r="G315" s="11" t="n">
        <v>0</v>
      </c>
      <c r="H315" s="11" t="n">
        <v>0</v>
      </c>
      <c r="I315" s="11" t="n">
        <v>9.96</v>
      </c>
      <c r="J315" s="11" t="n">
        <v>0</v>
      </c>
      <c r="K315" s="11" t="n">
        <v>0</v>
      </c>
      <c r="L315" s="11" t="n">
        <v>0</v>
      </c>
      <c r="M315" s="11" t="n">
        <f aca="false">SUM(G315:L315)</f>
        <v>9.96</v>
      </c>
      <c r="N315" s="11" t="n">
        <v>0</v>
      </c>
      <c r="O315" s="11" t="n">
        <v>0</v>
      </c>
      <c r="P315" s="11" t="n">
        <v>1.68</v>
      </c>
      <c r="Q315" s="11" t="n">
        <v>0</v>
      </c>
      <c r="R315" s="11" t="n">
        <v>0</v>
      </c>
      <c r="S315" s="11" t="n">
        <v>0</v>
      </c>
      <c r="T315" s="11" t="n">
        <f aca="false">SUM(N315:S315)</f>
        <v>1.68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0</v>
      </c>
      <c r="Z315" s="11" t="n">
        <v>0</v>
      </c>
      <c r="AA315" s="11" t="n">
        <f aca="false">SUM(U315:Z315)</f>
        <v>0</v>
      </c>
      <c r="AB315" s="11" t="n">
        <v>0</v>
      </c>
      <c r="AC315" s="11" t="n">
        <v>0</v>
      </c>
      <c r="AD315" s="11" t="n">
        <v>0</v>
      </c>
      <c r="AE315" s="11" t="n">
        <v>0</v>
      </c>
      <c r="AF315" s="11" t="n">
        <v>0</v>
      </c>
      <c r="AG315" s="11" t="n">
        <v>0</v>
      </c>
      <c r="AH315" s="11" t="n">
        <f aca="false">SUM(AB315:AG315)</f>
        <v>0</v>
      </c>
    </row>
    <row r="316" customFormat="false" ht="15" hidden="false" customHeight="false" outlineLevel="2" collapsed="false">
      <c r="A316" s="8" t="s">
        <v>1908</v>
      </c>
      <c r="B316" s="12" t="s">
        <v>1909</v>
      </c>
      <c r="C316" s="8" t="s">
        <v>1903</v>
      </c>
      <c r="D316" s="12" t="s">
        <v>655</v>
      </c>
      <c r="E316" s="16"/>
      <c r="F316" s="9" t="str">
        <f aca="false">IF($E316="","",IFERROR(INDEX(担当者マスタ!$B$2:$B$101,MATCH($E316,担当者マスタ!$A$2:$A$101,0)),"※マスタ未登録"))</f>
        <v/>
      </c>
      <c r="G316" s="11" t="n">
        <v>8.95</v>
      </c>
      <c r="H316" s="11" t="n">
        <v>0</v>
      </c>
      <c r="I316" s="11" t="n">
        <v>26.85</v>
      </c>
      <c r="J316" s="11" t="n">
        <v>8.95</v>
      </c>
      <c r="K316" s="11" t="n">
        <v>0</v>
      </c>
      <c r="L316" s="11" t="n">
        <v>8.95</v>
      </c>
      <c r="M316" s="11" t="n">
        <f aca="false">SUM(G316:L316)</f>
        <v>53.7</v>
      </c>
      <c r="N316" s="11" t="n">
        <v>2.2</v>
      </c>
      <c r="O316" s="11" t="n">
        <v>0</v>
      </c>
      <c r="P316" s="11" t="n">
        <v>4.2</v>
      </c>
      <c r="Q316" s="11" t="n">
        <v>1.4</v>
      </c>
      <c r="R316" s="11" t="n">
        <v>0</v>
      </c>
      <c r="S316" s="11" t="n">
        <v>1.4</v>
      </c>
      <c r="T316" s="11" t="n">
        <f aca="false">SUM(N316:S316)</f>
        <v>9.2</v>
      </c>
      <c r="U316" s="11" t="n">
        <v>9.15</v>
      </c>
      <c r="V316" s="11" t="n">
        <v>0</v>
      </c>
      <c r="W316" s="11" t="n">
        <v>18.3</v>
      </c>
      <c r="X316" s="11" t="n">
        <v>9.15</v>
      </c>
      <c r="Y316" s="11" t="n">
        <v>0</v>
      </c>
      <c r="Z316" s="11" t="n">
        <v>9.15</v>
      </c>
      <c r="AA316" s="11" t="n">
        <f aca="false">SUM(U316:Z316)</f>
        <v>45.75</v>
      </c>
      <c r="AB316" s="11" t="n">
        <v>1.4</v>
      </c>
      <c r="AC316" s="11" t="n">
        <v>0</v>
      </c>
      <c r="AD316" s="11" t="n">
        <v>2.8</v>
      </c>
      <c r="AE316" s="11" t="n">
        <v>1.4</v>
      </c>
      <c r="AF316" s="11" t="n">
        <v>0</v>
      </c>
      <c r="AG316" s="11" t="n">
        <v>1.4</v>
      </c>
      <c r="AH316" s="11" t="n">
        <f aca="false">SUM(AB316:AG316)</f>
        <v>7</v>
      </c>
    </row>
    <row r="317" customFormat="false" ht="15" hidden="false" customHeight="false" outlineLevel="2" collapsed="false">
      <c r="A317" s="8" t="s">
        <v>1910</v>
      </c>
      <c r="B317" s="12" t="s">
        <v>1911</v>
      </c>
      <c r="C317" s="8" t="s">
        <v>1903</v>
      </c>
      <c r="D317" s="12" t="s">
        <v>655</v>
      </c>
      <c r="E317" s="16"/>
      <c r="F317" s="9" t="str">
        <f aca="false">IF($E317="","",IFERROR(INDEX(担当者マスタ!$B$2:$B$101,MATCH($E317,担当者マスタ!$A$2:$A$101,0)),"※マスタ未登録"))</f>
        <v/>
      </c>
      <c r="G317" s="11" t="n">
        <v>2.58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f aca="false">SUM(G317:L317)</f>
        <v>2.58</v>
      </c>
      <c r="N317" s="11" t="n">
        <v>0.586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f aca="false">SUM(N317:S317)</f>
        <v>0.586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f aca="false">SUM(U317:Z317)</f>
        <v>0</v>
      </c>
      <c r="AB317" s="11" t="n">
        <v>0</v>
      </c>
      <c r="AC317" s="11" t="n">
        <v>0</v>
      </c>
      <c r="AD317" s="11" t="n">
        <v>0</v>
      </c>
      <c r="AE317" s="11" t="n">
        <v>0</v>
      </c>
      <c r="AF317" s="11" t="n">
        <v>0</v>
      </c>
      <c r="AG317" s="11" t="n">
        <v>0</v>
      </c>
      <c r="AH317" s="11" t="n">
        <f aca="false">SUM(AB317:AG317)</f>
        <v>0</v>
      </c>
    </row>
    <row r="318" customFormat="false" ht="15" hidden="false" customHeight="false" outlineLevel="2" collapsed="false">
      <c r="A318" s="8" t="s">
        <v>1912</v>
      </c>
      <c r="B318" s="12" t="s">
        <v>1913</v>
      </c>
      <c r="C318" s="8" t="s">
        <v>1903</v>
      </c>
      <c r="D318" s="12" t="s">
        <v>655</v>
      </c>
      <c r="E318" s="16"/>
      <c r="F318" s="9" t="str">
        <f aca="false">IF($E318="","",IFERROR(INDEX(担当者マスタ!$B$2:$B$101,MATCH($E318,担当者マスタ!$A$2:$A$101,0)),"※マスタ未登録"))</f>
        <v/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f aca="false">SUM(G318:L318)</f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f aca="false">SUM(N318:S318)</f>
        <v>0</v>
      </c>
      <c r="U318" s="11" t="n">
        <v>0</v>
      </c>
      <c r="V318" s="11" t="n">
        <v>60.96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f aca="false">SUM(U318:Z318)</f>
        <v>60.96</v>
      </c>
      <c r="AB318" s="11" t="n">
        <v>0</v>
      </c>
      <c r="AC318" s="11" t="n">
        <v>8.16</v>
      </c>
      <c r="AD318" s="11" t="n">
        <v>0</v>
      </c>
      <c r="AE318" s="11" t="n">
        <v>0</v>
      </c>
      <c r="AF318" s="11" t="n">
        <v>0</v>
      </c>
      <c r="AG318" s="11" t="n">
        <v>0</v>
      </c>
      <c r="AH318" s="11" t="n">
        <f aca="false">SUM(AB318:AG318)</f>
        <v>8.16</v>
      </c>
    </row>
    <row r="319" customFormat="false" ht="15" hidden="false" customHeight="false" outlineLevel="2" collapsed="false">
      <c r="A319" s="8" t="s">
        <v>1914</v>
      </c>
      <c r="B319" s="12" t="s">
        <v>1915</v>
      </c>
      <c r="C319" s="8" t="s">
        <v>1903</v>
      </c>
      <c r="D319" s="12" t="s">
        <v>655</v>
      </c>
      <c r="E319" s="16"/>
      <c r="F319" s="9" t="str">
        <f aca="false">IF($E319="","",IFERROR(INDEX(担当者マスタ!$B$2:$B$101,MATCH($E319,担当者マスタ!$A$2:$A$101,0)),"※マスタ未登録"))</f>
        <v/>
      </c>
      <c r="G319" s="11" t="n">
        <v>0</v>
      </c>
      <c r="H319" s="11" t="n">
        <v>0</v>
      </c>
      <c r="I319" s="11" t="n">
        <v>0</v>
      </c>
      <c r="J319" s="11" t="n">
        <v>13.498</v>
      </c>
      <c r="K319" s="11" t="n">
        <v>0</v>
      </c>
      <c r="L319" s="11" t="n">
        <v>0</v>
      </c>
      <c r="M319" s="11" t="n">
        <f aca="false">SUM(G319:L319)</f>
        <v>13.498</v>
      </c>
      <c r="N319" s="11" t="n">
        <v>0</v>
      </c>
      <c r="O319" s="11" t="n">
        <v>0</v>
      </c>
      <c r="P319" s="11" t="n">
        <v>0</v>
      </c>
      <c r="Q319" s="11" t="n">
        <v>2.222</v>
      </c>
      <c r="R319" s="11" t="n">
        <v>0</v>
      </c>
      <c r="S319" s="11" t="n">
        <v>0</v>
      </c>
      <c r="T319" s="11" t="n">
        <f aca="false">SUM(N319:S319)</f>
        <v>2.222</v>
      </c>
      <c r="U319" s="11" t="n">
        <v>0</v>
      </c>
      <c r="V319" s="11" t="n">
        <v>0</v>
      </c>
      <c r="W319" s="11" t="n">
        <v>9.6</v>
      </c>
      <c r="X319" s="11" t="n">
        <v>0</v>
      </c>
      <c r="Y319" s="11" t="n">
        <v>0</v>
      </c>
      <c r="Z319" s="11" t="n">
        <v>0</v>
      </c>
      <c r="AA319" s="11" t="n">
        <f aca="false">SUM(U319:Z319)</f>
        <v>9.6</v>
      </c>
      <c r="AB319" s="11" t="n">
        <v>0</v>
      </c>
      <c r="AC319" s="11" t="n">
        <v>0</v>
      </c>
      <c r="AD319" s="11" t="n">
        <v>1.96</v>
      </c>
      <c r="AE319" s="11" t="n">
        <v>0</v>
      </c>
      <c r="AF319" s="11" t="n">
        <v>0</v>
      </c>
      <c r="AG319" s="11" t="n">
        <v>0</v>
      </c>
      <c r="AH319" s="11" t="n">
        <f aca="false">SUM(AB319:AG319)</f>
        <v>1.96</v>
      </c>
    </row>
    <row r="320" customFormat="false" ht="15" hidden="false" customHeight="false" outlineLevel="2" collapsed="false">
      <c r="A320" s="8" t="s">
        <v>1916</v>
      </c>
      <c r="B320" s="12" t="s">
        <v>1917</v>
      </c>
      <c r="C320" s="8" t="s">
        <v>1903</v>
      </c>
      <c r="D320" s="12" t="s">
        <v>655</v>
      </c>
      <c r="E320" s="16"/>
      <c r="F320" s="9" t="str">
        <f aca="false">IF($E320="","",IFERROR(INDEX(担当者マスタ!$B$2:$B$101,MATCH($E320,担当者マスタ!$A$2:$A$101,0)),"※マスタ未登録"))</f>
        <v/>
      </c>
      <c r="G320" s="11" t="n">
        <v>1.81</v>
      </c>
      <c r="H320" s="11" t="n">
        <v>8.454</v>
      </c>
      <c r="I320" s="11" t="n">
        <v>26.228</v>
      </c>
      <c r="J320" s="11" t="n">
        <v>0</v>
      </c>
      <c r="K320" s="11" t="n">
        <v>0</v>
      </c>
      <c r="L320" s="11" t="n">
        <v>26.342</v>
      </c>
      <c r="M320" s="11" t="n">
        <f aca="false">SUM(G320:L320)</f>
        <v>62.834</v>
      </c>
      <c r="N320" s="11" t="n">
        <v>0.375</v>
      </c>
      <c r="O320" s="11" t="n">
        <v>2.628</v>
      </c>
      <c r="P320" s="11" t="n">
        <v>10.957</v>
      </c>
      <c r="Q320" s="11" t="n">
        <v>0</v>
      </c>
      <c r="R320" s="11" t="n">
        <v>0</v>
      </c>
      <c r="S320" s="11" t="n">
        <v>9.163</v>
      </c>
      <c r="T320" s="11" t="n">
        <f aca="false">SUM(N320:S320)</f>
        <v>23.123</v>
      </c>
      <c r="U320" s="11" t="n">
        <v>0</v>
      </c>
      <c r="V320" s="11" t="n">
        <v>0</v>
      </c>
      <c r="W320" s="11" t="n">
        <v>25.206</v>
      </c>
      <c r="X320" s="11" t="n">
        <v>0</v>
      </c>
      <c r="Y320" s="11" t="n">
        <v>0</v>
      </c>
      <c r="Z320" s="11" t="n">
        <v>0</v>
      </c>
      <c r="AA320" s="11" t="n">
        <f aca="false">SUM(U320:Z320)</f>
        <v>25.206</v>
      </c>
      <c r="AB320" s="11" t="n">
        <v>0</v>
      </c>
      <c r="AC320" s="11" t="n">
        <v>0</v>
      </c>
      <c r="AD320" s="11" t="n">
        <v>7.065</v>
      </c>
      <c r="AE320" s="11" t="n">
        <v>0</v>
      </c>
      <c r="AF320" s="11" t="n">
        <v>0</v>
      </c>
      <c r="AG320" s="11" t="n">
        <v>0</v>
      </c>
      <c r="AH320" s="11" t="n">
        <f aca="false">SUM(AB320:AG320)</f>
        <v>7.065</v>
      </c>
    </row>
    <row r="321" customFormat="false" ht="15" hidden="false" customHeight="false" outlineLevel="2" collapsed="false">
      <c r="A321" s="8" t="s">
        <v>1918</v>
      </c>
      <c r="B321" s="12" t="s">
        <v>1919</v>
      </c>
      <c r="C321" s="8" t="s">
        <v>1903</v>
      </c>
      <c r="D321" s="12" t="s">
        <v>655</v>
      </c>
      <c r="E321" s="16"/>
      <c r="F321" s="9" t="str">
        <f aca="false">IF($E321="","",IFERROR(INDEX(担当者マスタ!$B$2:$B$101,MATCH($E321,担当者マスタ!$A$2:$A$101,0)),"※マスタ未登録"))</f>
        <v/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f aca="false">SUM(G321:L321)</f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f aca="false">SUM(N321:S321)</f>
        <v>0</v>
      </c>
      <c r="U321" s="11" t="n">
        <v>0</v>
      </c>
      <c r="V321" s="11" t="n">
        <v>2.25</v>
      </c>
      <c r="W321" s="11" t="n">
        <v>0</v>
      </c>
      <c r="X321" s="11" t="n">
        <v>0</v>
      </c>
      <c r="Y321" s="11" t="n">
        <v>0</v>
      </c>
      <c r="Z321" s="11" t="n">
        <v>0</v>
      </c>
      <c r="AA321" s="11" t="n">
        <f aca="false">SUM(U321:Z321)</f>
        <v>2.25</v>
      </c>
      <c r="AB321" s="11" t="n">
        <v>0</v>
      </c>
      <c r="AC321" s="11" t="n">
        <v>0.75</v>
      </c>
      <c r="AD321" s="11" t="n">
        <v>0</v>
      </c>
      <c r="AE321" s="11" t="n">
        <v>0</v>
      </c>
      <c r="AF321" s="11" t="n">
        <v>0</v>
      </c>
      <c r="AG321" s="11" t="n">
        <v>0</v>
      </c>
      <c r="AH321" s="11" t="n">
        <f aca="false">SUM(AB321:AG321)</f>
        <v>0.75</v>
      </c>
    </row>
    <row r="322" customFormat="false" ht="15" hidden="false" customHeight="false" outlineLevel="2" collapsed="false">
      <c r="A322" s="8" t="s">
        <v>1920</v>
      </c>
      <c r="B322" s="12" t="s">
        <v>1921</v>
      </c>
      <c r="C322" s="8" t="s">
        <v>1903</v>
      </c>
      <c r="D322" s="12" t="s">
        <v>655</v>
      </c>
      <c r="E322" s="16"/>
      <c r="F322" s="9" t="str">
        <f aca="false">IF($E322="","",IFERROR(INDEX(担当者マスタ!$B$2:$B$101,MATCH($E322,担当者マスタ!$A$2:$A$101,0)),"※マスタ未登録"))</f>
        <v/>
      </c>
      <c r="G322" s="11" t="n">
        <v>0</v>
      </c>
      <c r="H322" s="11" t="n">
        <v>0</v>
      </c>
      <c r="I322" s="11" t="n">
        <v>7</v>
      </c>
      <c r="J322" s="11" t="n">
        <v>0</v>
      </c>
      <c r="K322" s="11" t="n">
        <v>0</v>
      </c>
      <c r="L322" s="11" t="n">
        <v>0</v>
      </c>
      <c r="M322" s="11" t="n">
        <f aca="false">SUM(G322:L322)</f>
        <v>7</v>
      </c>
      <c r="N322" s="11" t="n">
        <v>0</v>
      </c>
      <c r="O322" s="11" t="n">
        <v>0</v>
      </c>
      <c r="P322" s="11" t="n">
        <v>1.57</v>
      </c>
      <c r="Q322" s="11" t="n">
        <v>0</v>
      </c>
      <c r="R322" s="11" t="n">
        <v>0</v>
      </c>
      <c r="S322" s="11" t="n">
        <v>0</v>
      </c>
      <c r="T322" s="11" t="n">
        <f aca="false">SUM(N322:S322)</f>
        <v>1.57</v>
      </c>
      <c r="U322" s="11" t="n">
        <v>0</v>
      </c>
      <c r="V322" s="11" t="n">
        <v>2.01</v>
      </c>
      <c r="W322" s="11" t="n">
        <v>0</v>
      </c>
      <c r="X322" s="11" t="n">
        <v>1.24</v>
      </c>
      <c r="Y322" s="11" t="n">
        <v>0</v>
      </c>
      <c r="Z322" s="11" t="n">
        <v>8.86</v>
      </c>
      <c r="AA322" s="11" t="n">
        <f aca="false">SUM(U322:Z322)</f>
        <v>12.11</v>
      </c>
      <c r="AB322" s="11" t="n">
        <v>0</v>
      </c>
      <c r="AC322" s="11" t="n">
        <v>0.606</v>
      </c>
      <c r="AD322" s="11" t="n">
        <v>0</v>
      </c>
      <c r="AE322" s="11" t="n">
        <v>0.25</v>
      </c>
      <c r="AF322" s="11" t="n">
        <v>0</v>
      </c>
      <c r="AG322" s="11" t="n">
        <v>2.673</v>
      </c>
      <c r="AH322" s="11" t="n">
        <f aca="false">SUM(AB322:AG322)</f>
        <v>3.529</v>
      </c>
    </row>
    <row r="323" customFormat="false" ht="15" hidden="false" customHeight="false" outlineLevel="2" collapsed="false">
      <c r="A323" s="8" t="s">
        <v>1922</v>
      </c>
      <c r="B323" s="12" t="s">
        <v>1923</v>
      </c>
      <c r="C323" s="8" t="s">
        <v>1903</v>
      </c>
      <c r="D323" s="12" t="s">
        <v>655</v>
      </c>
      <c r="E323" s="16"/>
      <c r="F323" s="9" t="str">
        <f aca="false">IF($E323="","",IFERROR(INDEX(担当者マスタ!$B$2:$B$101,MATCH($E323,担当者マスタ!$A$2:$A$101,0)),"※マスタ未登録"))</f>
        <v/>
      </c>
      <c r="G323" s="11" t="n">
        <v>18.36</v>
      </c>
      <c r="H323" s="11" t="n">
        <v>20.52</v>
      </c>
      <c r="I323" s="11" t="n">
        <v>12.08</v>
      </c>
      <c r="J323" s="11" t="n">
        <v>0</v>
      </c>
      <c r="K323" s="11" t="n">
        <v>18.45</v>
      </c>
      <c r="L323" s="11" t="n">
        <v>29.095</v>
      </c>
      <c r="M323" s="11" t="n">
        <f aca="false">SUM(G323:L323)</f>
        <v>98.505</v>
      </c>
      <c r="N323" s="11" t="n">
        <v>3.672</v>
      </c>
      <c r="O323" s="11" t="n">
        <v>5.595</v>
      </c>
      <c r="P323" s="11" t="n">
        <v>1.45</v>
      </c>
      <c r="Q323" s="11" t="n">
        <v>0</v>
      </c>
      <c r="R323" s="11" t="n">
        <v>3.69</v>
      </c>
      <c r="S323" s="11" t="n">
        <v>5.821</v>
      </c>
      <c r="T323" s="11" t="n">
        <f aca="false">SUM(N323:S323)</f>
        <v>20.228</v>
      </c>
      <c r="U323" s="11" t="n">
        <v>15.536</v>
      </c>
      <c r="V323" s="11" t="n">
        <v>3.2</v>
      </c>
      <c r="W323" s="11" t="n">
        <v>0</v>
      </c>
      <c r="X323" s="11" t="n">
        <v>2.05</v>
      </c>
      <c r="Y323" s="11" t="n">
        <v>0</v>
      </c>
      <c r="Z323" s="11" t="n">
        <v>2.79</v>
      </c>
      <c r="AA323" s="11" t="n">
        <f aca="false">SUM(U323:Z323)</f>
        <v>23.576</v>
      </c>
      <c r="AB323" s="11" t="n">
        <v>4.373</v>
      </c>
      <c r="AC323" s="11" t="n">
        <v>0.312</v>
      </c>
      <c r="AD323" s="11" t="n">
        <v>0</v>
      </c>
      <c r="AE323" s="11" t="n">
        <v>0.695</v>
      </c>
      <c r="AF323" s="11" t="n">
        <v>0</v>
      </c>
      <c r="AG323" s="11" t="n">
        <v>0.62</v>
      </c>
      <c r="AH323" s="11" t="n">
        <f aca="false">SUM(AB323:AG323)</f>
        <v>6</v>
      </c>
    </row>
    <row r="324" customFormat="false" ht="15" hidden="false" customHeight="false" outlineLevel="1" collapsed="false">
      <c r="A324" s="19"/>
      <c r="B324" s="19"/>
      <c r="C324" s="17" t="s">
        <v>1957</v>
      </c>
      <c r="D324" s="19" t="s">
        <v>655</v>
      </c>
      <c r="E324" s="19"/>
      <c r="F324" s="19"/>
      <c r="G324" s="18" t="n">
        <f aca="false">SUBTOTAL(9,G313:G323)</f>
        <v>58.4</v>
      </c>
      <c r="H324" s="18" t="n">
        <f aca="false">SUBTOTAL(9,H313:H323)</f>
        <v>28.974</v>
      </c>
      <c r="I324" s="18" t="n">
        <f aca="false">SUBTOTAL(9,I313:I323)</f>
        <v>82.118</v>
      </c>
      <c r="J324" s="18" t="n">
        <f aca="false">SUBTOTAL(9,J313:J323)</f>
        <v>22.448</v>
      </c>
      <c r="K324" s="18" t="n">
        <f aca="false">SUBTOTAL(9,K313:K323)</f>
        <v>18.45</v>
      </c>
      <c r="L324" s="18" t="n">
        <f aca="false">SUBTOTAL(9,L313:L323)</f>
        <v>76.147</v>
      </c>
      <c r="M324" s="18" t="n">
        <f aca="false">SUBTOTAL(9,M313:M323)</f>
        <v>286.537</v>
      </c>
      <c r="N324" s="18" t="n">
        <f aca="false">SUBTOTAL(9,N313:N323)</f>
        <v>9.533</v>
      </c>
      <c r="O324" s="18" t="n">
        <f aca="false">SUBTOTAL(9,O313:O323)</f>
        <v>8.223</v>
      </c>
      <c r="P324" s="18" t="n">
        <f aca="false">SUBTOTAL(9,P313:P323)</f>
        <v>19.857</v>
      </c>
      <c r="Q324" s="18" t="n">
        <f aca="false">SUBTOTAL(9,Q313:Q323)</f>
        <v>3.622</v>
      </c>
      <c r="R324" s="18" t="n">
        <f aca="false">SUBTOTAL(9,R313:R323)</f>
        <v>3.69</v>
      </c>
      <c r="S324" s="18" t="n">
        <f aca="false">SUBTOTAL(9,S313:S323)</f>
        <v>17.584</v>
      </c>
      <c r="T324" s="18" t="n">
        <f aca="false">SUBTOTAL(9,T313:T323)</f>
        <v>62.509</v>
      </c>
      <c r="U324" s="18" t="n">
        <f aca="false">SUBTOTAL(9,U313:U323)</f>
        <v>24.686</v>
      </c>
      <c r="V324" s="18" t="n">
        <f aca="false">SUBTOTAL(9,V313:V323)</f>
        <v>68.42</v>
      </c>
      <c r="W324" s="18" t="n">
        <f aca="false">SUBTOTAL(9,W313:W323)</f>
        <v>53.106</v>
      </c>
      <c r="X324" s="18" t="n">
        <f aca="false">SUBTOTAL(9,X313:X323)</f>
        <v>12.44</v>
      </c>
      <c r="Y324" s="18" t="n">
        <f aca="false">SUBTOTAL(9,Y313:Y323)</f>
        <v>0</v>
      </c>
      <c r="Z324" s="18" t="n">
        <f aca="false">SUBTOTAL(9,Z313:Z323)</f>
        <v>20.8</v>
      </c>
      <c r="AA324" s="18" t="n">
        <f aca="false">SUBTOTAL(9,AA313:AA323)</f>
        <v>179.452</v>
      </c>
      <c r="AB324" s="18" t="n">
        <f aca="false">SUBTOTAL(9,AB313:AB323)</f>
        <v>5.773</v>
      </c>
      <c r="AC324" s="18" t="n">
        <f aca="false">SUBTOTAL(9,AC313:AC323)</f>
        <v>9.828</v>
      </c>
      <c r="AD324" s="18" t="n">
        <f aca="false">SUBTOTAL(9,AD313:AD323)</f>
        <v>11.825</v>
      </c>
      <c r="AE324" s="18" t="n">
        <f aca="false">SUBTOTAL(9,AE313:AE323)</f>
        <v>2.345</v>
      </c>
      <c r="AF324" s="18" t="n">
        <f aca="false">SUBTOTAL(9,AF313:AF323)</f>
        <v>0</v>
      </c>
      <c r="AG324" s="18" t="n">
        <f aca="false">SUBTOTAL(9,AG313:AG323)</f>
        <v>4.693</v>
      </c>
      <c r="AH324" s="18" t="n">
        <f aca="false">SUBTOTAL(9,AH313:AH323)</f>
        <v>34.464</v>
      </c>
    </row>
    <row r="325" customFormat="false" ht="15" hidden="false" customHeight="false" outlineLevel="2" collapsed="false">
      <c r="A325" s="8" t="s">
        <v>1924</v>
      </c>
      <c r="B325" s="12" t="s">
        <v>1925</v>
      </c>
      <c r="C325" s="8" t="s">
        <v>1926</v>
      </c>
      <c r="D325" s="12" t="s">
        <v>701</v>
      </c>
      <c r="E325" s="16"/>
      <c r="F325" s="9" t="str">
        <f aca="false">IF($E325="","",IFERROR(INDEX(担当者マスタ!$B$2:$B$101,MATCH($E325,担当者マスタ!$A$2:$A$101,0)),"※マスタ未登録"))</f>
        <v/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f aca="false">SUM(G325:L325)</f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f aca="false">SUM(N325:S325)</f>
        <v>0</v>
      </c>
      <c r="U325" s="11" t="n">
        <v>28.25</v>
      </c>
      <c r="V325" s="11" t="n">
        <v>0</v>
      </c>
      <c r="W325" s="11" t="n">
        <v>0</v>
      </c>
      <c r="X325" s="11" t="n">
        <v>1.8</v>
      </c>
      <c r="Y325" s="11" t="n">
        <v>0</v>
      </c>
      <c r="Z325" s="11" t="n">
        <v>1063.874</v>
      </c>
      <c r="AA325" s="11" t="n">
        <f aca="false">SUM(U325:Z325)</f>
        <v>1093.924</v>
      </c>
      <c r="AB325" s="11" t="n">
        <v>0.875</v>
      </c>
      <c r="AC325" s="11" t="n">
        <v>0</v>
      </c>
      <c r="AD325" s="11" t="n">
        <v>0</v>
      </c>
      <c r="AE325" s="11" t="n">
        <v>0.175</v>
      </c>
      <c r="AF325" s="11" t="n">
        <v>0</v>
      </c>
      <c r="AG325" s="11" t="n">
        <v>49.687</v>
      </c>
      <c r="AH325" s="11" t="n">
        <f aca="false">SUM(AB325:AG325)</f>
        <v>50.737</v>
      </c>
    </row>
    <row r="326" customFormat="false" ht="15" hidden="false" customHeight="false" outlineLevel="2" collapsed="false">
      <c r="A326" s="8" t="s">
        <v>1927</v>
      </c>
      <c r="B326" s="12" t="s">
        <v>1928</v>
      </c>
      <c r="C326" s="8" t="s">
        <v>1926</v>
      </c>
      <c r="D326" s="12" t="s">
        <v>701</v>
      </c>
      <c r="E326" s="16"/>
      <c r="F326" s="9" t="str">
        <f aca="false">IF($E326="","",IFERROR(INDEX(担当者マスタ!$B$2:$B$101,MATCH($E326,担当者マスタ!$A$2:$A$101,0)),"※マスタ未登録"))</f>
        <v/>
      </c>
      <c r="G326" s="11" t="n">
        <v>37.85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28.249</v>
      </c>
      <c r="M326" s="11" t="n">
        <f aca="false">SUM(G326:L326)</f>
        <v>66.099</v>
      </c>
      <c r="N326" s="11" t="n">
        <v>1.16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1.289</v>
      </c>
      <c r="T326" s="11" t="n">
        <f aca="false">SUM(N326:S326)</f>
        <v>2.449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f aca="false">SUM(U326:Z326)</f>
        <v>0</v>
      </c>
      <c r="AB326" s="11" t="n">
        <v>0</v>
      </c>
      <c r="AC326" s="11" t="n">
        <v>0</v>
      </c>
      <c r="AD326" s="11" t="n">
        <v>0</v>
      </c>
      <c r="AE326" s="11" t="n">
        <v>0</v>
      </c>
      <c r="AF326" s="11" t="n">
        <v>0</v>
      </c>
      <c r="AG326" s="11" t="n">
        <v>0</v>
      </c>
      <c r="AH326" s="11" t="n">
        <f aca="false">SUM(AB326:AG326)</f>
        <v>0</v>
      </c>
    </row>
    <row r="327" customFormat="false" ht="15" hidden="false" customHeight="false" outlineLevel="1" collapsed="false">
      <c r="A327" s="19"/>
      <c r="B327" s="19"/>
      <c r="C327" s="17" t="s">
        <v>1958</v>
      </c>
      <c r="D327" s="19" t="s">
        <v>701</v>
      </c>
      <c r="E327" s="19"/>
      <c r="F327" s="19"/>
      <c r="G327" s="18" t="n">
        <f aca="false">SUBTOTAL(9,G325:G326)</f>
        <v>37.85</v>
      </c>
      <c r="H327" s="18" t="n">
        <f aca="false">SUBTOTAL(9,H325:H326)</f>
        <v>0</v>
      </c>
      <c r="I327" s="18" t="n">
        <f aca="false">SUBTOTAL(9,I325:I326)</f>
        <v>0</v>
      </c>
      <c r="J327" s="18" t="n">
        <f aca="false">SUBTOTAL(9,J325:J326)</f>
        <v>0</v>
      </c>
      <c r="K327" s="18" t="n">
        <f aca="false">SUBTOTAL(9,K325:K326)</f>
        <v>0</v>
      </c>
      <c r="L327" s="18" t="n">
        <f aca="false">SUBTOTAL(9,L325:L326)</f>
        <v>28.249</v>
      </c>
      <c r="M327" s="18" t="n">
        <f aca="false">SUBTOTAL(9,M325:M326)</f>
        <v>66.099</v>
      </c>
      <c r="N327" s="18" t="n">
        <f aca="false">SUBTOTAL(9,N325:N326)</f>
        <v>1.16</v>
      </c>
      <c r="O327" s="18" t="n">
        <f aca="false">SUBTOTAL(9,O325:O326)</f>
        <v>0</v>
      </c>
      <c r="P327" s="18" t="n">
        <f aca="false">SUBTOTAL(9,P325:P326)</f>
        <v>0</v>
      </c>
      <c r="Q327" s="18" t="n">
        <f aca="false">SUBTOTAL(9,Q325:Q326)</f>
        <v>0</v>
      </c>
      <c r="R327" s="18" t="n">
        <f aca="false">SUBTOTAL(9,R325:R326)</f>
        <v>0</v>
      </c>
      <c r="S327" s="18" t="n">
        <f aca="false">SUBTOTAL(9,S325:S326)</f>
        <v>1.289</v>
      </c>
      <c r="T327" s="18" t="n">
        <f aca="false">SUBTOTAL(9,T325:T326)</f>
        <v>2.449</v>
      </c>
      <c r="U327" s="18" t="n">
        <f aca="false">SUBTOTAL(9,U325:U326)</f>
        <v>28.25</v>
      </c>
      <c r="V327" s="18" t="n">
        <f aca="false">SUBTOTAL(9,V325:V326)</f>
        <v>0</v>
      </c>
      <c r="W327" s="18" t="n">
        <f aca="false">SUBTOTAL(9,W325:W326)</f>
        <v>0</v>
      </c>
      <c r="X327" s="18" t="n">
        <f aca="false">SUBTOTAL(9,X325:X326)</f>
        <v>1.8</v>
      </c>
      <c r="Y327" s="18" t="n">
        <f aca="false">SUBTOTAL(9,Y325:Y326)</f>
        <v>0</v>
      </c>
      <c r="Z327" s="18" t="n">
        <f aca="false">SUBTOTAL(9,Z325:Z326)</f>
        <v>1063.874</v>
      </c>
      <c r="AA327" s="18" t="n">
        <f aca="false">SUBTOTAL(9,AA325:AA326)</f>
        <v>1093.924</v>
      </c>
      <c r="AB327" s="18" t="n">
        <f aca="false">SUBTOTAL(9,AB325:AB326)</f>
        <v>0.875</v>
      </c>
      <c r="AC327" s="18" t="n">
        <f aca="false">SUBTOTAL(9,AC325:AC326)</f>
        <v>0</v>
      </c>
      <c r="AD327" s="18" t="n">
        <f aca="false">SUBTOTAL(9,AD325:AD326)</f>
        <v>0</v>
      </c>
      <c r="AE327" s="18" t="n">
        <f aca="false">SUBTOTAL(9,AE325:AE326)</f>
        <v>0.175</v>
      </c>
      <c r="AF327" s="18" t="n">
        <f aca="false">SUBTOTAL(9,AF325:AF326)</f>
        <v>0</v>
      </c>
      <c r="AG327" s="18" t="n">
        <f aca="false">SUBTOTAL(9,AG325:AG326)</f>
        <v>49.687</v>
      </c>
      <c r="AH327" s="18" t="n">
        <f aca="false">SUBTOTAL(9,AH325:AH326)</f>
        <v>50.737</v>
      </c>
    </row>
    <row r="328" customFormat="false" ht="15" hidden="false" customHeight="false" outlineLevel="0" collapsed="false">
      <c r="A328" s="14"/>
      <c r="B328" s="14"/>
      <c r="C328" s="14" t="s">
        <v>1929</v>
      </c>
      <c r="D328" s="14"/>
      <c r="E328" s="14"/>
      <c r="F328" s="14"/>
      <c r="G328" s="15" t="n">
        <f aca="false">SUBTOTAL(9,G2:G327)</f>
        <v>108734.616</v>
      </c>
      <c r="H328" s="15" t="n">
        <f aca="false">SUBTOTAL(9,H2:H327)</f>
        <v>114593.298</v>
      </c>
      <c r="I328" s="15" t="n">
        <f aca="false">SUBTOTAL(9,I2:I327)</f>
        <v>112836.43</v>
      </c>
      <c r="J328" s="15" t="n">
        <f aca="false">SUBTOTAL(9,J2:J327)</f>
        <v>75695.58</v>
      </c>
      <c r="K328" s="15" t="n">
        <f aca="false">SUBTOTAL(9,K2:K327)</f>
        <v>83016.971</v>
      </c>
      <c r="L328" s="15" t="n">
        <f aca="false">SUBTOTAL(9,L2:L327)</f>
        <v>77142.153</v>
      </c>
      <c r="M328" s="15" t="n">
        <f aca="false">SUBTOTAL(9,M2:M327)</f>
        <v>572019.048</v>
      </c>
      <c r="N328" s="15" t="n">
        <f aca="false">SUBTOTAL(9,N2:N327)</f>
        <v>22445.0953</v>
      </c>
      <c r="O328" s="15" t="n">
        <f aca="false">SUBTOTAL(9,O2:O327)</f>
        <v>24509.44</v>
      </c>
      <c r="P328" s="15" t="n">
        <f aca="false">SUBTOTAL(9,P2:P327)</f>
        <v>24127.503</v>
      </c>
      <c r="Q328" s="15" t="n">
        <f aca="false">SUBTOTAL(9,Q2:Q327)</f>
        <v>15048.4398</v>
      </c>
      <c r="R328" s="15" t="n">
        <f aca="false">SUBTOTAL(9,R2:R327)</f>
        <v>18370.684</v>
      </c>
      <c r="S328" s="15" t="n">
        <f aca="false">SUBTOTAL(9,S2:S327)</f>
        <v>16384.723</v>
      </c>
      <c r="T328" s="15" t="n">
        <f aca="false">SUBTOTAL(9,T2:T327)</f>
        <v>120885.8851</v>
      </c>
      <c r="U328" s="15" t="n">
        <f aca="false">SUBTOTAL(9,U2:U327)</f>
        <v>128281.446</v>
      </c>
      <c r="V328" s="15" t="n">
        <f aca="false">SUBTOTAL(9,V2:V327)</f>
        <v>112799.744</v>
      </c>
      <c r="W328" s="15" t="n">
        <f aca="false">SUBTOTAL(9,W2:W327)</f>
        <v>116837.297</v>
      </c>
      <c r="X328" s="15" t="n">
        <f aca="false">SUBTOTAL(9,X2:X327)</f>
        <v>69704.463</v>
      </c>
      <c r="Y328" s="15" t="n">
        <f aca="false">SUBTOTAL(9,Y2:Y327)</f>
        <v>64921.724</v>
      </c>
      <c r="Z328" s="15" t="n">
        <f aca="false">SUBTOTAL(9,Z2:Z327)</f>
        <v>113490.353</v>
      </c>
      <c r="AA328" s="15" t="n">
        <f aca="false">SUBTOTAL(9,AA2:AA327)</f>
        <v>606035.027</v>
      </c>
      <c r="AB328" s="15" t="n">
        <f aca="false">SUBTOTAL(9,AB2:AB327)</f>
        <v>26047.415</v>
      </c>
      <c r="AC328" s="15" t="n">
        <f aca="false">SUBTOTAL(9,AC2:AC327)</f>
        <v>23658.7288</v>
      </c>
      <c r="AD328" s="15" t="n">
        <f aca="false">SUBTOTAL(9,AD2:AD327)</f>
        <v>24242.884</v>
      </c>
      <c r="AE328" s="15" t="n">
        <f aca="false">SUBTOTAL(9,AE2:AE327)</f>
        <v>13984.978</v>
      </c>
      <c r="AF328" s="15" t="n">
        <f aca="false">SUBTOTAL(9,AF2:AF327)</f>
        <v>12658.568</v>
      </c>
      <c r="AG328" s="15" t="n">
        <f aca="false">SUBTOTAL(9,AG2:AG327)</f>
        <v>27052.885</v>
      </c>
      <c r="AH328" s="15" t="n">
        <f aca="false">SUBTOTAL(9,AH2:AH327)</f>
        <v>127645.4588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15"/>
    <col collapsed="false" customWidth="true" hidden="false" outlineLevel="0" max="2" min="2" style="0" width="26.5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5"/>
    <col collapsed="false" customWidth="true" hidden="false" outlineLevel="0" max="6" min="6" style="0" width="14.75"/>
    <col collapsed="false" customWidth="true" hidden="false" outlineLevel="0" max="12" min="7" style="0" width="11"/>
    <col collapsed="false" customWidth="true" hidden="false" outlineLevel="0" max="13" min="13" style="0" width="12.5"/>
    <col collapsed="false" customWidth="true" hidden="false" outlineLevel="0" max="19" min="14" style="0" width="11"/>
    <col collapsed="false" customWidth="true" hidden="false" outlineLevel="0" max="20" min="20" style="0" width="12.5"/>
    <col collapsed="false" customWidth="true" hidden="false" outlineLevel="0" max="26" min="21" style="0" width="11"/>
    <col collapsed="false" customWidth="true" hidden="false" outlineLevel="0" max="27" min="27" style="0" width="12.5"/>
    <col collapsed="false" customWidth="true" hidden="false" outlineLevel="0" max="33" min="28" style="0" width="11"/>
    <col collapsed="false" customWidth="true" hidden="false" outlineLevel="0" max="34" min="34" style="0" width="12.5"/>
  </cols>
  <sheetData>
    <row r="1" customFormat="false" ht="37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6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6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6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6" t="s">
        <v>54</v>
      </c>
    </row>
    <row r="2" customFormat="false" ht="15" hidden="false" customHeight="false" outlineLevel="2" collapsed="false">
      <c r="A2" s="8" t="s">
        <v>706</v>
      </c>
      <c r="B2" s="12" t="s">
        <v>707</v>
      </c>
      <c r="C2" s="8" t="s">
        <v>708</v>
      </c>
      <c r="D2" s="12" t="s">
        <v>709</v>
      </c>
      <c r="E2" s="16"/>
      <c r="F2" s="9" t="str">
        <f aca="false">IF($E2="","",IFERROR(INDEX(担当者マスタ!$B$2:$B$101,MATCH($E2,担当者マスタ!$A$2:$A$101,0)),"※マスタ未登録"))</f>
        <v/>
      </c>
      <c r="G2" s="11" t="n">
        <v>627.274</v>
      </c>
      <c r="H2" s="11" t="n">
        <v>586.766</v>
      </c>
      <c r="I2" s="11" t="n">
        <v>636.98</v>
      </c>
      <c r="J2" s="11" t="n">
        <v>439.889</v>
      </c>
      <c r="K2" s="11" t="n">
        <v>558.988</v>
      </c>
      <c r="L2" s="11" t="n">
        <v>479.596</v>
      </c>
      <c r="M2" s="11" t="n">
        <f aca="false">SUM(G2:L2)</f>
        <v>3329.493</v>
      </c>
      <c r="N2" s="11" t="n">
        <v>111.011</v>
      </c>
      <c r="O2" s="11" t="n">
        <v>102.985</v>
      </c>
      <c r="P2" s="11" t="n">
        <v>118.218</v>
      </c>
      <c r="Q2" s="11" t="n">
        <v>88.206</v>
      </c>
      <c r="R2" s="11" t="n">
        <v>105.834</v>
      </c>
      <c r="S2" s="11" t="n">
        <v>80.049</v>
      </c>
      <c r="T2" s="11" t="n">
        <f aca="false">SUM(N2:S2)</f>
        <v>606.303</v>
      </c>
      <c r="U2" s="11" t="n">
        <v>666.94</v>
      </c>
      <c r="V2" s="11" t="n">
        <v>555.38</v>
      </c>
      <c r="W2" s="11" t="n">
        <v>750.908</v>
      </c>
      <c r="X2" s="11" t="n">
        <v>556.719</v>
      </c>
      <c r="Y2" s="11" t="n">
        <v>500.888</v>
      </c>
      <c r="Z2" s="11" t="n">
        <v>588.448</v>
      </c>
      <c r="AA2" s="11" t="n">
        <f aca="false">SUM(U2:Z2)</f>
        <v>3619.283</v>
      </c>
      <c r="AB2" s="11" t="n">
        <v>128.876</v>
      </c>
      <c r="AC2" s="11" t="n">
        <v>107.97</v>
      </c>
      <c r="AD2" s="11" t="n">
        <v>148.097</v>
      </c>
      <c r="AE2" s="11" t="n">
        <v>110.398</v>
      </c>
      <c r="AF2" s="11" t="n">
        <v>91.165</v>
      </c>
      <c r="AG2" s="11" t="n">
        <v>105.138</v>
      </c>
      <c r="AH2" s="11" t="n">
        <f aca="false">SUM(AB2:AG2)</f>
        <v>691.644</v>
      </c>
    </row>
    <row r="3" customFormat="false" ht="15" hidden="false" customHeight="false" outlineLevel="2" collapsed="false">
      <c r="A3" s="8" t="s">
        <v>711</v>
      </c>
      <c r="B3" s="12" t="s">
        <v>712</v>
      </c>
      <c r="C3" s="8" t="s">
        <v>708</v>
      </c>
      <c r="D3" s="12" t="s">
        <v>709</v>
      </c>
      <c r="E3" s="16"/>
      <c r="F3" s="9" t="str">
        <f aca="false">IF($E3="","",IFERROR(INDEX(担当者マスタ!$B$2:$B$101,MATCH($E3,担当者マスタ!$A$2:$A$101,0)),"※マスタ未登録"))</f>
        <v/>
      </c>
      <c r="G3" s="11" t="n">
        <v>0</v>
      </c>
      <c r="H3" s="11" t="n">
        <v>7.5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f aca="false">SUM(G3:L3)</f>
        <v>7.5</v>
      </c>
      <c r="N3" s="11" t="n">
        <v>0</v>
      </c>
      <c r="O3" s="11" t="n">
        <v>1.522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f aca="false">SUM(N3:S3)</f>
        <v>1.522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f aca="false">SUM(U3:Z3)</f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f aca="false">SUM(AB3:AG3)</f>
        <v>0</v>
      </c>
    </row>
    <row r="4" customFormat="false" ht="15" hidden="false" customHeight="false" outlineLevel="2" collapsed="false">
      <c r="A4" s="8" t="s">
        <v>713</v>
      </c>
      <c r="B4" s="12" t="s">
        <v>714</v>
      </c>
      <c r="C4" s="8" t="s">
        <v>708</v>
      </c>
      <c r="D4" s="12" t="s">
        <v>709</v>
      </c>
      <c r="E4" s="16"/>
      <c r="F4" s="9" t="str">
        <f aca="false">IF($E4="","",IFERROR(INDEX(担当者マスタ!$B$2:$B$101,MATCH($E4,担当者マスタ!$A$2:$A$101,0)),"※マスタ未登録"))</f>
        <v/>
      </c>
      <c r="G4" s="11" t="n">
        <v>2583.956</v>
      </c>
      <c r="H4" s="11" t="n">
        <v>4914.968</v>
      </c>
      <c r="I4" s="11" t="n">
        <v>5317.348</v>
      </c>
      <c r="J4" s="11" t="n">
        <v>1981.78</v>
      </c>
      <c r="K4" s="11" t="n">
        <v>1361.999</v>
      </c>
      <c r="L4" s="11" t="n">
        <v>1233.177</v>
      </c>
      <c r="M4" s="11" t="n">
        <f aca="false">SUM(G4:L4)</f>
        <v>17393.228</v>
      </c>
      <c r="N4" s="11" t="n">
        <v>616.553</v>
      </c>
      <c r="O4" s="11" t="n">
        <v>1111.27</v>
      </c>
      <c r="P4" s="11" t="n">
        <v>1271.882</v>
      </c>
      <c r="Q4" s="11" t="n">
        <v>479.304</v>
      </c>
      <c r="R4" s="11" t="n">
        <v>275.037</v>
      </c>
      <c r="S4" s="11" t="n">
        <v>246.329</v>
      </c>
      <c r="T4" s="11" t="n">
        <f aca="false">SUM(N4:S4)</f>
        <v>4000.375</v>
      </c>
      <c r="U4" s="11" t="n">
        <v>3265.723</v>
      </c>
      <c r="V4" s="11" t="n">
        <v>5615.846</v>
      </c>
      <c r="W4" s="11" t="n">
        <v>7145.665</v>
      </c>
      <c r="X4" s="11" t="n">
        <v>1999.467</v>
      </c>
      <c r="Y4" s="11" t="n">
        <v>1450.982</v>
      </c>
      <c r="Z4" s="11" t="n">
        <v>904.831</v>
      </c>
      <c r="AA4" s="11" t="n">
        <f aca="false">SUM(U4:Z4)</f>
        <v>20382.514</v>
      </c>
      <c r="AB4" s="11" t="n">
        <v>763.622</v>
      </c>
      <c r="AC4" s="11" t="n">
        <v>1293.181</v>
      </c>
      <c r="AD4" s="11" t="n">
        <v>1656.737</v>
      </c>
      <c r="AE4" s="11" t="n">
        <v>424.358</v>
      </c>
      <c r="AF4" s="11" t="n">
        <v>305.558</v>
      </c>
      <c r="AG4" s="11" t="n">
        <v>181.14</v>
      </c>
      <c r="AH4" s="11" t="n">
        <f aca="false">SUM(AB4:AG4)</f>
        <v>4624.596</v>
      </c>
    </row>
    <row r="5" customFormat="false" ht="15" hidden="false" customHeight="false" outlineLevel="2" collapsed="false">
      <c r="A5" s="8" t="s">
        <v>715</v>
      </c>
      <c r="B5" s="9" t="s">
        <v>716</v>
      </c>
      <c r="C5" s="8" t="s">
        <v>708</v>
      </c>
      <c r="D5" s="12" t="s">
        <v>709</v>
      </c>
      <c r="E5" s="16"/>
      <c r="F5" s="9" t="str">
        <f aca="false">IF($E5="","",IFERROR(INDEX(担当者マスタ!$B$2:$B$101,MATCH($E5,担当者マスタ!$A$2:$A$101,0)),"※マスタ未登録"))</f>
        <v/>
      </c>
      <c r="G5" s="11" t="n">
        <v>42.24</v>
      </c>
      <c r="H5" s="11" t="n">
        <v>131.38</v>
      </c>
      <c r="I5" s="11" t="n">
        <v>148.94</v>
      </c>
      <c r="J5" s="11" t="n">
        <v>10.56</v>
      </c>
      <c r="K5" s="11" t="n">
        <v>120.92</v>
      </c>
      <c r="L5" s="11" t="n">
        <v>31.68</v>
      </c>
      <c r="M5" s="11" t="n">
        <f aca="false">SUM(G5:L5)</f>
        <v>485.72</v>
      </c>
      <c r="N5" s="11" t="n">
        <v>7.04</v>
      </c>
      <c r="O5" s="11" t="n">
        <v>28.592</v>
      </c>
      <c r="P5" s="11" t="n">
        <v>39.94</v>
      </c>
      <c r="Q5" s="11" t="n">
        <v>1.76</v>
      </c>
      <c r="R5" s="11" t="n">
        <v>33.24</v>
      </c>
      <c r="S5" s="11" t="n">
        <v>5.28</v>
      </c>
      <c r="T5" s="11" t="n">
        <f aca="false">SUM(N5:S5)</f>
        <v>115.852</v>
      </c>
      <c r="U5" s="11" t="n">
        <v>35.312</v>
      </c>
      <c r="V5" s="11" t="n">
        <v>158.49</v>
      </c>
      <c r="W5" s="11" t="n">
        <v>432.92</v>
      </c>
      <c r="X5" s="11" t="n">
        <v>86.16</v>
      </c>
      <c r="Y5" s="11" t="n">
        <v>28.49</v>
      </c>
      <c r="Z5" s="11" t="n">
        <v>99.14</v>
      </c>
      <c r="AA5" s="11" t="n">
        <f aca="false">SUM(U5:Z5)</f>
        <v>840.512</v>
      </c>
      <c r="AB5" s="11" t="n">
        <v>7.072</v>
      </c>
      <c r="AC5" s="11" t="n">
        <v>40.9</v>
      </c>
      <c r="AD5" s="11" t="n">
        <v>115.4</v>
      </c>
      <c r="AE5" s="11" t="n">
        <v>23.18</v>
      </c>
      <c r="AF5" s="11" t="n">
        <v>5.71</v>
      </c>
      <c r="AG5" s="11" t="n">
        <v>27.09</v>
      </c>
      <c r="AH5" s="11" t="n">
        <f aca="false">SUM(AB5:AG5)</f>
        <v>219.352</v>
      </c>
    </row>
    <row r="6" customFormat="false" ht="15" hidden="false" customHeight="false" outlineLevel="2" collapsed="false">
      <c r="A6" s="8" t="s">
        <v>717</v>
      </c>
      <c r="B6" s="9" t="s">
        <v>718</v>
      </c>
      <c r="C6" s="8" t="s">
        <v>708</v>
      </c>
      <c r="D6" s="12" t="s">
        <v>709</v>
      </c>
      <c r="E6" s="16"/>
      <c r="F6" s="9" t="str">
        <f aca="false">IF($E6="","",IFERROR(INDEX(担当者マスタ!$B$2:$B$101,MATCH($E6,担当者マスタ!$A$2:$A$101,0)),"※マスタ未登録"))</f>
        <v/>
      </c>
      <c r="G6" s="11" t="n">
        <v>21.6</v>
      </c>
      <c r="H6" s="11" t="n">
        <v>0</v>
      </c>
      <c r="I6" s="11" t="n">
        <v>62.7</v>
      </c>
      <c r="J6" s="11" t="n">
        <v>24.98</v>
      </c>
      <c r="K6" s="11" t="n">
        <v>21.6</v>
      </c>
      <c r="L6" s="11" t="n">
        <v>0</v>
      </c>
      <c r="M6" s="11" t="n">
        <f aca="false">SUM(G6:L6)</f>
        <v>130.88</v>
      </c>
      <c r="N6" s="11" t="n">
        <v>6.99</v>
      </c>
      <c r="O6" s="11" t="n">
        <v>0</v>
      </c>
      <c r="P6" s="11" t="n">
        <v>7.224</v>
      </c>
      <c r="Q6" s="11" t="n">
        <v>7.2</v>
      </c>
      <c r="R6" s="11" t="n">
        <v>6.99</v>
      </c>
      <c r="S6" s="11" t="n">
        <v>0</v>
      </c>
      <c r="T6" s="11" t="n">
        <f aca="false">SUM(N6:S6)</f>
        <v>28.404</v>
      </c>
      <c r="U6" s="11" t="n">
        <v>0</v>
      </c>
      <c r="V6" s="11" t="n">
        <v>0</v>
      </c>
      <c r="W6" s="11" t="n">
        <v>42.78</v>
      </c>
      <c r="X6" s="11" t="n">
        <v>46.88</v>
      </c>
      <c r="Y6" s="11" t="n">
        <v>0</v>
      </c>
      <c r="Z6" s="11" t="n">
        <v>0</v>
      </c>
      <c r="AA6" s="11" t="n">
        <f aca="false">SUM(U6:Z6)</f>
        <v>89.66</v>
      </c>
      <c r="AB6" s="11" t="n">
        <v>0</v>
      </c>
      <c r="AC6" s="11" t="n">
        <v>0</v>
      </c>
      <c r="AD6" s="11" t="n">
        <v>7.609</v>
      </c>
      <c r="AE6" s="11" t="n">
        <v>14.19</v>
      </c>
      <c r="AF6" s="11" t="n">
        <v>0</v>
      </c>
      <c r="AG6" s="11" t="n">
        <v>0</v>
      </c>
      <c r="AH6" s="11" t="n">
        <f aca="false">SUM(AB6:AG6)</f>
        <v>21.799</v>
      </c>
    </row>
    <row r="7" customFormat="false" ht="15" hidden="false" customHeight="false" outlineLevel="2" collapsed="false">
      <c r="A7" s="8" t="s">
        <v>719</v>
      </c>
      <c r="B7" s="12" t="s">
        <v>720</v>
      </c>
      <c r="C7" s="8" t="s">
        <v>708</v>
      </c>
      <c r="D7" s="12" t="s">
        <v>709</v>
      </c>
      <c r="E7" s="16"/>
      <c r="F7" s="9" t="str">
        <f aca="false">IF($E7="","",IFERROR(INDEX(担当者マスタ!$B$2:$B$101,MATCH($E7,担当者マスタ!$A$2:$A$101,0)),"※マスタ未登録"))</f>
        <v/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f aca="false">SUM(G7:L7)</f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f aca="false">SUM(N7:S7)</f>
        <v>0</v>
      </c>
      <c r="U7" s="11" t="n">
        <v>13.62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f aca="false">SUM(U7:Z7)</f>
        <v>13.62</v>
      </c>
      <c r="AB7" s="11" t="n">
        <v>4.32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f aca="false">SUM(AB7:AG7)</f>
        <v>4.32</v>
      </c>
    </row>
    <row r="8" customFormat="false" ht="15" hidden="false" customHeight="false" outlineLevel="2" collapsed="false">
      <c r="A8" s="8" t="s">
        <v>721</v>
      </c>
      <c r="B8" s="9" t="s">
        <v>722</v>
      </c>
      <c r="C8" s="8" t="s">
        <v>708</v>
      </c>
      <c r="D8" s="12" t="s">
        <v>709</v>
      </c>
      <c r="E8" s="16"/>
      <c r="F8" s="9" t="str">
        <f aca="false">IF($E8="","",IFERROR(INDEX(担当者マスタ!$B$2:$B$101,MATCH($E8,担当者マスタ!$A$2:$A$101,0)),"※マスタ未登録"))</f>
        <v/>
      </c>
      <c r="G8" s="11" t="n">
        <v>86.409</v>
      </c>
      <c r="H8" s="11" t="n">
        <v>50.322</v>
      </c>
      <c r="I8" s="11" t="n">
        <v>244.57</v>
      </c>
      <c r="J8" s="11" t="n">
        <v>0</v>
      </c>
      <c r="K8" s="11" t="n">
        <v>109.831</v>
      </c>
      <c r="L8" s="11" t="n">
        <v>276.201</v>
      </c>
      <c r="M8" s="11" t="n">
        <f aca="false">SUM(G8:L8)</f>
        <v>767.333</v>
      </c>
      <c r="N8" s="11" t="n">
        <v>23.722</v>
      </c>
      <c r="O8" s="11" t="n">
        <v>13.597</v>
      </c>
      <c r="P8" s="11" t="n">
        <v>66.994</v>
      </c>
      <c r="Q8" s="11" t="n">
        <v>0</v>
      </c>
      <c r="R8" s="11" t="n">
        <v>30.847</v>
      </c>
      <c r="S8" s="11" t="n">
        <v>76.645</v>
      </c>
      <c r="T8" s="11" t="n">
        <f aca="false">SUM(N8:S8)</f>
        <v>211.805</v>
      </c>
      <c r="U8" s="11" t="n">
        <v>83.827</v>
      </c>
      <c r="V8" s="11" t="n">
        <v>51.25</v>
      </c>
      <c r="W8" s="11" t="n">
        <v>206.802</v>
      </c>
      <c r="X8" s="11" t="n">
        <v>109.442</v>
      </c>
      <c r="Y8" s="11" t="n">
        <v>159.463</v>
      </c>
      <c r="Z8" s="11" t="n">
        <v>126.015</v>
      </c>
      <c r="AA8" s="11" t="n">
        <f aca="false">SUM(U8:Z8)</f>
        <v>736.799</v>
      </c>
      <c r="AB8" s="11" t="n">
        <v>24.306</v>
      </c>
      <c r="AC8" s="11" t="n">
        <v>13.41</v>
      </c>
      <c r="AD8" s="11" t="n">
        <v>58.163</v>
      </c>
      <c r="AE8" s="11" t="n">
        <v>30.106</v>
      </c>
      <c r="AF8" s="11" t="n">
        <v>44.727</v>
      </c>
      <c r="AG8" s="11" t="n">
        <v>36.636</v>
      </c>
      <c r="AH8" s="11" t="n">
        <f aca="false">SUM(AB8:AG8)</f>
        <v>207.348</v>
      </c>
    </row>
    <row r="9" customFormat="false" ht="15" hidden="false" customHeight="false" outlineLevel="2" collapsed="false">
      <c r="A9" s="8" t="s">
        <v>723</v>
      </c>
      <c r="B9" s="12" t="s">
        <v>724</v>
      </c>
      <c r="C9" s="8" t="s">
        <v>708</v>
      </c>
      <c r="D9" s="12" t="s">
        <v>709</v>
      </c>
      <c r="E9" s="16"/>
      <c r="F9" s="9" t="str">
        <f aca="false">IF($E9="","",IFERROR(INDEX(担当者マスタ!$B$2:$B$101,MATCH($E9,担当者マスタ!$A$2:$A$101,0)),"※マスタ未登録"))</f>
        <v/>
      </c>
      <c r="G9" s="11" t="n">
        <v>90.048</v>
      </c>
      <c r="H9" s="11" t="n">
        <v>346.4</v>
      </c>
      <c r="I9" s="11" t="n">
        <v>30</v>
      </c>
      <c r="J9" s="11" t="n">
        <v>187</v>
      </c>
      <c r="K9" s="11" t="n">
        <v>159</v>
      </c>
      <c r="L9" s="11" t="n">
        <v>136.526</v>
      </c>
      <c r="M9" s="11" t="n">
        <f aca="false">SUM(G9:L9)</f>
        <v>948.974</v>
      </c>
      <c r="N9" s="11" t="n">
        <v>20.824</v>
      </c>
      <c r="O9" s="11" t="n">
        <v>68.72</v>
      </c>
      <c r="P9" s="11" t="n">
        <v>7</v>
      </c>
      <c r="Q9" s="11" t="n">
        <v>34.5</v>
      </c>
      <c r="R9" s="11" t="n">
        <v>30.2</v>
      </c>
      <c r="S9" s="11" t="n">
        <v>30.896</v>
      </c>
      <c r="T9" s="11" t="n">
        <f aca="false">SUM(N9:S9)</f>
        <v>192.14</v>
      </c>
      <c r="U9" s="11" t="n">
        <v>225.584</v>
      </c>
      <c r="V9" s="11" t="n">
        <v>51</v>
      </c>
      <c r="W9" s="11" t="n">
        <v>136.2</v>
      </c>
      <c r="X9" s="11" t="n">
        <v>244.47</v>
      </c>
      <c r="Y9" s="11" t="n">
        <v>166.2</v>
      </c>
      <c r="Z9" s="11" t="n">
        <v>473.95</v>
      </c>
      <c r="AA9" s="11" t="n">
        <f aca="false">SUM(U9:Z9)</f>
        <v>1297.404</v>
      </c>
      <c r="AB9" s="11" t="n">
        <v>47.204</v>
      </c>
      <c r="AC9" s="11" t="n">
        <v>8</v>
      </c>
      <c r="AD9" s="11" t="n">
        <v>30.2</v>
      </c>
      <c r="AE9" s="11" t="n">
        <v>53.82</v>
      </c>
      <c r="AF9" s="11" t="n">
        <v>36.3</v>
      </c>
      <c r="AG9" s="11" t="n">
        <v>104.63</v>
      </c>
      <c r="AH9" s="11" t="n">
        <f aca="false">SUM(AB9:AG9)</f>
        <v>280.154</v>
      </c>
    </row>
    <row r="10" customFormat="false" ht="15" hidden="false" customHeight="false" outlineLevel="2" collapsed="false">
      <c r="A10" s="8" t="s">
        <v>725</v>
      </c>
      <c r="B10" s="12" t="s">
        <v>726</v>
      </c>
      <c r="C10" s="8" t="s">
        <v>708</v>
      </c>
      <c r="D10" s="12" t="s">
        <v>709</v>
      </c>
      <c r="E10" s="16"/>
      <c r="F10" s="9" t="str">
        <f aca="false">IF($E10="","",IFERROR(INDEX(担当者マスタ!$B$2:$B$101,MATCH($E10,担当者マスタ!$A$2:$A$101,0)),"※マスタ未登録"))</f>
        <v/>
      </c>
      <c r="G10" s="11" t="n">
        <v>2243.321</v>
      </c>
      <c r="H10" s="11" t="n">
        <v>1971.139</v>
      </c>
      <c r="I10" s="11" t="n">
        <v>1782.016</v>
      </c>
      <c r="J10" s="11" t="n">
        <v>1355.819</v>
      </c>
      <c r="K10" s="11" t="n">
        <v>1429.735</v>
      </c>
      <c r="L10" s="11" t="n">
        <v>2072.647</v>
      </c>
      <c r="M10" s="11" t="n">
        <f aca="false">SUM(G10:L10)</f>
        <v>10854.677</v>
      </c>
      <c r="N10" s="11" t="n">
        <v>506.575</v>
      </c>
      <c r="O10" s="11" t="n">
        <v>458.214</v>
      </c>
      <c r="P10" s="11" t="n">
        <v>415.525</v>
      </c>
      <c r="Q10" s="11" t="n">
        <v>297.15</v>
      </c>
      <c r="R10" s="11" t="n">
        <v>312.246</v>
      </c>
      <c r="S10" s="11" t="n">
        <v>452.533</v>
      </c>
      <c r="T10" s="11" t="n">
        <f aca="false">SUM(N10:S10)</f>
        <v>2442.243</v>
      </c>
      <c r="U10" s="11" t="n">
        <v>1897.326</v>
      </c>
      <c r="V10" s="11" t="n">
        <v>1752.698</v>
      </c>
      <c r="W10" s="11" t="n">
        <v>2138.748</v>
      </c>
      <c r="X10" s="11" t="n">
        <v>1387.22</v>
      </c>
      <c r="Y10" s="11" t="n">
        <v>1521.007</v>
      </c>
      <c r="Z10" s="11" t="n">
        <v>1888.689</v>
      </c>
      <c r="AA10" s="11" t="n">
        <f aca="false">SUM(U10:Z10)</f>
        <v>10585.688</v>
      </c>
      <c r="AB10" s="11" t="n">
        <v>448.308</v>
      </c>
      <c r="AC10" s="11" t="n">
        <v>415.46</v>
      </c>
      <c r="AD10" s="11" t="n">
        <v>484.266</v>
      </c>
      <c r="AE10" s="11" t="n">
        <v>302.932</v>
      </c>
      <c r="AF10" s="11" t="n">
        <v>319.391</v>
      </c>
      <c r="AG10" s="11" t="n">
        <v>390.061</v>
      </c>
      <c r="AH10" s="11" t="n">
        <f aca="false">SUM(AB10:AG10)</f>
        <v>2360.418</v>
      </c>
    </row>
    <row r="11" customFormat="false" ht="15" hidden="false" customHeight="false" outlineLevel="2" collapsed="false">
      <c r="A11" s="8" t="s">
        <v>727</v>
      </c>
      <c r="B11" s="12" t="s">
        <v>728</v>
      </c>
      <c r="C11" s="8" t="s">
        <v>708</v>
      </c>
      <c r="D11" s="12" t="s">
        <v>709</v>
      </c>
      <c r="E11" s="16"/>
      <c r="F11" s="9" t="str">
        <f aca="false">IF($E11="","",IFERROR(INDEX(担当者マスタ!$B$2:$B$101,MATCH($E11,担当者マスタ!$A$2:$A$101,0)),"※マスタ未登録"))</f>
        <v/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118.65</v>
      </c>
      <c r="M11" s="11" t="n">
        <f aca="false">SUM(G11:L11)</f>
        <v>118.65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30.45</v>
      </c>
      <c r="T11" s="11" t="n">
        <f aca="false">SUM(N11:S11)</f>
        <v>30.45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f aca="false">SUM(U11:Z11)</f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f aca="false">SUM(AB11:AG11)</f>
        <v>0</v>
      </c>
    </row>
    <row r="12" customFormat="false" ht="15" hidden="false" customHeight="false" outlineLevel="2" collapsed="false">
      <c r="A12" s="8" t="s">
        <v>729</v>
      </c>
      <c r="B12" s="12" t="s">
        <v>730</v>
      </c>
      <c r="C12" s="8" t="s">
        <v>708</v>
      </c>
      <c r="D12" s="12" t="s">
        <v>709</v>
      </c>
      <c r="E12" s="16"/>
      <c r="F12" s="9" t="str">
        <f aca="false">IF($E12="","",IFERROR(INDEX(担当者マスタ!$B$2:$B$101,MATCH($E12,担当者マスタ!$A$2:$A$101,0)),"※マスタ未登録"))</f>
        <v/>
      </c>
      <c r="G12" s="11" t="n">
        <v>0</v>
      </c>
      <c r="H12" s="11" t="n">
        <v>0</v>
      </c>
      <c r="I12" s="11" t="n">
        <v>22.2</v>
      </c>
      <c r="J12" s="11" t="n">
        <v>0</v>
      </c>
      <c r="K12" s="11" t="n">
        <v>0</v>
      </c>
      <c r="L12" s="11" t="n">
        <v>0</v>
      </c>
      <c r="M12" s="11" t="n">
        <f aca="false">SUM(G12:L12)</f>
        <v>22.2</v>
      </c>
      <c r="N12" s="11" t="n">
        <v>0</v>
      </c>
      <c r="O12" s="11" t="n">
        <v>0</v>
      </c>
      <c r="P12" s="11" t="n">
        <v>4.695</v>
      </c>
      <c r="Q12" s="11" t="n">
        <v>0</v>
      </c>
      <c r="R12" s="11" t="n">
        <v>0</v>
      </c>
      <c r="S12" s="11" t="n">
        <v>0</v>
      </c>
      <c r="T12" s="11" t="n">
        <f aca="false">SUM(N12:S12)</f>
        <v>4.695</v>
      </c>
      <c r="U12" s="11" t="n">
        <v>0</v>
      </c>
      <c r="V12" s="11" t="n">
        <v>23.975</v>
      </c>
      <c r="W12" s="11" t="n">
        <v>0</v>
      </c>
      <c r="X12" s="11" t="n">
        <v>0</v>
      </c>
      <c r="Y12" s="11" t="n">
        <v>0</v>
      </c>
      <c r="Z12" s="11" t="n">
        <v>23.975</v>
      </c>
      <c r="AA12" s="11" t="n">
        <f aca="false">SUM(U12:Z12)</f>
        <v>47.95</v>
      </c>
      <c r="AB12" s="11" t="n">
        <v>0</v>
      </c>
      <c r="AC12" s="11" t="n">
        <v>5.594</v>
      </c>
      <c r="AD12" s="11" t="n">
        <v>0</v>
      </c>
      <c r="AE12" s="11" t="n">
        <v>0</v>
      </c>
      <c r="AF12" s="11" t="n">
        <v>0</v>
      </c>
      <c r="AG12" s="11" t="n">
        <v>5.594</v>
      </c>
      <c r="AH12" s="11" t="n">
        <f aca="false">SUM(AB12:AG12)</f>
        <v>11.188</v>
      </c>
    </row>
    <row r="13" customFormat="false" ht="15" hidden="false" customHeight="false" outlineLevel="2" collapsed="false">
      <c r="A13" s="8" t="s">
        <v>731</v>
      </c>
      <c r="B13" s="9" t="s">
        <v>732</v>
      </c>
      <c r="C13" s="8" t="s">
        <v>708</v>
      </c>
      <c r="D13" s="12" t="s">
        <v>709</v>
      </c>
      <c r="E13" s="16"/>
      <c r="F13" s="9" t="str">
        <f aca="false">IF($E13="","",IFERROR(INDEX(担当者マスタ!$B$2:$B$101,MATCH($E13,担当者マスタ!$A$2:$A$101,0)),"※マスタ未登録"))</f>
        <v/>
      </c>
      <c r="G13" s="11" t="n">
        <v>1724.145</v>
      </c>
      <c r="H13" s="11" t="n">
        <v>1335.487</v>
      </c>
      <c r="I13" s="11" t="n">
        <v>1915.001</v>
      </c>
      <c r="J13" s="11" t="n">
        <v>1205.26</v>
      </c>
      <c r="K13" s="11" t="n">
        <v>1177.54</v>
      </c>
      <c r="L13" s="11" t="n">
        <v>1422.668</v>
      </c>
      <c r="M13" s="11" t="n">
        <f aca="false">SUM(G13:L13)</f>
        <v>8780.101</v>
      </c>
      <c r="N13" s="11" t="n">
        <v>470.723</v>
      </c>
      <c r="O13" s="11" t="n">
        <v>370.242</v>
      </c>
      <c r="P13" s="11" t="n">
        <v>463.538</v>
      </c>
      <c r="Q13" s="11" t="n">
        <v>276.744</v>
      </c>
      <c r="R13" s="11" t="n">
        <v>281.906</v>
      </c>
      <c r="S13" s="11" t="n">
        <v>371.531</v>
      </c>
      <c r="T13" s="11" t="n">
        <f aca="false">SUM(N13:S13)</f>
        <v>2234.684</v>
      </c>
      <c r="U13" s="11" t="n">
        <v>1149.225</v>
      </c>
      <c r="V13" s="11" t="n">
        <v>729.05</v>
      </c>
      <c r="W13" s="11" t="n">
        <v>999.905</v>
      </c>
      <c r="X13" s="11" t="n">
        <v>479.54</v>
      </c>
      <c r="Y13" s="11" t="n">
        <v>387.624</v>
      </c>
      <c r="Z13" s="11" t="n">
        <v>650.449</v>
      </c>
      <c r="AA13" s="11" t="n">
        <f aca="false">SUM(U13:Z13)</f>
        <v>4395.793</v>
      </c>
      <c r="AB13" s="11" t="n">
        <v>279.047</v>
      </c>
      <c r="AC13" s="11" t="n">
        <v>155.947</v>
      </c>
      <c r="AD13" s="11" t="n">
        <v>217.056</v>
      </c>
      <c r="AE13" s="11" t="n">
        <v>133.83</v>
      </c>
      <c r="AF13" s="11" t="n">
        <v>91.77</v>
      </c>
      <c r="AG13" s="11" t="n">
        <v>113.81</v>
      </c>
      <c r="AH13" s="11" t="n">
        <f aca="false">SUM(AB13:AG13)</f>
        <v>991.46</v>
      </c>
    </row>
    <row r="14" customFormat="false" ht="15" hidden="false" customHeight="false" outlineLevel="2" collapsed="false">
      <c r="A14" s="8" t="s">
        <v>733</v>
      </c>
      <c r="B14" s="9" t="s">
        <v>734</v>
      </c>
      <c r="C14" s="8" t="s">
        <v>708</v>
      </c>
      <c r="D14" s="12" t="s">
        <v>709</v>
      </c>
      <c r="E14" s="16"/>
      <c r="F14" s="9" t="str">
        <f aca="false">IF($E14="","",IFERROR(INDEX(担当者マスタ!$B$2:$B$101,MATCH($E14,担当者マスタ!$A$2:$A$101,0)),"※マスタ未登録"))</f>
        <v/>
      </c>
      <c r="G14" s="11" t="n">
        <v>22.1</v>
      </c>
      <c r="H14" s="11" t="n">
        <v>0</v>
      </c>
      <c r="I14" s="11" t="n">
        <v>9.3</v>
      </c>
      <c r="J14" s="11" t="n">
        <v>0</v>
      </c>
      <c r="K14" s="11" t="n">
        <v>0</v>
      </c>
      <c r="L14" s="11" t="n">
        <v>8.6</v>
      </c>
      <c r="M14" s="11" t="n">
        <f aca="false">SUM(G14:L14)</f>
        <v>40</v>
      </c>
      <c r="N14" s="11" t="n">
        <v>3.9</v>
      </c>
      <c r="O14" s="11" t="n">
        <v>0</v>
      </c>
      <c r="P14" s="11" t="n">
        <v>1.65</v>
      </c>
      <c r="Q14" s="11" t="n">
        <v>0</v>
      </c>
      <c r="R14" s="11" t="n">
        <v>0</v>
      </c>
      <c r="S14" s="11" t="n">
        <v>1.4</v>
      </c>
      <c r="T14" s="11" t="n">
        <f aca="false">SUM(N14:S14)</f>
        <v>6.95</v>
      </c>
      <c r="U14" s="11" t="n">
        <v>9.95</v>
      </c>
      <c r="V14" s="11" t="n">
        <v>44.05</v>
      </c>
      <c r="W14" s="11" t="n">
        <v>15.34</v>
      </c>
      <c r="X14" s="11" t="n">
        <v>0</v>
      </c>
      <c r="Y14" s="11" t="n">
        <v>9.3</v>
      </c>
      <c r="Z14" s="11" t="n">
        <v>0</v>
      </c>
      <c r="AA14" s="11" t="n">
        <f aca="false">SUM(U14:Z14)</f>
        <v>78.64</v>
      </c>
      <c r="AB14" s="11" t="n">
        <v>1.65</v>
      </c>
      <c r="AC14" s="11" t="n">
        <v>9.66</v>
      </c>
      <c r="AD14" s="11" t="n">
        <v>4.58</v>
      </c>
      <c r="AE14" s="11" t="n">
        <v>0</v>
      </c>
      <c r="AF14" s="11" t="n">
        <v>1.65</v>
      </c>
      <c r="AG14" s="11" t="n">
        <v>0</v>
      </c>
      <c r="AH14" s="11" t="n">
        <f aca="false">SUM(AB14:AG14)</f>
        <v>17.54</v>
      </c>
    </row>
    <row r="15" customFormat="false" ht="15" hidden="false" customHeight="false" outlineLevel="2" collapsed="false">
      <c r="A15" s="8" t="s">
        <v>735</v>
      </c>
      <c r="B15" s="12" t="s">
        <v>736</v>
      </c>
      <c r="C15" s="8" t="s">
        <v>708</v>
      </c>
      <c r="D15" s="12" t="s">
        <v>709</v>
      </c>
      <c r="E15" s="16"/>
      <c r="F15" s="9" t="str">
        <f aca="false">IF($E15="","",IFERROR(INDEX(担当者マスタ!$B$2:$B$101,MATCH($E15,担当者マスタ!$A$2:$A$101,0)),"※マスタ未登録"))</f>
        <v/>
      </c>
      <c r="G15" s="11" t="n">
        <v>0</v>
      </c>
      <c r="H15" s="11" t="n">
        <v>29.8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f aca="false">SUM(G15:L15)</f>
        <v>29.8</v>
      </c>
      <c r="N15" s="11" t="n">
        <v>0</v>
      </c>
      <c r="O15" s="11" t="n">
        <v>15.59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f aca="false">SUM(N15:S15)</f>
        <v>15.59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21.5</v>
      </c>
      <c r="Z15" s="11" t="n">
        <v>0</v>
      </c>
      <c r="AA15" s="11" t="n">
        <f aca="false">SUM(U15:Z15)</f>
        <v>21.5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14.35</v>
      </c>
      <c r="AG15" s="11" t="n">
        <v>0</v>
      </c>
      <c r="AH15" s="11" t="n">
        <f aca="false">SUM(AB15:AG15)</f>
        <v>14.35</v>
      </c>
    </row>
    <row r="16" customFormat="false" ht="15" hidden="false" customHeight="false" outlineLevel="2" collapsed="false">
      <c r="A16" s="8" t="s">
        <v>737</v>
      </c>
      <c r="B16" s="12" t="s">
        <v>738</v>
      </c>
      <c r="C16" s="8" t="s">
        <v>708</v>
      </c>
      <c r="D16" s="12" t="s">
        <v>709</v>
      </c>
      <c r="E16" s="16"/>
      <c r="F16" s="9" t="str">
        <f aca="false">IF($E16="","",IFERROR(INDEX(担当者マスタ!$B$2:$B$101,MATCH($E16,担当者マスタ!$A$2:$A$101,0)),"※マスタ未登録"))</f>
        <v/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f aca="false">SUM(G16:L16)</f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f aca="false">SUM(N16:S16)</f>
        <v>0</v>
      </c>
      <c r="U16" s="11" t="n">
        <v>0</v>
      </c>
      <c r="V16" s="11" t="n">
        <v>0</v>
      </c>
      <c r="W16" s="11" t="n">
        <v>4</v>
      </c>
      <c r="X16" s="11" t="n">
        <v>0</v>
      </c>
      <c r="Y16" s="11" t="n">
        <v>0</v>
      </c>
      <c r="Z16" s="11" t="n">
        <v>0</v>
      </c>
      <c r="AA16" s="11" t="n">
        <f aca="false">SUM(U16:Z16)</f>
        <v>4</v>
      </c>
      <c r="AB16" s="11" t="n">
        <v>0</v>
      </c>
      <c r="AC16" s="11" t="n">
        <v>0</v>
      </c>
      <c r="AD16" s="11" t="n">
        <v>1</v>
      </c>
      <c r="AE16" s="11" t="n">
        <v>0</v>
      </c>
      <c r="AF16" s="11" t="n">
        <v>0</v>
      </c>
      <c r="AG16" s="11" t="n">
        <v>0</v>
      </c>
      <c r="AH16" s="11" t="n">
        <f aca="false">SUM(AB16:AG16)</f>
        <v>1</v>
      </c>
    </row>
    <row r="17" customFormat="false" ht="15" hidden="false" customHeight="false" outlineLevel="2" collapsed="false">
      <c r="A17" s="8" t="s">
        <v>739</v>
      </c>
      <c r="B17" s="9" t="s">
        <v>740</v>
      </c>
      <c r="C17" s="8" t="s">
        <v>708</v>
      </c>
      <c r="D17" s="12" t="s">
        <v>709</v>
      </c>
      <c r="E17" s="16"/>
      <c r="F17" s="9" t="str">
        <f aca="false">IF($E17="","",IFERROR(INDEX(担当者マスタ!$B$2:$B$101,MATCH($E17,担当者マスタ!$A$2:$A$101,0)),"※マスタ未登録"))</f>
        <v/>
      </c>
      <c r="G17" s="11" t="n">
        <v>0</v>
      </c>
      <c r="H17" s="11" t="n">
        <v>0</v>
      </c>
      <c r="I17" s="11" t="n">
        <v>44.8</v>
      </c>
      <c r="J17" s="11" t="n">
        <v>0</v>
      </c>
      <c r="K17" s="11" t="n">
        <v>0</v>
      </c>
      <c r="L17" s="11" t="n">
        <v>0</v>
      </c>
      <c r="M17" s="11" t="n">
        <f aca="false">SUM(G17:L17)</f>
        <v>44.8</v>
      </c>
      <c r="N17" s="11" t="n">
        <v>0</v>
      </c>
      <c r="O17" s="11" t="n">
        <v>0</v>
      </c>
      <c r="P17" s="11" t="n">
        <v>14.88</v>
      </c>
      <c r="Q17" s="11" t="n">
        <v>0</v>
      </c>
      <c r="R17" s="11" t="n">
        <v>0</v>
      </c>
      <c r="S17" s="11" t="n">
        <v>0</v>
      </c>
      <c r="T17" s="11" t="n">
        <f aca="false">SUM(N17:S17)</f>
        <v>14.88</v>
      </c>
      <c r="U17" s="11" t="n">
        <v>0</v>
      </c>
      <c r="V17" s="11" t="n">
        <v>44.8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f aca="false">SUM(U17:Z17)</f>
        <v>44.8</v>
      </c>
      <c r="AB17" s="11" t="n">
        <v>0</v>
      </c>
      <c r="AC17" s="11" t="n">
        <v>14.88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f aca="false">SUM(AB17:AG17)</f>
        <v>14.88</v>
      </c>
    </row>
    <row r="18" customFormat="false" ht="15" hidden="false" customHeight="false" outlineLevel="2" collapsed="false">
      <c r="A18" s="8" t="s">
        <v>741</v>
      </c>
      <c r="B18" s="12" t="s">
        <v>742</v>
      </c>
      <c r="C18" s="8" t="s">
        <v>708</v>
      </c>
      <c r="D18" s="12" t="s">
        <v>709</v>
      </c>
      <c r="E18" s="16"/>
      <c r="F18" s="9" t="str">
        <f aca="false">IF($E18="","",IFERROR(INDEX(担当者マスタ!$B$2:$B$101,MATCH($E18,担当者マスタ!$A$2:$A$101,0)),"※マスタ未登録"))</f>
        <v/>
      </c>
      <c r="G18" s="11" t="n">
        <v>231.418</v>
      </c>
      <c r="H18" s="11" t="n">
        <v>435.585</v>
      </c>
      <c r="I18" s="11" t="n">
        <v>389.642</v>
      </c>
      <c r="J18" s="11" t="n">
        <v>52.57</v>
      </c>
      <c r="K18" s="11" t="n">
        <v>91.684</v>
      </c>
      <c r="L18" s="11" t="n">
        <v>417.82</v>
      </c>
      <c r="M18" s="11" t="n">
        <f aca="false">SUM(G18:L18)</f>
        <v>1618.719</v>
      </c>
      <c r="N18" s="11" t="n">
        <v>50.803</v>
      </c>
      <c r="O18" s="11" t="n">
        <v>81.359</v>
      </c>
      <c r="P18" s="11" t="n">
        <v>79.309</v>
      </c>
      <c r="Q18" s="11" t="n">
        <v>14.452</v>
      </c>
      <c r="R18" s="11" t="n">
        <v>26.998</v>
      </c>
      <c r="S18" s="11" t="n">
        <v>99.971</v>
      </c>
      <c r="T18" s="11" t="n">
        <f aca="false">SUM(N18:S18)</f>
        <v>352.892</v>
      </c>
      <c r="U18" s="11" t="n">
        <v>472.884</v>
      </c>
      <c r="V18" s="11" t="n">
        <v>158.014</v>
      </c>
      <c r="W18" s="11" t="n">
        <v>462.574</v>
      </c>
      <c r="X18" s="11" t="n">
        <v>120.863</v>
      </c>
      <c r="Y18" s="11" t="n">
        <v>140.898</v>
      </c>
      <c r="Z18" s="11" t="n">
        <v>380.724</v>
      </c>
      <c r="AA18" s="11" t="n">
        <f aca="false">SUM(U18:Z18)</f>
        <v>1735.957</v>
      </c>
      <c r="AB18" s="11" t="n">
        <v>111.555</v>
      </c>
      <c r="AC18" s="11" t="n">
        <v>33.166</v>
      </c>
      <c r="AD18" s="11" t="n">
        <v>104.097</v>
      </c>
      <c r="AE18" s="11" t="n">
        <v>34.038</v>
      </c>
      <c r="AF18" s="11" t="n">
        <v>30.023</v>
      </c>
      <c r="AG18" s="11" t="n">
        <v>93.604</v>
      </c>
      <c r="AH18" s="11" t="n">
        <f aca="false">SUM(AB18:AG18)</f>
        <v>406.483</v>
      </c>
    </row>
    <row r="19" customFormat="false" ht="15" hidden="false" customHeight="false" outlineLevel="2" collapsed="false">
      <c r="A19" s="8" t="s">
        <v>743</v>
      </c>
      <c r="B19" s="12" t="s">
        <v>744</v>
      </c>
      <c r="C19" s="8" t="s">
        <v>708</v>
      </c>
      <c r="D19" s="12" t="s">
        <v>709</v>
      </c>
      <c r="E19" s="16"/>
      <c r="F19" s="9" t="str">
        <f aca="false">IF($E19="","",IFERROR(INDEX(担当者マスタ!$B$2:$B$101,MATCH($E19,担当者マスタ!$A$2:$A$101,0)),"※マスタ未登録"))</f>
        <v/>
      </c>
      <c r="G19" s="11" t="n">
        <v>2401.115</v>
      </c>
      <c r="H19" s="11" t="n">
        <v>2270.849</v>
      </c>
      <c r="I19" s="11" t="n">
        <v>2139.909</v>
      </c>
      <c r="J19" s="11" t="n">
        <v>1527.388</v>
      </c>
      <c r="K19" s="11" t="n">
        <v>1856.907</v>
      </c>
      <c r="L19" s="11" t="n">
        <v>2150.936</v>
      </c>
      <c r="M19" s="11" t="n">
        <f aca="false">SUM(G19:L19)</f>
        <v>12347.104</v>
      </c>
      <c r="N19" s="11" t="n">
        <v>576.028</v>
      </c>
      <c r="O19" s="11" t="n">
        <v>577.284</v>
      </c>
      <c r="P19" s="11" t="n">
        <v>553.423</v>
      </c>
      <c r="Q19" s="11" t="n">
        <v>384.73</v>
      </c>
      <c r="R19" s="11" t="n">
        <v>484.249</v>
      </c>
      <c r="S19" s="11" t="n">
        <v>533.149</v>
      </c>
      <c r="T19" s="11" t="n">
        <f aca="false">SUM(N19:S19)</f>
        <v>3108.863</v>
      </c>
      <c r="U19" s="11" t="n">
        <v>2031.655</v>
      </c>
      <c r="V19" s="11" t="n">
        <v>3048.948</v>
      </c>
      <c r="W19" s="11" t="n">
        <v>2005.17</v>
      </c>
      <c r="X19" s="11" t="n">
        <v>1815.995</v>
      </c>
      <c r="Y19" s="11" t="n">
        <v>1812.964</v>
      </c>
      <c r="Z19" s="11" t="n">
        <v>1357.72</v>
      </c>
      <c r="AA19" s="11" t="n">
        <f aca="false">SUM(U19:Z19)</f>
        <v>12072.452</v>
      </c>
      <c r="AB19" s="11" t="n">
        <v>550.738</v>
      </c>
      <c r="AC19" s="11" t="n">
        <v>710.701</v>
      </c>
      <c r="AD19" s="11" t="n">
        <v>509.501</v>
      </c>
      <c r="AE19" s="11" t="n">
        <v>444.219</v>
      </c>
      <c r="AF19" s="11" t="n">
        <v>463.114</v>
      </c>
      <c r="AG19" s="11" t="n">
        <v>401.768</v>
      </c>
      <c r="AH19" s="11" t="n">
        <f aca="false">SUM(AB19:AG19)</f>
        <v>3080.041</v>
      </c>
    </row>
    <row r="20" customFormat="false" ht="15" hidden="false" customHeight="false" outlineLevel="2" collapsed="false">
      <c r="A20" s="8" t="s">
        <v>745</v>
      </c>
      <c r="B20" s="12" t="s">
        <v>746</v>
      </c>
      <c r="C20" s="8" t="s">
        <v>708</v>
      </c>
      <c r="D20" s="12" t="s">
        <v>709</v>
      </c>
      <c r="E20" s="16"/>
      <c r="F20" s="9" t="str">
        <f aca="false">IF($E20="","",IFERROR(INDEX(担当者マスタ!$B$2:$B$101,MATCH($E20,担当者マスタ!$A$2:$A$101,0)),"※マスタ未登録"))</f>
        <v/>
      </c>
      <c r="G20" s="11" t="n">
        <v>108.34</v>
      </c>
      <c r="H20" s="11" t="n">
        <v>168.86</v>
      </c>
      <c r="I20" s="11" t="n">
        <v>130.8</v>
      </c>
      <c r="J20" s="11" t="n">
        <v>48.4</v>
      </c>
      <c r="K20" s="11" t="n">
        <v>19.5</v>
      </c>
      <c r="L20" s="11" t="n">
        <v>46.16</v>
      </c>
      <c r="M20" s="11" t="n">
        <f aca="false">SUM(G20:L20)</f>
        <v>522.06</v>
      </c>
      <c r="N20" s="11" t="n">
        <v>19.955</v>
      </c>
      <c r="O20" s="11" t="n">
        <v>30.2</v>
      </c>
      <c r="P20" s="11" t="n">
        <v>22.3</v>
      </c>
      <c r="Q20" s="11" t="n">
        <v>11.32</v>
      </c>
      <c r="R20" s="11" t="n">
        <v>4.1</v>
      </c>
      <c r="S20" s="11" t="n">
        <v>6.96</v>
      </c>
      <c r="T20" s="11" t="n">
        <f aca="false">SUM(N20:S20)</f>
        <v>94.835</v>
      </c>
      <c r="U20" s="11" t="n">
        <v>112.14</v>
      </c>
      <c r="V20" s="11" t="n">
        <v>115.2</v>
      </c>
      <c r="W20" s="11" t="n">
        <v>69.14</v>
      </c>
      <c r="X20" s="11" t="n">
        <v>61.5</v>
      </c>
      <c r="Y20" s="11" t="n">
        <v>64.94</v>
      </c>
      <c r="Z20" s="11" t="n">
        <v>15.54</v>
      </c>
      <c r="AA20" s="11" t="n">
        <f aca="false">SUM(U20:Z20)</f>
        <v>438.46</v>
      </c>
      <c r="AB20" s="11" t="n">
        <v>24</v>
      </c>
      <c r="AC20" s="11" t="n">
        <v>24.76</v>
      </c>
      <c r="AD20" s="11" t="n">
        <v>12.48</v>
      </c>
      <c r="AE20" s="11" t="n">
        <v>15.38</v>
      </c>
      <c r="AF20" s="11" t="n">
        <v>12.94</v>
      </c>
      <c r="AG20" s="11" t="n">
        <v>2.94</v>
      </c>
      <c r="AH20" s="11" t="n">
        <f aca="false">SUM(AB20:AG20)</f>
        <v>92.5</v>
      </c>
    </row>
    <row r="21" customFormat="false" ht="15" hidden="false" customHeight="false" outlineLevel="2" collapsed="false">
      <c r="A21" s="8" t="s">
        <v>747</v>
      </c>
      <c r="B21" s="12" t="s">
        <v>748</v>
      </c>
      <c r="C21" s="8" t="s">
        <v>708</v>
      </c>
      <c r="D21" s="12" t="s">
        <v>709</v>
      </c>
      <c r="E21" s="16"/>
      <c r="F21" s="9" t="str">
        <f aca="false">IF($E21="","",IFERROR(INDEX(担当者マスタ!$B$2:$B$101,MATCH($E21,担当者マスタ!$A$2:$A$101,0)),"※マスタ未登録"))</f>
        <v/>
      </c>
      <c r="G21" s="11" t="n">
        <v>730.596</v>
      </c>
      <c r="H21" s="11" t="n">
        <v>863.646</v>
      </c>
      <c r="I21" s="11" t="n">
        <v>1458.725</v>
      </c>
      <c r="J21" s="11" t="n">
        <v>400.412</v>
      </c>
      <c r="K21" s="11" t="n">
        <v>697.224</v>
      </c>
      <c r="L21" s="11" t="n">
        <v>772.658</v>
      </c>
      <c r="M21" s="11" t="n">
        <f aca="false">SUM(G21:L21)</f>
        <v>4923.261</v>
      </c>
      <c r="N21" s="11" t="n">
        <v>133.763</v>
      </c>
      <c r="O21" s="11" t="n">
        <v>157.075</v>
      </c>
      <c r="P21" s="11" t="n">
        <v>308.718</v>
      </c>
      <c r="Q21" s="11" t="n">
        <v>75.382</v>
      </c>
      <c r="R21" s="11" t="n">
        <v>146.909</v>
      </c>
      <c r="S21" s="11" t="n">
        <v>207.256</v>
      </c>
      <c r="T21" s="11" t="n">
        <f aca="false">SUM(N21:S21)</f>
        <v>1029.103</v>
      </c>
      <c r="U21" s="11" t="n">
        <v>691.702</v>
      </c>
      <c r="V21" s="11" t="n">
        <v>650.831</v>
      </c>
      <c r="W21" s="11" t="n">
        <v>1018.52</v>
      </c>
      <c r="X21" s="11" t="n">
        <v>1004.79</v>
      </c>
      <c r="Y21" s="11" t="n">
        <v>555.548</v>
      </c>
      <c r="Z21" s="11" t="n">
        <v>467.524</v>
      </c>
      <c r="AA21" s="11" t="n">
        <f aca="false">SUM(U21:Z21)</f>
        <v>4388.915</v>
      </c>
      <c r="AB21" s="11" t="n">
        <v>143.496</v>
      </c>
      <c r="AC21" s="11" t="n">
        <v>147.395</v>
      </c>
      <c r="AD21" s="11" t="n">
        <v>255.306</v>
      </c>
      <c r="AE21" s="11" t="n">
        <v>227.203</v>
      </c>
      <c r="AF21" s="11" t="n">
        <v>119.914</v>
      </c>
      <c r="AG21" s="11" t="n">
        <v>109.154</v>
      </c>
      <c r="AH21" s="11" t="n">
        <f aca="false">SUM(AB21:AG21)</f>
        <v>1002.468</v>
      </c>
    </row>
    <row r="22" customFormat="false" ht="15" hidden="false" customHeight="false" outlineLevel="2" collapsed="false">
      <c r="A22" s="8" t="s">
        <v>749</v>
      </c>
      <c r="B22" s="12" t="s">
        <v>750</v>
      </c>
      <c r="C22" s="8" t="s">
        <v>708</v>
      </c>
      <c r="D22" s="12" t="s">
        <v>709</v>
      </c>
      <c r="E22" s="16"/>
      <c r="F22" s="9" t="str">
        <f aca="false">IF($E22="","",IFERROR(INDEX(担当者マスタ!$B$2:$B$101,MATCH($E22,担当者マスタ!$A$2:$A$101,0)),"※マスタ未登録"))</f>
        <v/>
      </c>
      <c r="G22" s="11" t="n">
        <v>51.7</v>
      </c>
      <c r="H22" s="11" t="n">
        <v>18</v>
      </c>
      <c r="I22" s="11" t="n">
        <v>48.22</v>
      </c>
      <c r="J22" s="11" t="n">
        <v>0</v>
      </c>
      <c r="K22" s="11" t="n">
        <v>18</v>
      </c>
      <c r="L22" s="11" t="n">
        <v>14.52</v>
      </c>
      <c r="M22" s="11" t="n">
        <f aca="false">SUM(G22:L22)</f>
        <v>150.44</v>
      </c>
      <c r="N22" s="11" t="n">
        <v>11.755</v>
      </c>
      <c r="O22" s="11" t="n">
        <v>4.1</v>
      </c>
      <c r="P22" s="11" t="n">
        <v>12.745</v>
      </c>
      <c r="Q22" s="11" t="n">
        <v>0</v>
      </c>
      <c r="R22" s="11" t="n">
        <v>4.1</v>
      </c>
      <c r="S22" s="11" t="n">
        <v>4.74</v>
      </c>
      <c r="T22" s="11" t="n">
        <f aca="false">SUM(N22:S22)</f>
        <v>37.44</v>
      </c>
      <c r="U22" s="11" t="n">
        <v>0</v>
      </c>
      <c r="V22" s="11" t="n">
        <v>26.9</v>
      </c>
      <c r="W22" s="11" t="n">
        <v>24.8</v>
      </c>
      <c r="X22" s="11" t="n">
        <v>14.52</v>
      </c>
      <c r="Y22" s="11" t="n">
        <v>0</v>
      </c>
      <c r="Z22" s="11" t="n">
        <v>24.8</v>
      </c>
      <c r="AA22" s="11" t="n">
        <f aca="false">SUM(U22:Z22)</f>
        <v>91.02</v>
      </c>
      <c r="AB22" s="11" t="n">
        <v>0</v>
      </c>
      <c r="AC22" s="11" t="n">
        <v>6.155</v>
      </c>
      <c r="AD22" s="11" t="n">
        <v>5.95</v>
      </c>
      <c r="AE22" s="11" t="n">
        <v>4.74</v>
      </c>
      <c r="AF22" s="11" t="n">
        <v>0</v>
      </c>
      <c r="AG22" s="11" t="n">
        <v>5.95</v>
      </c>
      <c r="AH22" s="11" t="n">
        <f aca="false">SUM(AB22:AG22)</f>
        <v>22.795</v>
      </c>
    </row>
    <row r="23" customFormat="false" ht="15" hidden="false" customHeight="false" outlineLevel="2" collapsed="false">
      <c r="A23" s="8" t="s">
        <v>751</v>
      </c>
      <c r="B23" s="9" t="s">
        <v>752</v>
      </c>
      <c r="C23" s="8" t="s">
        <v>708</v>
      </c>
      <c r="D23" s="12" t="s">
        <v>709</v>
      </c>
      <c r="E23" s="16"/>
      <c r="F23" s="9" t="str">
        <f aca="false">IF($E23="","",IFERROR(INDEX(担当者マスタ!$B$2:$B$101,MATCH($E23,担当者マスタ!$A$2:$A$101,0)),"※マスタ未登録"))</f>
        <v/>
      </c>
      <c r="G23" s="11" t="n">
        <v>0</v>
      </c>
      <c r="H23" s="11" t="n">
        <v>164.82</v>
      </c>
      <c r="I23" s="11" t="n">
        <v>0</v>
      </c>
      <c r="J23" s="11" t="n">
        <v>568.1</v>
      </c>
      <c r="K23" s="11" t="n">
        <v>0</v>
      </c>
      <c r="L23" s="11" t="n">
        <v>10.92</v>
      </c>
      <c r="M23" s="11" t="n">
        <f aca="false">SUM(G23:L23)</f>
        <v>743.84</v>
      </c>
      <c r="N23" s="11" t="n">
        <v>0</v>
      </c>
      <c r="O23" s="11" t="n">
        <v>37.06</v>
      </c>
      <c r="P23" s="11" t="n">
        <v>0</v>
      </c>
      <c r="Q23" s="11" t="n">
        <v>143.58</v>
      </c>
      <c r="R23" s="11" t="n">
        <v>0</v>
      </c>
      <c r="S23" s="11" t="n">
        <v>3.36</v>
      </c>
      <c r="T23" s="11" t="n">
        <f aca="false">SUM(N23:S23)</f>
        <v>184</v>
      </c>
      <c r="U23" s="11" t="n">
        <v>92.906</v>
      </c>
      <c r="V23" s="11" t="n">
        <v>104.42</v>
      </c>
      <c r="W23" s="11" t="n">
        <v>0</v>
      </c>
      <c r="X23" s="11" t="n">
        <v>242.5</v>
      </c>
      <c r="Y23" s="11" t="n">
        <v>10.92</v>
      </c>
      <c r="Z23" s="11" t="n">
        <v>58.2</v>
      </c>
      <c r="AA23" s="11" t="n">
        <f aca="false">SUM(U23:Z23)</f>
        <v>508.946</v>
      </c>
      <c r="AB23" s="11" t="n">
        <v>14.729</v>
      </c>
      <c r="AC23" s="11" t="n">
        <v>24.86</v>
      </c>
      <c r="AD23" s="11" t="n">
        <v>0</v>
      </c>
      <c r="AE23" s="11" t="n">
        <v>61.5</v>
      </c>
      <c r="AF23" s="11" t="n">
        <v>3.36</v>
      </c>
      <c r="AG23" s="11" t="n">
        <v>11.8</v>
      </c>
      <c r="AH23" s="11" t="n">
        <f aca="false">SUM(AB23:AG23)</f>
        <v>116.249</v>
      </c>
    </row>
    <row r="24" customFormat="false" ht="15" hidden="false" customHeight="false" outlineLevel="2" collapsed="false">
      <c r="A24" s="8" t="s">
        <v>753</v>
      </c>
      <c r="B24" s="9" t="s">
        <v>754</v>
      </c>
      <c r="C24" s="8" t="s">
        <v>708</v>
      </c>
      <c r="D24" s="12" t="s">
        <v>709</v>
      </c>
      <c r="E24" s="16"/>
      <c r="F24" s="9" t="str">
        <f aca="false">IF($E24="","",IFERROR(INDEX(担当者マスタ!$B$2:$B$101,MATCH($E24,担当者マスタ!$A$2:$A$101,0)),"※マスタ未登録"))</f>
        <v/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f aca="false">SUM(G24:L24)</f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f aca="false">SUM(N24:S24)</f>
        <v>0</v>
      </c>
      <c r="U24" s="11" t="n">
        <v>0</v>
      </c>
      <c r="V24" s="11" t="n">
        <v>0</v>
      </c>
      <c r="W24" s="11" t="n">
        <v>32.9</v>
      </c>
      <c r="X24" s="11" t="n">
        <v>0</v>
      </c>
      <c r="Y24" s="11" t="n">
        <v>0</v>
      </c>
      <c r="Z24" s="11" t="n">
        <v>81.2</v>
      </c>
      <c r="AA24" s="11" t="n">
        <f aca="false">SUM(U24:Z24)</f>
        <v>114.1</v>
      </c>
      <c r="AB24" s="11" t="n">
        <v>0</v>
      </c>
      <c r="AC24" s="11" t="n">
        <v>0</v>
      </c>
      <c r="AD24" s="11" t="n">
        <v>8.2</v>
      </c>
      <c r="AE24" s="11" t="n">
        <v>0</v>
      </c>
      <c r="AF24" s="11" t="n">
        <v>0</v>
      </c>
      <c r="AG24" s="11" t="n">
        <v>20.1</v>
      </c>
      <c r="AH24" s="11" t="n">
        <f aca="false">SUM(AB24:AG24)</f>
        <v>28.3</v>
      </c>
    </row>
    <row r="25" customFormat="false" ht="15" hidden="false" customHeight="false" outlineLevel="2" collapsed="false">
      <c r="A25" s="8" t="s">
        <v>755</v>
      </c>
      <c r="B25" s="12" t="s">
        <v>756</v>
      </c>
      <c r="C25" s="8" t="s">
        <v>708</v>
      </c>
      <c r="D25" s="12" t="s">
        <v>709</v>
      </c>
      <c r="E25" s="16"/>
      <c r="F25" s="9" t="str">
        <f aca="false">IF($E25="","",IFERROR(INDEX(担当者マスタ!$B$2:$B$101,MATCH($E25,担当者マスタ!$A$2:$A$101,0)),"※マスタ未登録"))</f>
        <v/>
      </c>
      <c r="G25" s="11" t="n">
        <v>17.6</v>
      </c>
      <c r="H25" s="11" t="n">
        <v>0</v>
      </c>
      <c r="I25" s="11" t="n">
        <v>0</v>
      </c>
      <c r="J25" s="11" t="n">
        <v>17.6</v>
      </c>
      <c r="K25" s="11" t="n">
        <v>0</v>
      </c>
      <c r="L25" s="11" t="n">
        <v>17.82</v>
      </c>
      <c r="M25" s="11" t="n">
        <f aca="false">SUM(G25:L25)</f>
        <v>53.02</v>
      </c>
      <c r="N25" s="11" t="n">
        <v>6.06</v>
      </c>
      <c r="O25" s="11" t="n">
        <v>0</v>
      </c>
      <c r="P25" s="11" t="n">
        <v>0</v>
      </c>
      <c r="Q25" s="11" t="n">
        <v>6.06</v>
      </c>
      <c r="R25" s="11" t="n">
        <v>0</v>
      </c>
      <c r="S25" s="11" t="n">
        <v>5.328</v>
      </c>
      <c r="T25" s="11" t="n">
        <f aca="false">SUM(N25:S25)</f>
        <v>17.448</v>
      </c>
      <c r="U25" s="11" t="n">
        <v>0</v>
      </c>
      <c r="V25" s="11" t="n">
        <v>0</v>
      </c>
      <c r="W25" s="11" t="n">
        <v>35.42</v>
      </c>
      <c r="X25" s="11" t="n">
        <v>0</v>
      </c>
      <c r="Y25" s="11" t="n">
        <v>0</v>
      </c>
      <c r="Z25" s="11" t="n">
        <v>0</v>
      </c>
      <c r="AA25" s="11" t="n">
        <f aca="false">SUM(U25:Z25)</f>
        <v>35.42</v>
      </c>
      <c r="AB25" s="11" t="n">
        <v>0</v>
      </c>
      <c r="AC25" s="11" t="n">
        <v>0</v>
      </c>
      <c r="AD25" s="11" t="n">
        <v>11.388</v>
      </c>
      <c r="AE25" s="11" t="n">
        <v>0</v>
      </c>
      <c r="AF25" s="11" t="n">
        <v>0</v>
      </c>
      <c r="AG25" s="11" t="n">
        <v>0</v>
      </c>
      <c r="AH25" s="11" t="n">
        <f aca="false">SUM(AB25:AG25)</f>
        <v>11.388</v>
      </c>
    </row>
    <row r="26" customFormat="false" ht="15" hidden="false" customHeight="false" outlineLevel="2" collapsed="false">
      <c r="A26" s="8" t="s">
        <v>757</v>
      </c>
      <c r="B26" s="12" t="s">
        <v>758</v>
      </c>
      <c r="C26" s="8" t="s">
        <v>708</v>
      </c>
      <c r="D26" s="12" t="s">
        <v>709</v>
      </c>
      <c r="E26" s="16"/>
      <c r="F26" s="9" t="str">
        <f aca="false">IF($E26="","",IFERROR(INDEX(担当者マスタ!$B$2:$B$101,MATCH($E26,担当者マスタ!$A$2:$A$101,0)),"※マスタ未登録"))</f>
        <v/>
      </c>
      <c r="G26" s="11" t="n">
        <v>0</v>
      </c>
      <c r="H26" s="11" t="n">
        <v>23.868</v>
      </c>
      <c r="I26" s="11" t="n">
        <v>0</v>
      </c>
      <c r="J26" s="11" t="n">
        <v>0</v>
      </c>
      <c r="K26" s="11" t="n">
        <v>0</v>
      </c>
      <c r="L26" s="11" t="n">
        <v>93.804</v>
      </c>
      <c r="M26" s="11" t="n">
        <f aca="false">SUM(G26:L26)</f>
        <v>117.672</v>
      </c>
      <c r="N26" s="11" t="n">
        <v>0</v>
      </c>
      <c r="O26" s="11" t="n">
        <v>7.284</v>
      </c>
      <c r="P26" s="11" t="n">
        <v>0</v>
      </c>
      <c r="Q26" s="11" t="n">
        <v>0</v>
      </c>
      <c r="R26" s="11" t="n">
        <v>0</v>
      </c>
      <c r="S26" s="11" t="n">
        <v>15.522</v>
      </c>
      <c r="T26" s="11" t="n">
        <f aca="false">SUM(N26:S26)</f>
        <v>22.806</v>
      </c>
      <c r="U26" s="11" t="n">
        <v>96.668</v>
      </c>
      <c r="V26" s="11" t="n">
        <v>20</v>
      </c>
      <c r="W26" s="11" t="n">
        <v>147.56</v>
      </c>
      <c r="X26" s="11" t="n">
        <v>49.76</v>
      </c>
      <c r="Y26" s="11" t="n">
        <v>97.18</v>
      </c>
      <c r="Z26" s="11" t="n">
        <v>224.392</v>
      </c>
      <c r="AA26" s="11" t="n">
        <f aca="false">SUM(U26:Z26)</f>
        <v>635.56</v>
      </c>
      <c r="AB26" s="11" t="n">
        <v>21.484</v>
      </c>
      <c r="AC26" s="11" t="n">
        <v>4.5</v>
      </c>
      <c r="AD26" s="11" t="n">
        <v>28.85</v>
      </c>
      <c r="AE26" s="11" t="n">
        <v>10.26</v>
      </c>
      <c r="AF26" s="11" t="n">
        <v>19.65</v>
      </c>
      <c r="AG26" s="11" t="n">
        <v>43.73</v>
      </c>
      <c r="AH26" s="11" t="n">
        <f aca="false">SUM(AB26:AG26)</f>
        <v>128.474</v>
      </c>
    </row>
    <row r="27" customFormat="false" ht="15" hidden="false" customHeight="false" outlineLevel="2" collapsed="false">
      <c r="A27" s="8" t="s">
        <v>759</v>
      </c>
      <c r="B27" s="12" t="s">
        <v>760</v>
      </c>
      <c r="C27" s="8" t="s">
        <v>708</v>
      </c>
      <c r="D27" s="12" t="s">
        <v>709</v>
      </c>
      <c r="E27" s="16"/>
      <c r="F27" s="9" t="str">
        <f aca="false">IF($E27="","",IFERROR(INDEX(担当者マスタ!$B$2:$B$101,MATCH($E27,担当者マスタ!$A$2:$A$101,0)),"※マスタ未登録"))</f>
        <v/>
      </c>
      <c r="G27" s="11" t="n">
        <v>0</v>
      </c>
      <c r="H27" s="11" t="n">
        <v>0</v>
      </c>
      <c r="I27" s="11" t="n">
        <v>0</v>
      </c>
      <c r="J27" s="11" t="n">
        <v>53.68</v>
      </c>
      <c r="K27" s="11" t="n">
        <v>15.9</v>
      </c>
      <c r="L27" s="11" t="n">
        <v>4.8</v>
      </c>
      <c r="M27" s="11" t="n">
        <f aca="false">SUM(G27:L27)</f>
        <v>74.38</v>
      </c>
      <c r="N27" s="11" t="n">
        <v>0</v>
      </c>
      <c r="O27" s="11" t="n">
        <v>0</v>
      </c>
      <c r="P27" s="11" t="n">
        <v>0</v>
      </c>
      <c r="Q27" s="11" t="n">
        <v>14.28</v>
      </c>
      <c r="R27" s="11" t="n">
        <v>5.128</v>
      </c>
      <c r="S27" s="11" t="n">
        <v>1.424</v>
      </c>
      <c r="T27" s="11" t="n">
        <f aca="false">SUM(N27:S27)</f>
        <v>20.832</v>
      </c>
      <c r="U27" s="11" t="n">
        <v>0</v>
      </c>
      <c r="V27" s="11" t="n">
        <v>0</v>
      </c>
      <c r="W27" s="11" t="n">
        <v>0</v>
      </c>
      <c r="X27" s="11" t="n">
        <v>78.88</v>
      </c>
      <c r="Y27" s="11" t="n">
        <v>9.6</v>
      </c>
      <c r="Z27" s="11" t="n">
        <v>9.6</v>
      </c>
      <c r="AA27" s="11" t="n">
        <f aca="false">SUM(U27:Z27)</f>
        <v>98.08</v>
      </c>
      <c r="AB27" s="11" t="n">
        <v>0</v>
      </c>
      <c r="AC27" s="11" t="n">
        <v>0</v>
      </c>
      <c r="AD27" s="11" t="n">
        <v>0</v>
      </c>
      <c r="AE27" s="11" t="n">
        <v>20.4</v>
      </c>
      <c r="AF27" s="11" t="n">
        <v>2.848</v>
      </c>
      <c r="AG27" s="11" t="n">
        <v>2.848</v>
      </c>
      <c r="AH27" s="11" t="n">
        <f aca="false">SUM(AB27:AG27)</f>
        <v>26.096</v>
      </c>
    </row>
    <row r="28" customFormat="false" ht="15" hidden="false" customHeight="false" outlineLevel="2" collapsed="false">
      <c r="A28" s="8" t="s">
        <v>761</v>
      </c>
      <c r="B28" s="12" t="s">
        <v>762</v>
      </c>
      <c r="C28" s="8" t="s">
        <v>708</v>
      </c>
      <c r="D28" s="12" t="s">
        <v>709</v>
      </c>
      <c r="E28" s="16"/>
      <c r="F28" s="9" t="str">
        <f aca="false">IF($E28="","",IFERROR(INDEX(担当者マスタ!$B$2:$B$101,MATCH($E28,担当者マスタ!$A$2:$A$101,0)),"※マスタ未登録"))</f>
        <v/>
      </c>
      <c r="G28" s="11" t="n">
        <v>0</v>
      </c>
      <c r="H28" s="11" t="n">
        <v>3.038</v>
      </c>
      <c r="I28" s="11" t="n">
        <v>0</v>
      </c>
      <c r="J28" s="11" t="n">
        <v>3.038</v>
      </c>
      <c r="K28" s="11" t="n">
        <v>3.038</v>
      </c>
      <c r="L28" s="11" t="n">
        <v>0</v>
      </c>
      <c r="M28" s="11" t="n">
        <f aca="false">SUM(G28:L28)</f>
        <v>9.114</v>
      </c>
      <c r="N28" s="11" t="n">
        <v>0</v>
      </c>
      <c r="O28" s="11" t="n">
        <v>0.8</v>
      </c>
      <c r="P28" s="11" t="n">
        <v>0</v>
      </c>
      <c r="Q28" s="11" t="n">
        <v>0.8</v>
      </c>
      <c r="R28" s="11" t="n">
        <v>0.8</v>
      </c>
      <c r="S28" s="11" t="n">
        <v>0</v>
      </c>
      <c r="T28" s="11" t="n">
        <f aca="false">SUM(N28:S28)</f>
        <v>2.4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3.038</v>
      </c>
      <c r="AA28" s="11" t="n">
        <f aca="false">SUM(U28:Z28)</f>
        <v>3.038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0.8</v>
      </c>
      <c r="AH28" s="11" t="n">
        <f aca="false">SUM(AB28:AG28)</f>
        <v>0.8</v>
      </c>
    </row>
    <row r="29" customFormat="false" ht="15" hidden="false" customHeight="false" outlineLevel="2" collapsed="false">
      <c r="A29" s="8" t="s">
        <v>763</v>
      </c>
      <c r="B29" s="12" t="s">
        <v>764</v>
      </c>
      <c r="C29" s="8" t="s">
        <v>708</v>
      </c>
      <c r="D29" s="12" t="s">
        <v>709</v>
      </c>
      <c r="E29" s="16"/>
      <c r="F29" s="9" t="str">
        <f aca="false">IF($E29="","",IFERROR(INDEX(担当者マスタ!$B$2:$B$101,MATCH($E29,担当者マスタ!$A$2:$A$101,0)),"※マスタ未登録"))</f>
        <v/>
      </c>
      <c r="G29" s="11" t="n">
        <v>139.78</v>
      </c>
      <c r="H29" s="11" t="n">
        <v>139.78</v>
      </c>
      <c r="I29" s="11" t="n">
        <v>0</v>
      </c>
      <c r="J29" s="11" t="n">
        <v>0</v>
      </c>
      <c r="K29" s="11" t="n">
        <v>100</v>
      </c>
      <c r="L29" s="11" t="n">
        <v>0</v>
      </c>
      <c r="M29" s="11" t="n">
        <f aca="false">SUM(G29:L29)</f>
        <v>379.56</v>
      </c>
      <c r="N29" s="11" t="n">
        <v>50.79</v>
      </c>
      <c r="O29" s="11" t="n">
        <v>50.79</v>
      </c>
      <c r="P29" s="11" t="n">
        <v>0</v>
      </c>
      <c r="Q29" s="11" t="n">
        <v>0</v>
      </c>
      <c r="R29" s="11" t="n">
        <v>36</v>
      </c>
      <c r="S29" s="11" t="n">
        <v>0</v>
      </c>
      <c r="T29" s="11" t="n">
        <f aca="false">SUM(N29:S29)</f>
        <v>137.58</v>
      </c>
      <c r="U29" s="11" t="n">
        <v>139.78</v>
      </c>
      <c r="V29" s="11" t="n">
        <v>139.78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f aca="false">SUM(U29:Z29)</f>
        <v>279.56</v>
      </c>
      <c r="AB29" s="11" t="n">
        <v>50.79</v>
      </c>
      <c r="AC29" s="11" t="n">
        <v>50.79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f aca="false">SUM(AB29:AG29)</f>
        <v>101.58</v>
      </c>
    </row>
    <row r="30" customFormat="false" ht="15" hidden="false" customHeight="false" outlineLevel="2" collapsed="false">
      <c r="A30" s="8" t="s">
        <v>765</v>
      </c>
      <c r="B30" s="12" t="s">
        <v>766</v>
      </c>
      <c r="C30" s="8" t="s">
        <v>708</v>
      </c>
      <c r="D30" s="12" t="s">
        <v>709</v>
      </c>
      <c r="E30" s="16"/>
      <c r="F30" s="9" t="str">
        <f aca="false">IF($E30="","",IFERROR(INDEX(担当者マスタ!$B$2:$B$101,MATCH($E30,担当者マスタ!$A$2:$A$101,0)),"※マスタ未登録"))</f>
        <v/>
      </c>
      <c r="G30" s="11" t="n">
        <v>48.866</v>
      </c>
      <c r="H30" s="11" t="n">
        <v>114.069</v>
      </c>
      <c r="I30" s="11" t="n">
        <v>292.909</v>
      </c>
      <c r="J30" s="11" t="n">
        <v>197.243</v>
      </c>
      <c r="K30" s="11" t="n">
        <v>130.32</v>
      </c>
      <c r="L30" s="11" t="n">
        <v>142.761</v>
      </c>
      <c r="M30" s="11" t="n">
        <f aca="false">SUM(G30:L30)</f>
        <v>926.168</v>
      </c>
      <c r="N30" s="11" t="n">
        <v>10.5</v>
      </c>
      <c r="O30" s="11" t="n">
        <v>24.536</v>
      </c>
      <c r="P30" s="11" t="n">
        <v>71.746</v>
      </c>
      <c r="Q30" s="11" t="n">
        <v>42.576</v>
      </c>
      <c r="R30" s="11" t="n">
        <v>28.587</v>
      </c>
      <c r="S30" s="11" t="n">
        <v>29.913</v>
      </c>
      <c r="T30" s="11" t="n">
        <f aca="false">SUM(N30:S30)</f>
        <v>207.858</v>
      </c>
      <c r="U30" s="11" t="n">
        <v>125.999</v>
      </c>
      <c r="V30" s="11" t="n">
        <v>89.765</v>
      </c>
      <c r="W30" s="11" t="n">
        <v>228.251</v>
      </c>
      <c r="X30" s="11" t="n">
        <v>54.91</v>
      </c>
      <c r="Y30" s="11" t="n">
        <v>18.81</v>
      </c>
      <c r="Z30" s="11" t="n">
        <v>163.318</v>
      </c>
      <c r="AA30" s="11" t="n">
        <f aca="false">SUM(U30:Z30)</f>
        <v>681.053</v>
      </c>
      <c r="AB30" s="11" t="n">
        <v>30.701</v>
      </c>
      <c r="AC30" s="11" t="n">
        <v>27.258</v>
      </c>
      <c r="AD30" s="11" t="n">
        <v>59.48</v>
      </c>
      <c r="AE30" s="11" t="n">
        <v>12.629</v>
      </c>
      <c r="AF30" s="11" t="n">
        <v>4.702</v>
      </c>
      <c r="AG30" s="11" t="n">
        <v>36.17</v>
      </c>
      <c r="AH30" s="11" t="n">
        <f aca="false">SUM(AB30:AG30)</f>
        <v>170.94</v>
      </c>
    </row>
    <row r="31" customFormat="false" ht="15" hidden="false" customHeight="false" outlineLevel="2" collapsed="false">
      <c r="A31" s="8" t="s">
        <v>767</v>
      </c>
      <c r="B31" s="9" t="s">
        <v>768</v>
      </c>
      <c r="C31" s="8" t="s">
        <v>708</v>
      </c>
      <c r="D31" s="12" t="s">
        <v>709</v>
      </c>
      <c r="E31" s="16"/>
      <c r="F31" s="9" t="str">
        <f aca="false">IF($E31="","",IFERROR(INDEX(担当者マスタ!$B$2:$B$101,MATCH($E31,担当者マスタ!$A$2:$A$101,0)),"※マスタ未登録"))</f>
        <v/>
      </c>
      <c r="G31" s="11" t="n">
        <v>28.8</v>
      </c>
      <c r="H31" s="11" t="n">
        <v>57.6</v>
      </c>
      <c r="I31" s="11" t="n">
        <v>75.6</v>
      </c>
      <c r="J31" s="11" t="n">
        <v>0</v>
      </c>
      <c r="K31" s="11" t="n">
        <v>28.8</v>
      </c>
      <c r="L31" s="11" t="n">
        <v>28.8</v>
      </c>
      <c r="M31" s="11" t="n">
        <f aca="false">SUM(G31:L31)</f>
        <v>219.6</v>
      </c>
      <c r="N31" s="11" t="n">
        <v>5.1</v>
      </c>
      <c r="O31" s="11" t="n">
        <v>10.2</v>
      </c>
      <c r="P31" s="11" t="n">
        <v>23.2</v>
      </c>
      <c r="Q31" s="11" t="n">
        <v>0</v>
      </c>
      <c r="R31" s="11" t="n">
        <v>5.1</v>
      </c>
      <c r="S31" s="11" t="n">
        <v>5.1</v>
      </c>
      <c r="T31" s="11" t="n">
        <f aca="false">SUM(N31:S31)</f>
        <v>48.7</v>
      </c>
      <c r="U31" s="11" t="n">
        <v>18</v>
      </c>
      <c r="V31" s="11" t="n">
        <v>0</v>
      </c>
      <c r="W31" s="11" t="n">
        <v>0</v>
      </c>
      <c r="X31" s="11" t="n">
        <v>0</v>
      </c>
      <c r="Y31" s="11" t="n">
        <v>18</v>
      </c>
      <c r="Z31" s="11" t="n">
        <v>27.2</v>
      </c>
      <c r="AA31" s="11" t="n">
        <f aca="false">SUM(U31:Z31)</f>
        <v>63.2</v>
      </c>
      <c r="AB31" s="11" t="n">
        <v>13</v>
      </c>
      <c r="AC31" s="11" t="n">
        <v>0</v>
      </c>
      <c r="AD31" s="11" t="n">
        <v>0</v>
      </c>
      <c r="AE31" s="11" t="n">
        <v>0</v>
      </c>
      <c r="AF31" s="11" t="n">
        <v>13</v>
      </c>
      <c r="AG31" s="11" t="n">
        <v>4</v>
      </c>
      <c r="AH31" s="11" t="n">
        <f aca="false">SUM(AB31:AG31)</f>
        <v>30</v>
      </c>
    </row>
    <row r="32" customFormat="false" ht="15" hidden="false" customHeight="false" outlineLevel="2" collapsed="false">
      <c r="A32" s="8" t="s">
        <v>769</v>
      </c>
      <c r="B32" s="12" t="s">
        <v>770</v>
      </c>
      <c r="C32" s="8" t="s">
        <v>708</v>
      </c>
      <c r="D32" s="12" t="s">
        <v>709</v>
      </c>
      <c r="E32" s="16"/>
      <c r="F32" s="9" t="str">
        <f aca="false">IF($E32="","",IFERROR(INDEX(担当者マスタ!$B$2:$B$101,MATCH($E32,担当者マスタ!$A$2:$A$101,0)),"※マスタ未登録"))</f>
        <v/>
      </c>
      <c r="G32" s="11" t="n">
        <v>150.415</v>
      </c>
      <c r="H32" s="11" t="n">
        <v>148.53</v>
      </c>
      <c r="I32" s="11" t="n">
        <v>167.6</v>
      </c>
      <c r="J32" s="11" t="n">
        <v>86.76</v>
      </c>
      <c r="K32" s="11" t="n">
        <v>125.85</v>
      </c>
      <c r="L32" s="11" t="n">
        <v>128.52</v>
      </c>
      <c r="M32" s="11" t="n">
        <f aca="false">SUM(G32:L32)</f>
        <v>807.675</v>
      </c>
      <c r="N32" s="11" t="n">
        <v>41.055</v>
      </c>
      <c r="O32" s="11" t="n">
        <v>40.35</v>
      </c>
      <c r="P32" s="11" t="n">
        <v>45.76</v>
      </c>
      <c r="Q32" s="11" t="n">
        <v>22.66</v>
      </c>
      <c r="R32" s="11" t="n">
        <v>34.17</v>
      </c>
      <c r="S32" s="11" t="n">
        <v>35.02</v>
      </c>
      <c r="T32" s="11" t="n">
        <f aca="false">SUM(N32:S32)</f>
        <v>219.015</v>
      </c>
      <c r="U32" s="11" t="n">
        <v>114.68</v>
      </c>
      <c r="V32" s="11" t="n">
        <v>100.2</v>
      </c>
      <c r="W32" s="11" t="n">
        <v>190.28</v>
      </c>
      <c r="X32" s="11" t="n">
        <v>129.8</v>
      </c>
      <c r="Y32" s="11" t="n">
        <v>110.73</v>
      </c>
      <c r="Z32" s="11" t="n">
        <v>220.25</v>
      </c>
      <c r="AA32" s="11" t="n">
        <f aca="false">SUM(U32:Z32)</f>
        <v>865.94</v>
      </c>
      <c r="AB32" s="11" t="n">
        <v>31.34</v>
      </c>
      <c r="AC32" s="11" t="n">
        <v>27.44</v>
      </c>
      <c r="AD32" s="11" t="n">
        <v>51.94</v>
      </c>
      <c r="AE32" s="11" t="n">
        <v>35.46</v>
      </c>
      <c r="AF32" s="11" t="n">
        <v>30.05</v>
      </c>
      <c r="AG32" s="11" t="n">
        <v>59.33</v>
      </c>
      <c r="AH32" s="11" t="n">
        <f aca="false">SUM(AB32:AG32)</f>
        <v>235.56</v>
      </c>
    </row>
    <row r="33" customFormat="false" ht="15" hidden="false" customHeight="false" outlineLevel="2" collapsed="false">
      <c r="A33" s="8" t="s">
        <v>771</v>
      </c>
      <c r="B33" s="9" t="s">
        <v>772</v>
      </c>
      <c r="C33" s="8" t="s">
        <v>708</v>
      </c>
      <c r="D33" s="12" t="s">
        <v>709</v>
      </c>
      <c r="E33" s="16"/>
      <c r="F33" s="9" t="str">
        <f aca="false">IF($E33="","",IFERROR(INDEX(担当者マスタ!$B$2:$B$101,MATCH($E33,担当者マスタ!$A$2:$A$101,0)),"※マスタ未登録"))</f>
        <v/>
      </c>
      <c r="G33" s="11" t="n">
        <v>12</v>
      </c>
      <c r="H33" s="11" t="n">
        <v>0</v>
      </c>
      <c r="I33" s="11" t="n">
        <v>36</v>
      </c>
      <c r="J33" s="11" t="n">
        <v>0</v>
      </c>
      <c r="K33" s="11" t="n">
        <v>12</v>
      </c>
      <c r="L33" s="11" t="n">
        <v>36</v>
      </c>
      <c r="M33" s="11" t="n">
        <f aca="false">SUM(G33:L33)</f>
        <v>96</v>
      </c>
      <c r="N33" s="11" t="n">
        <v>3</v>
      </c>
      <c r="O33" s="11" t="n">
        <v>0</v>
      </c>
      <c r="P33" s="11" t="n">
        <v>9</v>
      </c>
      <c r="Q33" s="11" t="n">
        <v>0</v>
      </c>
      <c r="R33" s="11" t="n">
        <v>3</v>
      </c>
      <c r="S33" s="11" t="n">
        <v>9</v>
      </c>
      <c r="T33" s="11" t="n">
        <f aca="false">SUM(N33:S33)</f>
        <v>24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f aca="false">SUM(U33:Z33)</f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f aca="false">SUM(AB33:AG33)</f>
        <v>0</v>
      </c>
    </row>
    <row r="34" customFormat="false" ht="15" hidden="false" customHeight="false" outlineLevel="2" collapsed="false">
      <c r="A34" s="8" t="s">
        <v>773</v>
      </c>
      <c r="B34" s="12" t="s">
        <v>774</v>
      </c>
      <c r="C34" s="8" t="s">
        <v>708</v>
      </c>
      <c r="D34" s="12" t="s">
        <v>709</v>
      </c>
      <c r="E34" s="16"/>
      <c r="F34" s="9" t="str">
        <f aca="false">IF($E34="","",IFERROR(INDEX(担当者マスタ!$B$2:$B$101,MATCH($E34,担当者マスタ!$A$2:$A$101,0)),"※マスタ未登録"))</f>
        <v/>
      </c>
      <c r="G34" s="11" t="n">
        <v>0</v>
      </c>
      <c r="H34" s="11" t="n">
        <v>0</v>
      </c>
      <c r="I34" s="11" t="n">
        <v>0</v>
      </c>
      <c r="J34" s="11" t="n">
        <v>354.293</v>
      </c>
      <c r="K34" s="11" t="n">
        <v>160.923</v>
      </c>
      <c r="L34" s="11" t="n">
        <v>0</v>
      </c>
      <c r="M34" s="11" t="n">
        <f aca="false">SUM(G34:L34)</f>
        <v>515.216</v>
      </c>
      <c r="N34" s="11" t="n">
        <v>0</v>
      </c>
      <c r="O34" s="11" t="n">
        <v>0</v>
      </c>
      <c r="P34" s="11" t="n">
        <v>0</v>
      </c>
      <c r="Q34" s="11" t="n">
        <v>71.833</v>
      </c>
      <c r="R34" s="11" t="n">
        <v>32.627</v>
      </c>
      <c r="S34" s="11" t="n">
        <v>0</v>
      </c>
      <c r="T34" s="11" t="n">
        <f aca="false">SUM(N34:S34)</f>
        <v>104.46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584.037</v>
      </c>
      <c r="Z34" s="11" t="n">
        <v>0</v>
      </c>
      <c r="AA34" s="11" t="n">
        <f aca="false">SUM(U34:Z34)</f>
        <v>584.037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118.413</v>
      </c>
      <c r="AG34" s="11" t="n">
        <v>0</v>
      </c>
      <c r="AH34" s="11" t="n">
        <f aca="false">SUM(AB34:AG34)</f>
        <v>118.413</v>
      </c>
    </row>
    <row r="35" customFormat="false" ht="15" hidden="false" customHeight="false" outlineLevel="2" collapsed="false">
      <c r="A35" s="8" t="s">
        <v>775</v>
      </c>
      <c r="B35" s="12" t="s">
        <v>776</v>
      </c>
      <c r="C35" s="8" t="s">
        <v>708</v>
      </c>
      <c r="D35" s="12" t="s">
        <v>709</v>
      </c>
      <c r="E35" s="16"/>
      <c r="F35" s="9" t="str">
        <f aca="false">IF($E35="","",IFERROR(INDEX(担当者マスタ!$B$2:$B$101,MATCH($E35,担当者マスタ!$A$2:$A$101,0)),"※マスタ未登録"))</f>
        <v/>
      </c>
      <c r="G35" s="11" t="n">
        <v>107.968</v>
      </c>
      <c r="H35" s="11" t="n">
        <v>20.22</v>
      </c>
      <c r="I35" s="11" t="n">
        <v>172.767</v>
      </c>
      <c r="J35" s="11" t="n">
        <v>64.786</v>
      </c>
      <c r="K35" s="11" t="n">
        <v>77.571</v>
      </c>
      <c r="L35" s="11" t="n">
        <v>179.377</v>
      </c>
      <c r="M35" s="11" t="n">
        <f aca="false">SUM(G35:L35)</f>
        <v>622.689</v>
      </c>
      <c r="N35" s="11" t="n">
        <v>24.048</v>
      </c>
      <c r="O35" s="11" t="n">
        <v>5.83</v>
      </c>
      <c r="P35" s="11" t="n">
        <v>36.928</v>
      </c>
      <c r="Q35" s="11" t="n">
        <v>15.294</v>
      </c>
      <c r="R35" s="11" t="n">
        <v>19.124</v>
      </c>
      <c r="S35" s="11" t="n">
        <v>39.166</v>
      </c>
      <c r="T35" s="11" t="n">
        <f aca="false">SUM(N35:S35)</f>
        <v>140.39</v>
      </c>
      <c r="U35" s="11" t="n">
        <v>105.996</v>
      </c>
      <c r="V35" s="11" t="n">
        <v>100.744</v>
      </c>
      <c r="W35" s="11" t="n">
        <v>113.918</v>
      </c>
      <c r="X35" s="11" t="n">
        <v>114.306</v>
      </c>
      <c r="Y35" s="11" t="n">
        <v>80.166</v>
      </c>
      <c r="Z35" s="11" t="n">
        <v>95.098</v>
      </c>
      <c r="AA35" s="11" t="n">
        <f aca="false">SUM(U35:Z35)</f>
        <v>610.228</v>
      </c>
      <c r="AB35" s="11" t="n">
        <v>24.698</v>
      </c>
      <c r="AC35" s="11" t="n">
        <v>24.657</v>
      </c>
      <c r="AD35" s="11" t="n">
        <v>28.613</v>
      </c>
      <c r="AE35" s="11" t="n">
        <v>26.846</v>
      </c>
      <c r="AF35" s="11" t="n">
        <v>20.034</v>
      </c>
      <c r="AG35" s="11" t="n">
        <v>23.198</v>
      </c>
      <c r="AH35" s="11" t="n">
        <f aca="false">SUM(AB35:AG35)</f>
        <v>148.046</v>
      </c>
    </row>
    <row r="36" customFormat="false" ht="15" hidden="false" customHeight="false" outlineLevel="2" collapsed="false">
      <c r="A36" s="8" t="s">
        <v>777</v>
      </c>
      <c r="B36" s="12" t="s">
        <v>778</v>
      </c>
      <c r="C36" s="8" t="s">
        <v>708</v>
      </c>
      <c r="D36" s="12" t="s">
        <v>709</v>
      </c>
      <c r="E36" s="16"/>
      <c r="F36" s="9" t="str">
        <f aca="false">IF($E36="","",IFERROR(INDEX(担当者マスタ!$B$2:$B$101,MATCH($E36,担当者マスタ!$A$2:$A$101,0)),"※マスタ未登録"))</f>
        <v/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f aca="false">SUM(G36:L36)</f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f aca="false">SUM(N36:S36)</f>
        <v>0</v>
      </c>
      <c r="U36" s="11" t="n">
        <v>7.6</v>
      </c>
      <c r="V36" s="11" t="n">
        <v>26.25</v>
      </c>
      <c r="W36" s="11" t="n">
        <v>15.2</v>
      </c>
      <c r="X36" s="11" t="n">
        <v>0</v>
      </c>
      <c r="Y36" s="11" t="n">
        <v>15.2</v>
      </c>
      <c r="Z36" s="11" t="n">
        <v>15.2</v>
      </c>
      <c r="AA36" s="11" t="n">
        <f aca="false">SUM(U36:Z36)</f>
        <v>79.45</v>
      </c>
      <c r="AB36" s="11" t="n">
        <v>1.4</v>
      </c>
      <c r="AC36" s="11" t="n">
        <v>4.9</v>
      </c>
      <c r="AD36" s="11" t="n">
        <v>2.8</v>
      </c>
      <c r="AE36" s="11" t="n">
        <v>0</v>
      </c>
      <c r="AF36" s="11" t="n">
        <v>2.8</v>
      </c>
      <c r="AG36" s="11" t="n">
        <v>2.8</v>
      </c>
      <c r="AH36" s="11" t="n">
        <f aca="false">SUM(AB36:AG36)</f>
        <v>14.7</v>
      </c>
    </row>
    <row r="37" customFormat="false" ht="15" hidden="false" customHeight="false" outlineLevel="1" collapsed="false">
      <c r="A37" s="19"/>
      <c r="B37" s="19"/>
      <c r="C37" s="17" t="s">
        <v>1959</v>
      </c>
      <c r="D37" s="19" t="s">
        <v>709</v>
      </c>
      <c r="E37" s="19"/>
      <c r="F37" s="19"/>
      <c r="G37" s="18" t="n">
        <f aca="false">SUBTOTAL(9,G2:G36)</f>
        <v>11469.691</v>
      </c>
      <c r="H37" s="18" t="n">
        <f aca="false">SUBTOTAL(9,H2:H36)</f>
        <v>13802.627</v>
      </c>
      <c r="I37" s="18" t="n">
        <f aca="false">SUBTOTAL(9,I2:I36)</f>
        <v>15126.027</v>
      </c>
      <c r="J37" s="18" t="n">
        <f aca="false">SUBTOTAL(9,J2:J36)</f>
        <v>8579.558</v>
      </c>
      <c r="K37" s="18" t="n">
        <f aca="false">SUBTOTAL(9,K2:K36)</f>
        <v>8277.33</v>
      </c>
      <c r="L37" s="18" t="n">
        <f aca="false">SUBTOTAL(9,L2:L36)</f>
        <v>9824.641</v>
      </c>
      <c r="M37" s="18" t="n">
        <f aca="false">SUBTOTAL(9,M2:M36)</f>
        <v>67079.874</v>
      </c>
      <c r="N37" s="18" t="n">
        <f aca="false">SUBTOTAL(9,N2:N36)</f>
        <v>2700.195</v>
      </c>
      <c r="O37" s="18" t="n">
        <f aca="false">SUBTOTAL(9,O2:O36)</f>
        <v>3197.6</v>
      </c>
      <c r="P37" s="18" t="n">
        <f aca="false">SUBTOTAL(9,P2:P36)</f>
        <v>3574.675</v>
      </c>
      <c r="Q37" s="18" t="n">
        <f aca="false">SUBTOTAL(9,Q2:Q36)</f>
        <v>1987.831</v>
      </c>
      <c r="R37" s="18" t="n">
        <f aca="false">SUBTOTAL(9,R2:R36)</f>
        <v>1907.192</v>
      </c>
      <c r="S37" s="18" t="n">
        <f aca="false">SUBTOTAL(9,S2:S36)</f>
        <v>2291.022</v>
      </c>
      <c r="T37" s="18" t="n">
        <f aca="false">SUBTOTAL(9,T2:T36)</f>
        <v>15658.515</v>
      </c>
      <c r="U37" s="18" t="n">
        <f aca="false">SUBTOTAL(9,U2:U36)</f>
        <v>11357.517</v>
      </c>
      <c r="V37" s="18" t="n">
        <f aca="false">SUBTOTAL(9,V2:V36)</f>
        <v>13607.591</v>
      </c>
      <c r="W37" s="18" t="n">
        <f aca="false">SUBTOTAL(9,W2:W36)</f>
        <v>16217.001</v>
      </c>
      <c r="X37" s="18" t="n">
        <f aca="false">SUBTOTAL(9,X2:X36)</f>
        <v>8597.722</v>
      </c>
      <c r="Y37" s="18" t="n">
        <f aca="false">SUBTOTAL(9,Y2:Y36)</f>
        <v>7764.447</v>
      </c>
      <c r="Z37" s="18" t="n">
        <f aca="false">SUBTOTAL(9,Z2:Z36)</f>
        <v>7899.301</v>
      </c>
      <c r="AA37" s="18" t="n">
        <f aca="false">SUBTOTAL(9,AA2:AA36)</f>
        <v>65443.579</v>
      </c>
      <c r="AB37" s="18" t="n">
        <f aca="false">SUBTOTAL(9,AB2:AB36)</f>
        <v>2722.336</v>
      </c>
      <c r="AC37" s="18" t="n">
        <f aca="false">SUBTOTAL(9,AC2:AC36)</f>
        <v>3151.584</v>
      </c>
      <c r="AD37" s="18" t="n">
        <f aca="false">SUBTOTAL(9,AD2:AD36)</f>
        <v>3801.713</v>
      </c>
      <c r="AE37" s="18" t="n">
        <f aca="false">SUBTOTAL(9,AE2:AE36)</f>
        <v>1985.489</v>
      </c>
      <c r="AF37" s="18" t="n">
        <f aca="false">SUBTOTAL(9,AF2:AF36)</f>
        <v>1751.469</v>
      </c>
      <c r="AG37" s="18" t="n">
        <f aca="false">SUBTOTAL(9,AG2:AG36)</f>
        <v>1782.291</v>
      </c>
      <c r="AH37" s="18" t="n">
        <f aca="false">SUBTOTAL(9,AH2:AH36)</f>
        <v>15194.882</v>
      </c>
    </row>
    <row r="38" customFormat="false" ht="15" hidden="false" customHeight="false" outlineLevel="2" collapsed="false">
      <c r="A38" s="8" t="s">
        <v>779</v>
      </c>
      <c r="B38" s="12" t="s">
        <v>780</v>
      </c>
      <c r="C38" s="8" t="s">
        <v>781</v>
      </c>
      <c r="D38" s="12" t="s">
        <v>782</v>
      </c>
      <c r="E38" s="16"/>
      <c r="F38" s="9" t="str">
        <f aca="false">IF($E38="","",IFERROR(INDEX(担当者マスタ!$B$2:$B$101,MATCH($E38,担当者マスタ!$A$2:$A$101,0)),"※マスタ未登録"))</f>
        <v/>
      </c>
      <c r="G38" s="11" t="n">
        <v>1762.784</v>
      </c>
      <c r="H38" s="11" t="n">
        <v>2011.437</v>
      </c>
      <c r="I38" s="11" t="n">
        <v>2030.469</v>
      </c>
      <c r="J38" s="11" t="n">
        <v>389.063</v>
      </c>
      <c r="K38" s="11" t="n">
        <v>644.198</v>
      </c>
      <c r="L38" s="11" t="n">
        <v>357.816</v>
      </c>
      <c r="M38" s="11" t="n">
        <f aca="false">SUM(G38:L38)</f>
        <v>7195.767</v>
      </c>
      <c r="N38" s="11" t="n">
        <v>380.734</v>
      </c>
      <c r="O38" s="11" t="n">
        <v>416.234</v>
      </c>
      <c r="P38" s="11" t="n">
        <v>449.041</v>
      </c>
      <c r="Q38" s="11" t="n">
        <v>80.852</v>
      </c>
      <c r="R38" s="11" t="n">
        <v>139.69</v>
      </c>
      <c r="S38" s="11" t="n">
        <v>78.898</v>
      </c>
      <c r="T38" s="11" t="n">
        <f aca="false">SUM(N38:S38)</f>
        <v>1545.449</v>
      </c>
      <c r="U38" s="11" t="n">
        <v>2038.455</v>
      </c>
      <c r="V38" s="11" t="n">
        <v>2042.949</v>
      </c>
      <c r="W38" s="11" t="n">
        <v>3446.565</v>
      </c>
      <c r="X38" s="11" t="n">
        <v>498.12</v>
      </c>
      <c r="Y38" s="11" t="n">
        <v>517.755</v>
      </c>
      <c r="Z38" s="11" t="n">
        <v>415.208</v>
      </c>
      <c r="AA38" s="11" t="n">
        <f aca="false">SUM(U38:Z38)</f>
        <v>8959.052</v>
      </c>
      <c r="AB38" s="11" t="n">
        <v>485.763</v>
      </c>
      <c r="AC38" s="11" t="n">
        <v>481.774</v>
      </c>
      <c r="AD38" s="11" t="n">
        <v>756.734</v>
      </c>
      <c r="AE38" s="11" t="n">
        <v>129.237</v>
      </c>
      <c r="AF38" s="11" t="n">
        <v>98.946</v>
      </c>
      <c r="AG38" s="11" t="n">
        <v>108.582</v>
      </c>
      <c r="AH38" s="11" t="n">
        <f aca="false">SUM(AB38:AG38)</f>
        <v>2061.036</v>
      </c>
    </row>
    <row r="39" customFormat="false" ht="15" hidden="false" customHeight="false" outlineLevel="2" collapsed="false">
      <c r="A39" s="8" t="s">
        <v>783</v>
      </c>
      <c r="B39" s="9" t="s">
        <v>784</v>
      </c>
      <c r="C39" s="8" t="s">
        <v>781</v>
      </c>
      <c r="D39" s="12" t="s">
        <v>782</v>
      </c>
      <c r="E39" s="16"/>
      <c r="F39" s="9" t="str">
        <f aca="false">IF($E39="","",IFERROR(INDEX(担当者マスタ!$B$2:$B$101,MATCH($E39,担当者マスタ!$A$2:$A$101,0)),"※マスタ未登録"))</f>
        <v/>
      </c>
      <c r="G39" s="11" t="n">
        <v>0</v>
      </c>
      <c r="H39" s="11" t="n">
        <v>273.724</v>
      </c>
      <c r="I39" s="11" t="n">
        <v>900.84</v>
      </c>
      <c r="J39" s="11" t="n">
        <v>84.6</v>
      </c>
      <c r="K39" s="11" t="n">
        <v>84.6</v>
      </c>
      <c r="L39" s="11" t="n">
        <v>102.54</v>
      </c>
      <c r="M39" s="11" t="n">
        <f aca="false">SUM(G39:L39)</f>
        <v>1446.304</v>
      </c>
      <c r="N39" s="11" t="n">
        <v>0</v>
      </c>
      <c r="O39" s="11" t="n">
        <v>39.686</v>
      </c>
      <c r="P39" s="11" t="n">
        <v>128.655</v>
      </c>
      <c r="Q39" s="11" t="n">
        <v>16.38</v>
      </c>
      <c r="R39" s="11" t="n">
        <v>16.38</v>
      </c>
      <c r="S39" s="11" t="n">
        <v>19.98</v>
      </c>
      <c r="T39" s="11" t="n">
        <f aca="false">SUM(N39:S39)</f>
        <v>221.081</v>
      </c>
      <c r="U39" s="11" t="n">
        <v>155.1</v>
      </c>
      <c r="V39" s="11" t="n">
        <v>328.8</v>
      </c>
      <c r="W39" s="11" t="n">
        <v>436.8</v>
      </c>
      <c r="X39" s="11" t="n">
        <v>238.74</v>
      </c>
      <c r="Y39" s="11" t="n">
        <v>98.7</v>
      </c>
      <c r="Z39" s="11" t="n">
        <v>84.6</v>
      </c>
      <c r="AA39" s="11" t="n">
        <f aca="false">SUM(U39:Z39)</f>
        <v>1342.74</v>
      </c>
      <c r="AB39" s="11" t="n">
        <v>30.03</v>
      </c>
      <c r="AC39" s="11" t="n">
        <v>50.55</v>
      </c>
      <c r="AD39" s="11" t="n">
        <v>64.905</v>
      </c>
      <c r="AE39" s="11" t="n">
        <v>39.795</v>
      </c>
      <c r="AF39" s="11" t="n">
        <v>19.11</v>
      </c>
      <c r="AG39" s="11" t="n">
        <v>16.38</v>
      </c>
      <c r="AH39" s="11" t="n">
        <f aca="false">SUM(AB39:AG39)</f>
        <v>220.77</v>
      </c>
    </row>
    <row r="40" customFormat="false" ht="15" hidden="false" customHeight="false" outlineLevel="2" collapsed="false">
      <c r="A40" s="8" t="s">
        <v>785</v>
      </c>
      <c r="B40" s="12" t="s">
        <v>786</v>
      </c>
      <c r="C40" s="8" t="s">
        <v>781</v>
      </c>
      <c r="D40" s="12" t="s">
        <v>782</v>
      </c>
      <c r="E40" s="16"/>
      <c r="F40" s="9" t="str">
        <f aca="false">IF($E40="","",IFERROR(INDEX(担当者マスタ!$B$2:$B$101,MATCH($E40,担当者マスタ!$A$2:$A$101,0)),"※マスタ未登録"))</f>
        <v/>
      </c>
      <c r="G40" s="11" t="n">
        <v>20.58</v>
      </c>
      <c r="H40" s="11" t="n">
        <v>3.54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f aca="false">SUM(G40:L40)</f>
        <v>24.12</v>
      </c>
      <c r="N40" s="11" t="n">
        <v>1.512</v>
      </c>
      <c r="O40" s="11" t="n">
        <v>0.216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f aca="false">SUM(N40:S40)</f>
        <v>1.728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f aca="false">SUM(U40:Z40)</f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f aca="false">SUM(AB40:AG40)</f>
        <v>0</v>
      </c>
    </row>
    <row r="41" customFormat="false" ht="15" hidden="false" customHeight="false" outlineLevel="2" collapsed="false">
      <c r="A41" s="8" t="s">
        <v>787</v>
      </c>
      <c r="B41" s="9" t="s">
        <v>788</v>
      </c>
      <c r="C41" s="8" t="s">
        <v>781</v>
      </c>
      <c r="D41" s="12" t="s">
        <v>782</v>
      </c>
      <c r="E41" s="16"/>
      <c r="F41" s="9" t="str">
        <f aca="false">IF($E41="","",IFERROR(INDEX(担当者マスタ!$B$2:$B$101,MATCH($E41,担当者マスタ!$A$2:$A$101,0)),"※マスタ未登録"))</f>
        <v/>
      </c>
      <c r="G41" s="11" t="n">
        <v>39.54</v>
      </c>
      <c r="H41" s="11" t="n">
        <v>36.54</v>
      </c>
      <c r="I41" s="11" t="n">
        <v>435.303</v>
      </c>
      <c r="J41" s="11" t="n">
        <v>18</v>
      </c>
      <c r="K41" s="11" t="n">
        <v>28.14</v>
      </c>
      <c r="L41" s="11" t="n">
        <v>27.54</v>
      </c>
      <c r="M41" s="11" t="n">
        <f aca="false">SUM(G41:L41)</f>
        <v>585.063</v>
      </c>
      <c r="N41" s="11" t="n">
        <v>7.299</v>
      </c>
      <c r="O41" s="11" t="n">
        <v>6.699</v>
      </c>
      <c r="P41" s="11" t="n">
        <v>65.645</v>
      </c>
      <c r="Q41" s="11" t="n">
        <v>3.3</v>
      </c>
      <c r="R41" s="11" t="n">
        <v>5.26</v>
      </c>
      <c r="S41" s="11" t="n">
        <v>5.049</v>
      </c>
      <c r="T41" s="11" t="n">
        <f aca="false">SUM(N41:S41)</f>
        <v>93.252</v>
      </c>
      <c r="U41" s="11" t="n">
        <v>57.57</v>
      </c>
      <c r="V41" s="11" t="n">
        <v>37.17</v>
      </c>
      <c r="W41" s="11" t="n">
        <v>421.22</v>
      </c>
      <c r="X41" s="11" t="n">
        <v>18</v>
      </c>
      <c r="Y41" s="11" t="n">
        <v>30.12</v>
      </c>
      <c r="Z41" s="11" t="n">
        <v>27</v>
      </c>
      <c r="AA41" s="11" t="n">
        <f aca="false">SUM(U41:Z41)</f>
        <v>591.08</v>
      </c>
      <c r="AB41" s="11" t="n">
        <v>10.77</v>
      </c>
      <c r="AC41" s="11" t="n">
        <v>6.814</v>
      </c>
      <c r="AD41" s="11" t="n">
        <v>78.339</v>
      </c>
      <c r="AE41" s="11" t="n">
        <v>3.3</v>
      </c>
      <c r="AF41" s="11" t="n">
        <v>5.67</v>
      </c>
      <c r="AG41" s="11" t="n">
        <v>4.95</v>
      </c>
      <c r="AH41" s="11" t="n">
        <f aca="false">SUM(AB41:AG41)</f>
        <v>109.843</v>
      </c>
    </row>
    <row r="42" customFormat="false" ht="15" hidden="false" customHeight="false" outlineLevel="2" collapsed="false">
      <c r="A42" s="8" t="s">
        <v>789</v>
      </c>
      <c r="B42" s="12" t="s">
        <v>790</v>
      </c>
      <c r="C42" s="8" t="s">
        <v>781</v>
      </c>
      <c r="D42" s="12" t="s">
        <v>782</v>
      </c>
      <c r="E42" s="16"/>
      <c r="F42" s="9" t="str">
        <f aca="false">IF($E42="","",IFERROR(INDEX(担当者マスタ!$B$2:$B$101,MATCH($E42,担当者マスタ!$A$2:$A$101,0)),"※マスタ未登録"))</f>
        <v/>
      </c>
      <c r="G42" s="11" t="n">
        <v>217.7</v>
      </c>
      <c r="H42" s="11" t="n">
        <v>84.6</v>
      </c>
      <c r="I42" s="11" t="n">
        <v>58</v>
      </c>
      <c r="J42" s="11" t="n">
        <v>188</v>
      </c>
      <c r="K42" s="11" t="n">
        <v>112.8</v>
      </c>
      <c r="L42" s="11" t="n">
        <v>75.2</v>
      </c>
      <c r="M42" s="11" t="n">
        <f aca="false">SUM(G42:L42)</f>
        <v>736.3</v>
      </c>
      <c r="N42" s="11" t="n">
        <v>54.99</v>
      </c>
      <c r="O42" s="11" t="n">
        <v>18.81</v>
      </c>
      <c r="P42" s="11" t="n">
        <v>17.34</v>
      </c>
      <c r="Q42" s="11" t="n">
        <v>41.8</v>
      </c>
      <c r="R42" s="11" t="n">
        <v>25.08</v>
      </c>
      <c r="S42" s="11" t="n">
        <v>16.72</v>
      </c>
      <c r="T42" s="11" t="n">
        <f aca="false">SUM(N42:S42)</f>
        <v>174.74</v>
      </c>
      <c r="U42" s="11" t="n">
        <v>338.4</v>
      </c>
      <c r="V42" s="11" t="n">
        <v>263.2</v>
      </c>
      <c r="W42" s="11" t="n">
        <v>9.4</v>
      </c>
      <c r="X42" s="11" t="n">
        <v>198.5</v>
      </c>
      <c r="Y42" s="11" t="n">
        <v>176.72</v>
      </c>
      <c r="Z42" s="11" t="n">
        <v>94</v>
      </c>
      <c r="AA42" s="11" t="n">
        <f aca="false">SUM(U42:Z42)</f>
        <v>1080.22</v>
      </c>
      <c r="AB42" s="11" t="n">
        <v>75.24</v>
      </c>
      <c r="AC42" s="11" t="n">
        <v>58.52</v>
      </c>
      <c r="AD42" s="11" t="n">
        <v>2.09</v>
      </c>
      <c r="AE42" s="11" t="n">
        <v>43.36</v>
      </c>
      <c r="AF42" s="11" t="n">
        <v>39.292</v>
      </c>
      <c r="AG42" s="11" t="n">
        <v>20.9</v>
      </c>
      <c r="AH42" s="11" t="n">
        <f aca="false">SUM(AB42:AG42)</f>
        <v>239.402</v>
      </c>
    </row>
    <row r="43" customFormat="false" ht="15" hidden="false" customHeight="false" outlineLevel="2" collapsed="false">
      <c r="A43" s="8" t="s">
        <v>791</v>
      </c>
      <c r="B43" s="12" t="s">
        <v>792</v>
      </c>
      <c r="C43" s="8" t="s">
        <v>781</v>
      </c>
      <c r="D43" s="12" t="s">
        <v>782</v>
      </c>
      <c r="E43" s="16"/>
      <c r="F43" s="9" t="str">
        <f aca="false">IF($E43="","",IFERROR(INDEX(担当者マスタ!$B$2:$B$101,MATCH($E43,担当者マスタ!$A$2:$A$101,0)),"※マスタ未登録"))</f>
        <v/>
      </c>
      <c r="G43" s="11" t="n">
        <v>42.13</v>
      </c>
      <c r="H43" s="11" t="n">
        <v>326.75</v>
      </c>
      <c r="I43" s="11" t="n">
        <v>122.818</v>
      </c>
      <c r="J43" s="11" t="n">
        <v>130.548</v>
      </c>
      <c r="K43" s="11" t="n">
        <v>84.15</v>
      </c>
      <c r="L43" s="11" t="n">
        <v>0</v>
      </c>
      <c r="M43" s="11" t="n">
        <f aca="false">SUM(G43:L43)</f>
        <v>706.396</v>
      </c>
      <c r="N43" s="11" t="n">
        <v>8.36</v>
      </c>
      <c r="O43" s="11" t="n">
        <v>48.32</v>
      </c>
      <c r="P43" s="11" t="n">
        <v>24.242</v>
      </c>
      <c r="Q43" s="11" t="n">
        <v>26.11</v>
      </c>
      <c r="R43" s="11" t="n">
        <v>16.812</v>
      </c>
      <c r="S43" s="11" t="n">
        <v>0</v>
      </c>
      <c r="T43" s="11" t="n">
        <f aca="false">SUM(N43:S43)</f>
        <v>123.844</v>
      </c>
      <c r="U43" s="11" t="n">
        <v>27.152</v>
      </c>
      <c r="V43" s="11" t="n">
        <v>71.446</v>
      </c>
      <c r="W43" s="11" t="n">
        <v>148.11</v>
      </c>
      <c r="X43" s="11" t="n">
        <v>30.012</v>
      </c>
      <c r="Y43" s="11" t="n">
        <v>0</v>
      </c>
      <c r="Z43" s="11" t="n">
        <v>31.442</v>
      </c>
      <c r="AA43" s="11" t="n">
        <f aca="false">SUM(U43:Z43)</f>
        <v>308.162</v>
      </c>
      <c r="AB43" s="11" t="n">
        <v>5.338</v>
      </c>
      <c r="AC43" s="11" t="n">
        <v>14.254</v>
      </c>
      <c r="AD43" s="11" t="n">
        <v>32.59</v>
      </c>
      <c r="AE43" s="11" t="n">
        <v>5.998</v>
      </c>
      <c r="AF43" s="11" t="n">
        <v>0</v>
      </c>
      <c r="AG43" s="11" t="n">
        <v>6.278</v>
      </c>
      <c r="AH43" s="11" t="n">
        <f aca="false">SUM(AB43:AG43)</f>
        <v>64.458</v>
      </c>
    </row>
    <row r="44" customFormat="false" ht="15" hidden="false" customHeight="false" outlineLevel="2" collapsed="false">
      <c r="A44" s="8" t="s">
        <v>793</v>
      </c>
      <c r="B44" s="12" t="s">
        <v>794</v>
      </c>
      <c r="C44" s="8" t="s">
        <v>781</v>
      </c>
      <c r="D44" s="12" t="s">
        <v>782</v>
      </c>
      <c r="E44" s="16"/>
      <c r="F44" s="9" t="str">
        <f aca="false">IF($E44="","",IFERROR(INDEX(担当者マスタ!$B$2:$B$101,MATCH($E44,担当者マスタ!$A$2:$A$101,0)),"※マスタ未登録"))</f>
        <v/>
      </c>
      <c r="G44" s="11" t="n">
        <v>90.26</v>
      </c>
      <c r="H44" s="11" t="n">
        <v>133.969</v>
      </c>
      <c r="I44" s="11" t="n">
        <v>404.927</v>
      </c>
      <c r="J44" s="11" t="n">
        <v>345.105</v>
      </c>
      <c r="K44" s="11" t="n">
        <v>65.568</v>
      </c>
      <c r="L44" s="11" t="n">
        <v>310.248</v>
      </c>
      <c r="M44" s="11" t="n">
        <f aca="false">SUM(G44:L44)</f>
        <v>1350.077</v>
      </c>
      <c r="N44" s="11" t="n">
        <v>23.21</v>
      </c>
      <c r="O44" s="11" t="n">
        <v>36.085</v>
      </c>
      <c r="P44" s="11" t="n">
        <v>91.202</v>
      </c>
      <c r="Q44" s="11" t="n">
        <v>77.473</v>
      </c>
      <c r="R44" s="11" t="n">
        <v>14.858</v>
      </c>
      <c r="S44" s="11" t="n">
        <v>71.616</v>
      </c>
      <c r="T44" s="11" t="n">
        <f aca="false">SUM(N44:S44)</f>
        <v>314.444</v>
      </c>
      <c r="U44" s="11" t="n">
        <v>250.742</v>
      </c>
      <c r="V44" s="11" t="n">
        <v>150.096</v>
      </c>
      <c r="W44" s="11" t="n">
        <v>292.419</v>
      </c>
      <c r="X44" s="11" t="n">
        <v>104.402</v>
      </c>
      <c r="Y44" s="11" t="n">
        <v>84.016</v>
      </c>
      <c r="Z44" s="11" t="n">
        <v>318.931</v>
      </c>
      <c r="AA44" s="11" t="n">
        <f aca="false">SUM(U44:Z44)</f>
        <v>1200.606</v>
      </c>
      <c r="AB44" s="11" t="n">
        <v>49.032</v>
      </c>
      <c r="AC44" s="11" t="n">
        <v>35.076</v>
      </c>
      <c r="AD44" s="11" t="n">
        <v>27.998</v>
      </c>
      <c r="AE44" s="11" t="n">
        <v>25.492</v>
      </c>
      <c r="AF44" s="11" t="n">
        <v>17.886</v>
      </c>
      <c r="AG44" s="11" t="n">
        <v>69.758</v>
      </c>
      <c r="AH44" s="11" t="n">
        <f aca="false">SUM(AB44:AG44)</f>
        <v>225.242</v>
      </c>
    </row>
    <row r="45" customFormat="false" ht="15" hidden="false" customHeight="false" outlineLevel="2" collapsed="false">
      <c r="A45" s="8" t="s">
        <v>795</v>
      </c>
      <c r="B45" s="12" t="s">
        <v>796</v>
      </c>
      <c r="C45" s="8" t="s">
        <v>781</v>
      </c>
      <c r="D45" s="12" t="s">
        <v>782</v>
      </c>
      <c r="E45" s="16"/>
      <c r="F45" s="9" t="str">
        <f aca="false">IF($E45="","",IFERROR(INDEX(担当者マスタ!$B$2:$B$101,MATCH($E45,担当者マスタ!$A$2:$A$101,0)),"※マスタ未登録"))</f>
        <v/>
      </c>
      <c r="G45" s="11" t="n">
        <v>625.111</v>
      </c>
      <c r="H45" s="11" t="n">
        <v>639.235</v>
      </c>
      <c r="I45" s="11" t="n">
        <v>796.815</v>
      </c>
      <c r="J45" s="11" t="n">
        <v>821.839</v>
      </c>
      <c r="K45" s="11" t="n">
        <v>230.353</v>
      </c>
      <c r="L45" s="11" t="n">
        <v>428.225</v>
      </c>
      <c r="M45" s="11" t="n">
        <f aca="false">SUM(G45:L45)</f>
        <v>3541.578</v>
      </c>
      <c r="N45" s="11" t="n">
        <v>159.515</v>
      </c>
      <c r="O45" s="11" t="n">
        <v>151.861</v>
      </c>
      <c r="P45" s="11" t="n">
        <v>204.217</v>
      </c>
      <c r="Q45" s="11" t="n">
        <v>204.313</v>
      </c>
      <c r="R45" s="11" t="n">
        <v>56.48</v>
      </c>
      <c r="S45" s="11" t="n">
        <v>101.597</v>
      </c>
      <c r="T45" s="11" t="n">
        <f aca="false">SUM(N45:S45)</f>
        <v>877.983</v>
      </c>
      <c r="U45" s="11" t="n">
        <v>290.013</v>
      </c>
      <c r="V45" s="11" t="n">
        <v>839.446</v>
      </c>
      <c r="W45" s="11" t="n">
        <v>479.412</v>
      </c>
      <c r="X45" s="11" t="n">
        <v>192.677</v>
      </c>
      <c r="Y45" s="11" t="n">
        <v>298.033</v>
      </c>
      <c r="Z45" s="11" t="n">
        <v>285.062</v>
      </c>
      <c r="AA45" s="11" t="n">
        <f aca="false">SUM(U45:Z45)</f>
        <v>2384.643</v>
      </c>
      <c r="AB45" s="11" t="n">
        <v>81.865</v>
      </c>
      <c r="AC45" s="11" t="n">
        <v>205.207</v>
      </c>
      <c r="AD45" s="11" t="n">
        <v>124.034</v>
      </c>
      <c r="AE45" s="11" t="n">
        <v>50.292</v>
      </c>
      <c r="AF45" s="11" t="n">
        <v>73.585</v>
      </c>
      <c r="AG45" s="11" t="n">
        <v>74.489</v>
      </c>
      <c r="AH45" s="11" t="n">
        <f aca="false">SUM(AB45:AG45)</f>
        <v>609.472</v>
      </c>
    </row>
    <row r="46" customFormat="false" ht="15" hidden="false" customHeight="false" outlineLevel="2" collapsed="false">
      <c r="A46" s="8" t="s">
        <v>797</v>
      </c>
      <c r="B46" s="9" t="s">
        <v>798</v>
      </c>
      <c r="C46" s="8" t="s">
        <v>781</v>
      </c>
      <c r="D46" s="12" t="s">
        <v>782</v>
      </c>
      <c r="E46" s="16"/>
      <c r="F46" s="9" t="str">
        <f aca="false">IF($E46="","",IFERROR(INDEX(担当者マスタ!$B$2:$B$101,MATCH($E46,担当者マスタ!$A$2:$A$101,0)),"※マスタ未登録"))</f>
        <v/>
      </c>
      <c r="G46" s="11" t="n">
        <v>5578.825</v>
      </c>
      <c r="H46" s="11" t="n">
        <v>4730.735</v>
      </c>
      <c r="I46" s="11" t="n">
        <v>5569.238</v>
      </c>
      <c r="J46" s="11" t="n">
        <v>4286.951</v>
      </c>
      <c r="K46" s="11" t="n">
        <v>4816.183</v>
      </c>
      <c r="L46" s="11" t="n">
        <v>5478.672</v>
      </c>
      <c r="M46" s="11" t="n">
        <f aca="false">SUM(G46:L46)</f>
        <v>30460.604</v>
      </c>
      <c r="N46" s="11" t="n">
        <v>1075.24</v>
      </c>
      <c r="O46" s="11" t="n">
        <v>950.484</v>
      </c>
      <c r="P46" s="11" t="n">
        <v>1120.074</v>
      </c>
      <c r="Q46" s="11" t="n">
        <v>941.276</v>
      </c>
      <c r="R46" s="11" t="n">
        <v>973.068</v>
      </c>
      <c r="S46" s="11" t="n">
        <v>1107.501</v>
      </c>
      <c r="T46" s="11" t="n">
        <f aca="false">SUM(N46:S46)</f>
        <v>6167.643</v>
      </c>
      <c r="U46" s="11" t="n">
        <v>6590.83</v>
      </c>
      <c r="V46" s="11" t="n">
        <v>5360.717</v>
      </c>
      <c r="W46" s="11" t="n">
        <v>4536.32</v>
      </c>
      <c r="X46" s="11" t="n">
        <v>4828.818</v>
      </c>
      <c r="Y46" s="11" t="n">
        <v>4998.983</v>
      </c>
      <c r="Z46" s="11" t="n">
        <v>5419.214</v>
      </c>
      <c r="AA46" s="11" t="n">
        <f aca="false">SUM(U46:Z46)</f>
        <v>31734.882</v>
      </c>
      <c r="AB46" s="11" t="n">
        <v>1384.232</v>
      </c>
      <c r="AC46" s="11" t="n">
        <v>1115.755</v>
      </c>
      <c r="AD46" s="11" t="n">
        <v>939.629</v>
      </c>
      <c r="AE46" s="11" t="n">
        <v>987.557</v>
      </c>
      <c r="AF46" s="11" t="n">
        <v>1055.15</v>
      </c>
      <c r="AG46" s="11" t="n">
        <v>1127.381</v>
      </c>
      <c r="AH46" s="11" t="n">
        <f aca="false">SUM(AB46:AG46)</f>
        <v>6609.704</v>
      </c>
    </row>
    <row r="47" customFormat="false" ht="15" hidden="false" customHeight="false" outlineLevel="2" collapsed="false">
      <c r="A47" s="8" t="s">
        <v>799</v>
      </c>
      <c r="B47" s="12" t="s">
        <v>800</v>
      </c>
      <c r="C47" s="8" t="s">
        <v>781</v>
      </c>
      <c r="D47" s="12" t="s">
        <v>782</v>
      </c>
      <c r="E47" s="16"/>
      <c r="F47" s="9" t="str">
        <f aca="false">IF($E47="","",IFERROR(INDEX(担当者マスタ!$B$2:$B$101,MATCH($E47,担当者マスタ!$A$2:$A$101,0)),"※マスタ未登録"))</f>
        <v/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484.753</v>
      </c>
      <c r="L47" s="11" t="n">
        <v>0</v>
      </c>
      <c r="M47" s="11" t="n">
        <f aca="false">SUM(G47:L47)</f>
        <v>484.753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116.846</v>
      </c>
      <c r="S47" s="11" t="n">
        <v>0</v>
      </c>
      <c r="T47" s="11" t="n">
        <f aca="false">SUM(N47:S47)</f>
        <v>116.846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f aca="false">SUM(U47:Z47)</f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f aca="false">SUM(AB47:AG47)</f>
        <v>0</v>
      </c>
    </row>
    <row r="48" customFormat="false" ht="15" hidden="false" customHeight="false" outlineLevel="2" collapsed="false">
      <c r="A48" s="8" t="s">
        <v>801</v>
      </c>
      <c r="B48" s="12" t="s">
        <v>802</v>
      </c>
      <c r="C48" s="8" t="s">
        <v>781</v>
      </c>
      <c r="D48" s="12" t="s">
        <v>782</v>
      </c>
      <c r="E48" s="16"/>
      <c r="F48" s="9" t="str">
        <f aca="false">IF($E48="","",IFERROR(INDEX(担当者マスタ!$B$2:$B$101,MATCH($E48,担当者マスタ!$A$2:$A$101,0)),"※マスタ未登録"))</f>
        <v/>
      </c>
      <c r="G48" s="11" t="n">
        <v>25.42</v>
      </c>
      <c r="H48" s="11" t="n">
        <v>11.02</v>
      </c>
      <c r="I48" s="11" t="n">
        <v>20.16</v>
      </c>
      <c r="J48" s="11" t="n">
        <v>0</v>
      </c>
      <c r="K48" s="11" t="n">
        <v>27.62</v>
      </c>
      <c r="L48" s="11" t="n">
        <v>0</v>
      </c>
      <c r="M48" s="11" t="n">
        <f aca="false">SUM(G48:L48)</f>
        <v>84.22</v>
      </c>
      <c r="N48" s="11" t="n">
        <v>3.34</v>
      </c>
      <c r="O48" s="11" t="n">
        <v>1.44</v>
      </c>
      <c r="P48" s="11" t="n">
        <v>2.66</v>
      </c>
      <c r="Q48" s="11" t="n">
        <v>0</v>
      </c>
      <c r="R48" s="11" t="n">
        <v>4.29</v>
      </c>
      <c r="S48" s="11" t="n">
        <v>0</v>
      </c>
      <c r="T48" s="11" t="n">
        <f aca="false">SUM(N48:S48)</f>
        <v>11.73</v>
      </c>
      <c r="U48" s="11" t="n">
        <v>0</v>
      </c>
      <c r="V48" s="11" t="n">
        <v>0</v>
      </c>
      <c r="W48" s="11" t="n">
        <v>27.62</v>
      </c>
      <c r="X48" s="11" t="n">
        <v>0</v>
      </c>
      <c r="Y48" s="11" t="n">
        <v>5.51</v>
      </c>
      <c r="Z48" s="11" t="n">
        <v>0</v>
      </c>
      <c r="AA48" s="11" t="n">
        <f aca="false">SUM(U48:Z48)</f>
        <v>33.13</v>
      </c>
      <c r="AB48" s="11" t="n">
        <v>0</v>
      </c>
      <c r="AC48" s="11" t="n">
        <v>0</v>
      </c>
      <c r="AD48" s="11" t="n">
        <v>4.47</v>
      </c>
      <c r="AE48" s="11" t="n">
        <v>0</v>
      </c>
      <c r="AF48" s="11" t="n">
        <v>0.81</v>
      </c>
      <c r="AG48" s="11" t="n">
        <v>0</v>
      </c>
      <c r="AH48" s="11" t="n">
        <f aca="false">SUM(AB48:AG48)</f>
        <v>5.28</v>
      </c>
    </row>
    <row r="49" customFormat="false" ht="15" hidden="false" customHeight="false" outlineLevel="2" collapsed="false">
      <c r="A49" s="8" t="s">
        <v>803</v>
      </c>
      <c r="B49" s="12" t="s">
        <v>804</v>
      </c>
      <c r="C49" s="8" t="s">
        <v>781</v>
      </c>
      <c r="D49" s="12" t="s">
        <v>782</v>
      </c>
      <c r="E49" s="16"/>
      <c r="F49" s="9" t="str">
        <f aca="false">IF($E49="","",IFERROR(INDEX(担当者マスタ!$B$2:$B$101,MATCH($E49,担当者マスタ!$A$2:$A$101,0)),"※マスタ未登録"))</f>
        <v/>
      </c>
      <c r="G49" s="11" t="n">
        <v>0</v>
      </c>
      <c r="H49" s="11" t="n">
        <v>0</v>
      </c>
      <c r="I49" s="11" t="n">
        <v>52.8</v>
      </c>
      <c r="J49" s="11" t="n">
        <v>0</v>
      </c>
      <c r="K49" s="11" t="n">
        <v>0</v>
      </c>
      <c r="L49" s="11" t="n">
        <v>0</v>
      </c>
      <c r="M49" s="11" t="n">
        <f aca="false">SUM(G49:L49)</f>
        <v>52.8</v>
      </c>
      <c r="N49" s="11" t="n">
        <v>0</v>
      </c>
      <c r="O49" s="11" t="n">
        <v>0</v>
      </c>
      <c r="P49" s="11" t="n">
        <v>3.2</v>
      </c>
      <c r="Q49" s="11" t="n">
        <v>0</v>
      </c>
      <c r="R49" s="11" t="n">
        <v>0</v>
      </c>
      <c r="S49" s="11" t="n">
        <v>0</v>
      </c>
      <c r="T49" s="11" t="n">
        <f aca="false">SUM(N49:S49)</f>
        <v>3.2</v>
      </c>
      <c r="U49" s="11" t="n">
        <v>0</v>
      </c>
      <c r="V49" s="11" t="n">
        <v>0</v>
      </c>
      <c r="W49" s="11" t="n">
        <v>66.688</v>
      </c>
      <c r="X49" s="11" t="n">
        <v>0</v>
      </c>
      <c r="Y49" s="11" t="n">
        <v>0</v>
      </c>
      <c r="Z49" s="11" t="n">
        <v>0</v>
      </c>
      <c r="AA49" s="11" t="n">
        <f aca="false">SUM(U49:Z49)</f>
        <v>66.688</v>
      </c>
      <c r="AB49" s="11" t="n">
        <v>0</v>
      </c>
      <c r="AC49" s="11" t="n">
        <v>0</v>
      </c>
      <c r="AD49" s="11" t="n">
        <v>2.688</v>
      </c>
      <c r="AE49" s="11" t="n">
        <v>0</v>
      </c>
      <c r="AF49" s="11" t="n">
        <v>0</v>
      </c>
      <c r="AG49" s="11" t="n">
        <v>0</v>
      </c>
      <c r="AH49" s="11" t="n">
        <f aca="false">SUM(AB49:AG49)</f>
        <v>2.688</v>
      </c>
    </row>
    <row r="50" customFormat="false" ht="15" hidden="false" customHeight="false" outlineLevel="2" collapsed="false">
      <c r="A50" s="8" t="s">
        <v>805</v>
      </c>
      <c r="B50" s="9" t="s">
        <v>806</v>
      </c>
      <c r="C50" s="8" t="s">
        <v>781</v>
      </c>
      <c r="D50" s="12" t="s">
        <v>782</v>
      </c>
      <c r="E50" s="16"/>
      <c r="F50" s="9" t="str">
        <f aca="false">IF($E50="","",IFERROR(INDEX(担当者マスタ!$B$2:$B$101,MATCH($E50,担当者マスタ!$A$2:$A$101,0)),"※マスタ未登録"))</f>
        <v/>
      </c>
      <c r="G50" s="11" t="n">
        <v>138.406</v>
      </c>
      <c r="H50" s="11" t="n">
        <v>200.17</v>
      </c>
      <c r="I50" s="11" t="n">
        <v>629.556</v>
      </c>
      <c r="J50" s="11" t="n">
        <v>38.02</v>
      </c>
      <c r="K50" s="11" t="n">
        <v>15.3</v>
      </c>
      <c r="L50" s="11" t="n">
        <v>30.116</v>
      </c>
      <c r="M50" s="11" t="n">
        <f aca="false">SUM(G50:L50)</f>
        <v>1051.568</v>
      </c>
      <c r="N50" s="11" t="n">
        <v>19.222</v>
      </c>
      <c r="O50" s="11" t="n">
        <v>30.142</v>
      </c>
      <c r="P50" s="11" t="n">
        <v>87.872</v>
      </c>
      <c r="Q50" s="11" t="n">
        <v>2.512</v>
      </c>
      <c r="R50" s="11" t="n">
        <v>0.96</v>
      </c>
      <c r="S50" s="11" t="n">
        <v>1.672</v>
      </c>
      <c r="T50" s="11" t="n">
        <f aca="false">SUM(N50:S50)</f>
        <v>142.38</v>
      </c>
      <c r="U50" s="11" t="n">
        <v>0</v>
      </c>
      <c r="V50" s="11" t="n">
        <v>83.725</v>
      </c>
      <c r="W50" s="11" t="n">
        <v>526.55</v>
      </c>
      <c r="X50" s="11" t="n">
        <v>35.37</v>
      </c>
      <c r="Y50" s="11" t="n">
        <v>13.05</v>
      </c>
      <c r="Z50" s="11" t="n">
        <v>29.175</v>
      </c>
      <c r="AA50" s="11" t="n">
        <f aca="false">SUM(U50:Z50)</f>
        <v>687.87</v>
      </c>
      <c r="AB50" s="11" t="n">
        <v>0</v>
      </c>
      <c r="AC50" s="11" t="n">
        <v>10.911</v>
      </c>
      <c r="AD50" s="11" t="n">
        <v>76.378</v>
      </c>
      <c r="AE50" s="11" t="n">
        <v>5.52</v>
      </c>
      <c r="AF50" s="11" t="n">
        <v>1.92</v>
      </c>
      <c r="AG50" s="11" t="n">
        <v>4.815</v>
      </c>
      <c r="AH50" s="11" t="n">
        <f aca="false">SUM(AB50:AG50)</f>
        <v>99.544</v>
      </c>
    </row>
    <row r="51" customFormat="false" ht="15" hidden="false" customHeight="false" outlineLevel="2" collapsed="false">
      <c r="A51" s="8" t="s">
        <v>807</v>
      </c>
      <c r="B51" s="12" t="s">
        <v>808</v>
      </c>
      <c r="C51" s="8" t="s">
        <v>781</v>
      </c>
      <c r="D51" s="12" t="s">
        <v>782</v>
      </c>
      <c r="E51" s="16"/>
      <c r="F51" s="9" t="str">
        <f aca="false">IF($E51="","",IFERROR(INDEX(担当者マスタ!$B$2:$B$101,MATCH($E51,担当者マスタ!$A$2:$A$101,0)),"※マスタ未登録"))</f>
        <v/>
      </c>
      <c r="G51" s="11" t="n">
        <v>0</v>
      </c>
      <c r="H51" s="11" t="n">
        <v>124.1</v>
      </c>
      <c r="I51" s="11" t="n">
        <v>125.5</v>
      </c>
      <c r="J51" s="11" t="n">
        <v>125.5</v>
      </c>
      <c r="K51" s="11" t="n">
        <v>112</v>
      </c>
      <c r="L51" s="11" t="n">
        <v>112</v>
      </c>
      <c r="M51" s="11" t="n">
        <f aca="false">SUM(G51:L51)</f>
        <v>599.1</v>
      </c>
      <c r="N51" s="11" t="n">
        <v>0</v>
      </c>
      <c r="O51" s="11" t="n">
        <v>30.044</v>
      </c>
      <c r="P51" s="11" t="n">
        <v>30.38</v>
      </c>
      <c r="Q51" s="11" t="n">
        <v>30.38</v>
      </c>
      <c r="R51" s="11" t="n">
        <v>26.88</v>
      </c>
      <c r="S51" s="11" t="n">
        <v>26.88</v>
      </c>
      <c r="T51" s="11" t="n">
        <f aca="false">SUM(N51:S51)</f>
        <v>144.564</v>
      </c>
      <c r="U51" s="11" t="n">
        <v>261.3</v>
      </c>
      <c r="V51" s="11" t="n">
        <v>123.2</v>
      </c>
      <c r="W51" s="11" t="n">
        <v>276.2</v>
      </c>
      <c r="X51" s="11" t="n">
        <v>154</v>
      </c>
      <c r="Y51" s="11" t="n">
        <v>215.6</v>
      </c>
      <c r="Z51" s="11" t="n">
        <v>138.1</v>
      </c>
      <c r="AA51" s="11" t="n">
        <f aca="false">SUM(U51:Z51)</f>
        <v>1168.4</v>
      </c>
      <c r="AB51" s="11" t="n">
        <v>63.26</v>
      </c>
      <c r="AC51" s="11" t="n">
        <v>29.68</v>
      </c>
      <c r="AD51" s="11" t="n">
        <v>67.16</v>
      </c>
      <c r="AE51" s="11" t="n">
        <v>37.1</v>
      </c>
      <c r="AF51" s="11" t="n">
        <v>51.94</v>
      </c>
      <c r="AG51" s="11" t="n">
        <v>33.58</v>
      </c>
      <c r="AH51" s="11" t="n">
        <f aca="false">SUM(AB51:AG51)</f>
        <v>282.72</v>
      </c>
    </row>
    <row r="52" customFormat="false" ht="15" hidden="false" customHeight="false" outlineLevel="2" collapsed="false">
      <c r="A52" s="8" t="s">
        <v>809</v>
      </c>
      <c r="B52" s="12" t="s">
        <v>810</v>
      </c>
      <c r="C52" s="8" t="s">
        <v>781</v>
      </c>
      <c r="D52" s="12" t="s">
        <v>782</v>
      </c>
      <c r="E52" s="16"/>
      <c r="F52" s="9" t="str">
        <f aca="false">IF($E52="","",IFERROR(INDEX(担当者マスタ!$B$2:$B$101,MATCH($E52,担当者マスタ!$A$2:$A$101,0)),"※マスタ未登録"))</f>
        <v/>
      </c>
      <c r="G52" s="11" t="n">
        <v>8.97</v>
      </c>
      <c r="H52" s="11" t="n">
        <v>0</v>
      </c>
      <c r="I52" s="11" t="n">
        <v>16.528</v>
      </c>
      <c r="J52" s="11" t="n">
        <v>0</v>
      </c>
      <c r="K52" s="11" t="n">
        <v>0</v>
      </c>
      <c r="L52" s="11" t="n">
        <v>0</v>
      </c>
      <c r="M52" s="11" t="n">
        <f aca="false">SUM(G52:L52)</f>
        <v>25.498</v>
      </c>
      <c r="N52" s="11" t="n">
        <v>2.13</v>
      </c>
      <c r="O52" s="11" t="n">
        <v>0</v>
      </c>
      <c r="P52" s="11" t="n">
        <v>3.968</v>
      </c>
      <c r="Q52" s="11" t="n">
        <v>0</v>
      </c>
      <c r="R52" s="11" t="n">
        <v>0</v>
      </c>
      <c r="S52" s="11" t="n">
        <v>0</v>
      </c>
      <c r="T52" s="11" t="n">
        <f aca="false">SUM(N52:S52)</f>
        <v>6.098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f aca="false">SUM(U52:Z52)</f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f aca="false">SUM(AB52:AG52)</f>
        <v>0</v>
      </c>
    </row>
    <row r="53" customFormat="false" ht="15" hidden="false" customHeight="false" outlineLevel="2" collapsed="false">
      <c r="A53" s="8" t="s">
        <v>811</v>
      </c>
      <c r="B53" s="12" t="s">
        <v>812</v>
      </c>
      <c r="C53" s="8" t="s">
        <v>781</v>
      </c>
      <c r="D53" s="12" t="s">
        <v>782</v>
      </c>
      <c r="E53" s="16"/>
      <c r="F53" s="9" t="str">
        <f aca="false">IF($E53="","",IFERROR(INDEX(担当者マスタ!$B$2:$B$101,MATCH($E53,担当者マスタ!$A$2:$A$101,0)),"※マスタ未登録"))</f>
        <v/>
      </c>
      <c r="G53" s="11" t="n">
        <v>2722.476</v>
      </c>
      <c r="H53" s="11" t="n">
        <v>4106.296</v>
      </c>
      <c r="I53" s="11" t="n">
        <v>3883.11</v>
      </c>
      <c r="J53" s="11" t="n">
        <v>3534.434</v>
      </c>
      <c r="K53" s="11" t="n">
        <v>3665.369</v>
      </c>
      <c r="L53" s="11" t="n">
        <v>5117.966</v>
      </c>
      <c r="M53" s="11" t="n">
        <f aca="false">SUM(G53:L53)</f>
        <v>23029.651</v>
      </c>
      <c r="N53" s="11" t="n">
        <v>569.994</v>
      </c>
      <c r="O53" s="11" t="n">
        <v>937.109</v>
      </c>
      <c r="P53" s="11" t="n">
        <v>892.183</v>
      </c>
      <c r="Q53" s="11" t="n">
        <v>838.708</v>
      </c>
      <c r="R53" s="11" t="n">
        <v>905.232</v>
      </c>
      <c r="S53" s="11" t="n">
        <v>1247.375</v>
      </c>
      <c r="T53" s="11" t="n">
        <f aca="false">SUM(N53:S53)</f>
        <v>5390.601</v>
      </c>
      <c r="U53" s="11" t="n">
        <v>4558.754</v>
      </c>
      <c r="V53" s="11" t="n">
        <v>2349.957</v>
      </c>
      <c r="W53" s="11" t="n">
        <v>2163.499</v>
      </c>
      <c r="X53" s="11" t="n">
        <v>3650.703</v>
      </c>
      <c r="Y53" s="11" t="n">
        <v>1871.974</v>
      </c>
      <c r="Z53" s="11" t="n">
        <v>3316.142</v>
      </c>
      <c r="AA53" s="11" t="n">
        <f aca="false">SUM(U53:Z53)</f>
        <v>17911.029</v>
      </c>
      <c r="AB53" s="11" t="n">
        <v>1087.119</v>
      </c>
      <c r="AC53" s="11" t="n">
        <v>543.47</v>
      </c>
      <c r="AD53" s="11" t="n">
        <v>482.657</v>
      </c>
      <c r="AE53" s="11" t="n">
        <v>820.281</v>
      </c>
      <c r="AF53" s="11" t="n">
        <v>428.559</v>
      </c>
      <c r="AG53" s="11" t="n">
        <v>743.915</v>
      </c>
      <c r="AH53" s="11" t="n">
        <f aca="false">SUM(AB53:AG53)</f>
        <v>4106.001</v>
      </c>
    </row>
    <row r="54" customFormat="false" ht="15" hidden="false" customHeight="false" outlineLevel="2" collapsed="false">
      <c r="A54" s="8" t="s">
        <v>813</v>
      </c>
      <c r="B54" s="12" t="s">
        <v>814</v>
      </c>
      <c r="C54" s="8" t="s">
        <v>781</v>
      </c>
      <c r="D54" s="12" t="s">
        <v>782</v>
      </c>
      <c r="E54" s="16"/>
      <c r="F54" s="9" t="str">
        <f aca="false">IF($E54="","",IFERROR(INDEX(担当者マスタ!$B$2:$B$101,MATCH($E54,担当者マスタ!$A$2:$A$101,0)),"※マスタ未登録"))</f>
        <v/>
      </c>
      <c r="G54" s="11" t="n">
        <v>0</v>
      </c>
      <c r="H54" s="11" t="n">
        <v>28</v>
      </c>
      <c r="I54" s="11" t="n">
        <v>0</v>
      </c>
      <c r="J54" s="11" t="n">
        <v>28</v>
      </c>
      <c r="K54" s="11" t="n">
        <v>0</v>
      </c>
      <c r="L54" s="11" t="n">
        <v>28</v>
      </c>
      <c r="M54" s="11" t="n">
        <f aca="false">SUM(G54:L54)</f>
        <v>84</v>
      </c>
      <c r="N54" s="11" t="n">
        <v>0</v>
      </c>
      <c r="O54" s="11" t="n">
        <v>5</v>
      </c>
      <c r="P54" s="11" t="n">
        <v>0</v>
      </c>
      <c r="Q54" s="11" t="n">
        <v>5</v>
      </c>
      <c r="R54" s="11" t="n">
        <v>0</v>
      </c>
      <c r="S54" s="11" t="n">
        <v>5</v>
      </c>
      <c r="T54" s="11" t="n">
        <f aca="false">SUM(N54:S54)</f>
        <v>15</v>
      </c>
      <c r="U54" s="11" t="n">
        <v>0</v>
      </c>
      <c r="V54" s="11" t="n">
        <v>28</v>
      </c>
      <c r="W54" s="11" t="n">
        <v>28</v>
      </c>
      <c r="X54" s="11" t="n">
        <v>0</v>
      </c>
      <c r="Y54" s="11" t="n">
        <v>28</v>
      </c>
      <c r="Z54" s="11" t="n">
        <v>0</v>
      </c>
      <c r="AA54" s="11" t="n">
        <f aca="false">SUM(U54:Z54)</f>
        <v>84</v>
      </c>
      <c r="AB54" s="11" t="n">
        <v>0</v>
      </c>
      <c r="AC54" s="11" t="n">
        <v>5</v>
      </c>
      <c r="AD54" s="11" t="n">
        <v>5</v>
      </c>
      <c r="AE54" s="11" t="n">
        <v>0</v>
      </c>
      <c r="AF54" s="11" t="n">
        <v>5</v>
      </c>
      <c r="AG54" s="11" t="n">
        <v>0</v>
      </c>
      <c r="AH54" s="11" t="n">
        <f aca="false">SUM(AB54:AG54)</f>
        <v>15</v>
      </c>
    </row>
    <row r="55" customFormat="false" ht="15" hidden="false" customHeight="false" outlineLevel="2" collapsed="false">
      <c r="A55" s="8" t="s">
        <v>815</v>
      </c>
      <c r="B55" s="12" t="s">
        <v>816</v>
      </c>
      <c r="C55" s="8" t="s">
        <v>781</v>
      </c>
      <c r="D55" s="12" t="s">
        <v>782</v>
      </c>
      <c r="E55" s="16"/>
      <c r="F55" s="9" t="str">
        <f aca="false">IF($E55="","",IFERROR(INDEX(担当者マスタ!$B$2:$B$101,MATCH($E55,担当者マスタ!$A$2:$A$101,0)),"※マスタ未登録"))</f>
        <v/>
      </c>
      <c r="G55" s="11" t="n">
        <v>27.8</v>
      </c>
      <c r="H55" s="11" t="n">
        <v>0</v>
      </c>
      <c r="I55" s="11" t="n">
        <v>36.56</v>
      </c>
      <c r="J55" s="11" t="n">
        <v>0</v>
      </c>
      <c r="K55" s="11" t="n">
        <v>395.762</v>
      </c>
      <c r="L55" s="11" t="n">
        <v>163.52</v>
      </c>
      <c r="M55" s="11" t="n">
        <f aca="false">SUM(G55:L55)</f>
        <v>623.642</v>
      </c>
      <c r="N55" s="11" t="n">
        <v>4.474</v>
      </c>
      <c r="O55" s="11" t="n">
        <v>0</v>
      </c>
      <c r="P55" s="11" t="n">
        <v>5.954</v>
      </c>
      <c r="Q55" s="11" t="n">
        <v>0</v>
      </c>
      <c r="R55" s="11" t="n">
        <v>53.401</v>
      </c>
      <c r="S55" s="11" t="n">
        <v>24.64</v>
      </c>
      <c r="T55" s="11" t="n">
        <f aca="false">SUM(N55:S55)</f>
        <v>88.469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f aca="false">SUM(U55:Z55)</f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f aca="false">SUM(AB55:AG55)</f>
        <v>0</v>
      </c>
    </row>
    <row r="56" customFormat="false" ht="15" hidden="false" customHeight="false" outlineLevel="2" collapsed="false">
      <c r="A56" s="8" t="s">
        <v>817</v>
      </c>
      <c r="B56" s="12" t="s">
        <v>818</v>
      </c>
      <c r="C56" s="8" t="s">
        <v>781</v>
      </c>
      <c r="D56" s="12" t="s">
        <v>782</v>
      </c>
      <c r="E56" s="16"/>
      <c r="F56" s="9" t="str">
        <f aca="false">IF($E56="","",IFERROR(INDEX(担当者マスタ!$B$2:$B$101,MATCH($E56,担当者マスタ!$A$2:$A$101,0)),"※マスタ未登録"))</f>
        <v/>
      </c>
      <c r="G56" s="11" t="n">
        <v>148.4</v>
      </c>
      <c r="H56" s="11" t="n">
        <v>117.75</v>
      </c>
      <c r="I56" s="11" t="n">
        <v>116.35</v>
      </c>
      <c r="J56" s="11" t="n">
        <v>78.35</v>
      </c>
      <c r="K56" s="11" t="n">
        <v>118.7</v>
      </c>
      <c r="L56" s="11" t="n">
        <v>78.35</v>
      </c>
      <c r="M56" s="11" t="n">
        <f aca="false">SUM(G56:L56)</f>
        <v>657.9</v>
      </c>
      <c r="N56" s="11" t="n">
        <v>19.15</v>
      </c>
      <c r="O56" s="11" t="n">
        <v>19.59</v>
      </c>
      <c r="P56" s="11" t="n">
        <v>22.5</v>
      </c>
      <c r="Q56" s="11" t="n">
        <v>14.1</v>
      </c>
      <c r="R56" s="11" t="n">
        <v>19.8</v>
      </c>
      <c r="S56" s="11" t="n">
        <v>14.1</v>
      </c>
      <c r="T56" s="11" t="n">
        <f aca="false">SUM(N56:S56)</f>
        <v>109.24</v>
      </c>
      <c r="U56" s="11" t="n">
        <v>118.7</v>
      </c>
      <c r="V56" s="11" t="n">
        <v>78.35</v>
      </c>
      <c r="W56" s="11" t="n">
        <v>156.7</v>
      </c>
      <c r="X56" s="11" t="n">
        <v>38</v>
      </c>
      <c r="Y56" s="11" t="n">
        <v>78.35</v>
      </c>
      <c r="Z56" s="11" t="n">
        <v>78.35</v>
      </c>
      <c r="AA56" s="11" t="n">
        <f aca="false">SUM(U56:Z56)</f>
        <v>548.45</v>
      </c>
      <c r="AB56" s="11" t="n">
        <v>19.8</v>
      </c>
      <c r="AC56" s="11" t="n">
        <v>14.1</v>
      </c>
      <c r="AD56" s="11" t="n">
        <v>28.2</v>
      </c>
      <c r="AE56" s="11" t="n">
        <v>8.4</v>
      </c>
      <c r="AF56" s="11" t="n">
        <v>14.1</v>
      </c>
      <c r="AG56" s="11" t="n">
        <v>14.1</v>
      </c>
      <c r="AH56" s="11" t="n">
        <f aca="false">SUM(AB56:AG56)</f>
        <v>98.7</v>
      </c>
    </row>
    <row r="57" customFormat="false" ht="15" hidden="false" customHeight="false" outlineLevel="2" collapsed="false">
      <c r="A57" s="8" t="s">
        <v>819</v>
      </c>
      <c r="B57" s="12" t="s">
        <v>820</v>
      </c>
      <c r="C57" s="8" t="s">
        <v>781</v>
      </c>
      <c r="D57" s="12" t="s">
        <v>782</v>
      </c>
      <c r="E57" s="16"/>
      <c r="F57" s="9" t="str">
        <f aca="false">IF($E57="","",IFERROR(INDEX(担当者マスタ!$B$2:$B$101,MATCH($E57,担当者マスタ!$A$2:$A$101,0)),"※マスタ未登録"))</f>
        <v/>
      </c>
      <c r="G57" s="11" t="n">
        <v>63.92</v>
      </c>
      <c r="H57" s="11" t="n">
        <v>47</v>
      </c>
      <c r="I57" s="11" t="n">
        <v>28.2</v>
      </c>
      <c r="J57" s="11" t="n">
        <v>0</v>
      </c>
      <c r="K57" s="11" t="n">
        <v>0</v>
      </c>
      <c r="L57" s="11" t="n">
        <v>0</v>
      </c>
      <c r="M57" s="11" t="n">
        <f aca="false">SUM(G57:L57)</f>
        <v>139.12</v>
      </c>
      <c r="N57" s="11" t="n">
        <v>14.212</v>
      </c>
      <c r="O57" s="11" t="n">
        <v>10.45</v>
      </c>
      <c r="P57" s="11" t="n">
        <v>6.27</v>
      </c>
      <c r="Q57" s="11" t="n">
        <v>0</v>
      </c>
      <c r="R57" s="11" t="n">
        <v>0</v>
      </c>
      <c r="S57" s="11" t="n">
        <v>0</v>
      </c>
      <c r="T57" s="11" t="n">
        <f aca="false">SUM(N57:S57)</f>
        <v>30.932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f aca="false">SUM(U57:Z57)</f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f aca="false">SUM(AB57:AG57)</f>
        <v>0</v>
      </c>
    </row>
    <row r="58" customFormat="false" ht="15" hidden="false" customHeight="false" outlineLevel="2" collapsed="false">
      <c r="A58" s="8" t="s">
        <v>821</v>
      </c>
      <c r="B58" s="12" t="s">
        <v>822</v>
      </c>
      <c r="C58" s="8" t="s">
        <v>781</v>
      </c>
      <c r="D58" s="12" t="s">
        <v>782</v>
      </c>
      <c r="E58" s="16"/>
      <c r="F58" s="9" t="str">
        <f aca="false">IF($E58="","",IFERROR(INDEX(担当者マスタ!$B$2:$B$101,MATCH($E58,担当者マスタ!$A$2:$A$101,0)),"※マスタ未登録"))</f>
        <v/>
      </c>
      <c r="G58" s="11" t="n">
        <v>0</v>
      </c>
      <c r="H58" s="11" t="n">
        <v>0</v>
      </c>
      <c r="I58" s="11" t="n">
        <v>0</v>
      </c>
      <c r="J58" s="11" t="n">
        <v>249.6</v>
      </c>
      <c r="K58" s="11" t="n">
        <v>0</v>
      </c>
      <c r="L58" s="11" t="n">
        <v>0</v>
      </c>
      <c r="M58" s="11" t="n">
        <f aca="false">SUM(G58:L58)</f>
        <v>249.6</v>
      </c>
      <c r="N58" s="11" t="n">
        <v>0</v>
      </c>
      <c r="O58" s="11" t="n">
        <v>0</v>
      </c>
      <c r="P58" s="11" t="n">
        <v>0</v>
      </c>
      <c r="Q58" s="11" t="n">
        <v>61.4</v>
      </c>
      <c r="R58" s="11" t="n">
        <v>0</v>
      </c>
      <c r="S58" s="11" t="n">
        <v>0</v>
      </c>
      <c r="T58" s="11" t="n">
        <f aca="false">SUM(N58:S58)</f>
        <v>61.4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f aca="false">SUM(U58:Z58)</f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f aca="false">SUM(AB58:AG58)</f>
        <v>0</v>
      </c>
    </row>
    <row r="59" customFormat="false" ht="15" hidden="false" customHeight="false" outlineLevel="2" collapsed="false">
      <c r="A59" s="8" t="s">
        <v>823</v>
      </c>
      <c r="B59" s="12" t="s">
        <v>824</v>
      </c>
      <c r="C59" s="8" t="s">
        <v>781</v>
      </c>
      <c r="D59" s="12" t="s">
        <v>782</v>
      </c>
      <c r="E59" s="16"/>
      <c r="F59" s="9" t="str">
        <f aca="false">IF($E59="","",IFERROR(INDEX(担当者マスタ!$B$2:$B$101,MATCH($E59,担当者マスタ!$A$2:$A$101,0)),"※マスタ未登録"))</f>
        <v/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673.175</v>
      </c>
      <c r="L59" s="11" t="n">
        <v>0</v>
      </c>
      <c r="M59" s="11" t="n">
        <f aca="false">SUM(G59:L59)</f>
        <v>673.175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134.45</v>
      </c>
      <c r="S59" s="11" t="n">
        <v>0</v>
      </c>
      <c r="T59" s="11" t="n">
        <f aca="false">SUM(N59:S59)</f>
        <v>134.45</v>
      </c>
      <c r="U59" s="11" t="n">
        <v>0</v>
      </c>
      <c r="V59" s="11" t="n">
        <v>0</v>
      </c>
      <c r="W59" s="11" t="n">
        <v>560.425</v>
      </c>
      <c r="X59" s="11" t="n">
        <v>0</v>
      </c>
      <c r="Y59" s="11" t="n">
        <v>0</v>
      </c>
      <c r="Z59" s="11" t="n">
        <v>0</v>
      </c>
      <c r="AA59" s="11" t="n">
        <f aca="false">SUM(U59:Z59)</f>
        <v>560.425</v>
      </c>
      <c r="AB59" s="11" t="n">
        <v>0</v>
      </c>
      <c r="AC59" s="11" t="n">
        <v>0</v>
      </c>
      <c r="AD59" s="11" t="n">
        <v>115.95</v>
      </c>
      <c r="AE59" s="11" t="n">
        <v>0</v>
      </c>
      <c r="AF59" s="11" t="n">
        <v>0</v>
      </c>
      <c r="AG59" s="11" t="n">
        <v>0</v>
      </c>
      <c r="AH59" s="11" t="n">
        <f aca="false">SUM(AB59:AG59)</f>
        <v>115.95</v>
      </c>
    </row>
    <row r="60" customFormat="false" ht="15" hidden="false" customHeight="false" outlineLevel="2" collapsed="false">
      <c r="A60" s="8" t="s">
        <v>825</v>
      </c>
      <c r="B60" s="9" t="s">
        <v>826</v>
      </c>
      <c r="C60" s="8" t="s">
        <v>781</v>
      </c>
      <c r="D60" s="12" t="s">
        <v>782</v>
      </c>
      <c r="E60" s="16"/>
      <c r="F60" s="9" t="str">
        <f aca="false">IF($E60="","",IFERROR(INDEX(担当者マスタ!$B$2:$B$101,MATCH($E60,担当者マスタ!$A$2:$A$101,0)),"※マスタ未登録"))</f>
        <v/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62.5</v>
      </c>
      <c r="M60" s="11" t="n">
        <f aca="false">SUM(G60:L60)</f>
        <v>62.5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15</v>
      </c>
      <c r="T60" s="11" t="n">
        <f aca="false">SUM(N60:S60)</f>
        <v>15</v>
      </c>
      <c r="U60" s="11" t="n">
        <v>0</v>
      </c>
      <c r="V60" s="11" t="n">
        <v>0</v>
      </c>
      <c r="W60" s="11" t="n">
        <v>0</v>
      </c>
      <c r="X60" s="11" t="n">
        <v>49.599</v>
      </c>
      <c r="Y60" s="11" t="n">
        <v>56.688</v>
      </c>
      <c r="Z60" s="11" t="n">
        <v>43.406</v>
      </c>
      <c r="AA60" s="11" t="n">
        <f aca="false">SUM(U60:Z60)</f>
        <v>149.693</v>
      </c>
      <c r="AB60" s="11" t="n">
        <v>0</v>
      </c>
      <c r="AC60" s="11" t="n">
        <v>0</v>
      </c>
      <c r="AD60" s="11" t="n">
        <v>0</v>
      </c>
      <c r="AE60" s="11" t="n">
        <v>11.523</v>
      </c>
      <c r="AF60" s="11" t="n">
        <v>7.265</v>
      </c>
      <c r="AG60" s="11" t="n">
        <v>8.796</v>
      </c>
      <c r="AH60" s="11" t="n">
        <f aca="false">SUM(AB60:AG60)</f>
        <v>27.584</v>
      </c>
    </row>
    <row r="61" customFormat="false" ht="15" hidden="false" customHeight="false" outlineLevel="2" collapsed="false">
      <c r="A61" s="8" t="s">
        <v>827</v>
      </c>
      <c r="B61" s="12" t="s">
        <v>828</v>
      </c>
      <c r="C61" s="8" t="s">
        <v>781</v>
      </c>
      <c r="D61" s="12" t="s">
        <v>782</v>
      </c>
      <c r="E61" s="16"/>
      <c r="F61" s="9" t="str">
        <f aca="false">IF($E61="","",IFERROR(INDEX(担当者マスタ!$B$2:$B$101,MATCH($E61,担当者マスタ!$A$2:$A$101,0)),"※マスタ未登録"))</f>
        <v/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799.875</v>
      </c>
      <c r="M61" s="11" t="n">
        <f aca="false">SUM(G61:L61)</f>
        <v>799.875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167.275</v>
      </c>
      <c r="T61" s="11" t="n">
        <f aca="false">SUM(N61:S61)</f>
        <v>167.275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f aca="false">SUM(U61:Z61)</f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f aca="false">SUM(AB61:AG61)</f>
        <v>0</v>
      </c>
    </row>
    <row r="62" customFormat="false" ht="15" hidden="false" customHeight="false" outlineLevel="2" collapsed="false">
      <c r="A62" s="8" t="s">
        <v>829</v>
      </c>
      <c r="B62" s="12" t="s">
        <v>830</v>
      </c>
      <c r="C62" s="8" t="s">
        <v>781</v>
      </c>
      <c r="D62" s="12" t="s">
        <v>782</v>
      </c>
      <c r="E62" s="16"/>
      <c r="F62" s="9" t="str">
        <f aca="false">IF($E62="","",IFERROR(INDEX(担当者マスタ!$B$2:$B$101,MATCH($E62,担当者マスタ!$A$2:$A$101,0)),"※マスタ未登録"))</f>
        <v/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f aca="false">SUM(G62:L62)</f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f aca="false">SUM(N62:S62)</f>
        <v>0</v>
      </c>
      <c r="U62" s="11" t="n">
        <v>1093.276</v>
      </c>
      <c r="V62" s="11" t="n">
        <v>974.95</v>
      </c>
      <c r="W62" s="11" t="n">
        <v>1022.262</v>
      </c>
      <c r="X62" s="11" t="n">
        <v>1021.582</v>
      </c>
      <c r="Y62" s="11" t="n">
        <v>1022.45</v>
      </c>
      <c r="Z62" s="11" t="n">
        <v>1010.769</v>
      </c>
      <c r="AA62" s="11" t="n">
        <f aca="false">SUM(U62:Z62)</f>
        <v>6145.289</v>
      </c>
      <c r="AB62" s="11" t="n">
        <v>78.592</v>
      </c>
      <c r="AC62" s="11" t="n">
        <v>75.61</v>
      </c>
      <c r="AD62" s="11" t="n">
        <v>79.993</v>
      </c>
      <c r="AE62" s="11" t="n">
        <v>79.562</v>
      </c>
      <c r="AF62" s="11" t="n">
        <v>82.678</v>
      </c>
      <c r="AG62" s="11" t="n">
        <v>92.296</v>
      </c>
      <c r="AH62" s="11" t="n">
        <f aca="false">SUM(AB62:AG62)</f>
        <v>488.731</v>
      </c>
    </row>
    <row r="63" customFormat="false" ht="15" hidden="false" customHeight="false" outlineLevel="2" collapsed="false">
      <c r="A63" s="8" t="s">
        <v>831</v>
      </c>
      <c r="B63" s="12" t="s">
        <v>832</v>
      </c>
      <c r="C63" s="8" t="s">
        <v>781</v>
      </c>
      <c r="D63" s="12" t="s">
        <v>782</v>
      </c>
      <c r="E63" s="16"/>
      <c r="F63" s="9" t="str">
        <f aca="false">IF($E63="","",IFERROR(INDEX(担当者マスタ!$B$2:$B$101,MATCH($E63,担当者マスタ!$A$2:$A$101,0)),"※マスタ未登録"))</f>
        <v/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f aca="false">SUM(G63:L63)</f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f aca="false">SUM(N63:S63)</f>
        <v>0</v>
      </c>
      <c r="U63" s="11" t="n">
        <v>0</v>
      </c>
      <c r="V63" s="11" t="n">
        <v>0</v>
      </c>
      <c r="W63" s="11" t="n">
        <v>0</v>
      </c>
      <c r="X63" s="11" t="n">
        <v>156.85</v>
      </c>
      <c r="Y63" s="11" t="n">
        <v>0</v>
      </c>
      <c r="Z63" s="11" t="n">
        <v>0</v>
      </c>
      <c r="AA63" s="11" t="n">
        <f aca="false">SUM(U63:Z63)</f>
        <v>156.85</v>
      </c>
      <c r="AB63" s="11" t="n">
        <v>0</v>
      </c>
      <c r="AC63" s="11" t="n">
        <v>0</v>
      </c>
      <c r="AD63" s="11" t="n">
        <v>0</v>
      </c>
      <c r="AE63" s="11" t="n">
        <v>34.39</v>
      </c>
      <c r="AF63" s="11" t="n">
        <v>0</v>
      </c>
      <c r="AG63" s="11" t="n">
        <v>0</v>
      </c>
      <c r="AH63" s="11" t="n">
        <f aca="false">SUM(AB63:AG63)</f>
        <v>34.39</v>
      </c>
    </row>
    <row r="64" customFormat="false" ht="15" hidden="false" customHeight="false" outlineLevel="2" collapsed="false">
      <c r="A64" s="8" t="s">
        <v>833</v>
      </c>
      <c r="B64" s="9" t="s">
        <v>834</v>
      </c>
      <c r="C64" s="8" t="s">
        <v>781</v>
      </c>
      <c r="D64" s="12" t="s">
        <v>782</v>
      </c>
      <c r="E64" s="16"/>
      <c r="F64" s="9" t="str">
        <f aca="false">IF($E64="","",IFERROR(INDEX(担当者マスタ!$B$2:$B$101,MATCH($E64,担当者マスタ!$A$2:$A$101,0)),"※マスタ未登録"))</f>
        <v/>
      </c>
      <c r="G64" s="11" t="n">
        <v>1103.002</v>
      </c>
      <c r="H64" s="11" t="n">
        <v>1085.424</v>
      </c>
      <c r="I64" s="11" t="n">
        <v>1055.167</v>
      </c>
      <c r="J64" s="11" t="n">
        <v>1042.899</v>
      </c>
      <c r="K64" s="11" t="n">
        <v>891.11</v>
      </c>
      <c r="L64" s="11" t="n">
        <v>850.286</v>
      </c>
      <c r="M64" s="11" t="n">
        <f aca="false">SUM(G64:L64)</f>
        <v>6027.888</v>
      </c>
      <c r="N64" s="11" t="n">
        <v>186.913</v>
      </c>
      <c r="O64" s="11" t="n">
        <v>171.98</v>
      </c>
      <c r="P64" s="11" t="n">
        <v>174.725</v>
      </c>
      <c r="Q64" s="11" t="n">
        <v>159.01</v>
      </c>
      <c r="R64" s="11" t="n">
        <v>144.038</v>
      </c>
      <c r="S64" s="11" t="n">
        <v>128.921</v>
      </c>
      <c r="T64" s="11" t="n">
        <f aca="false">SUM(N64:S64)</f>
        <v>965.587</v>
      </c>
      <c r="U64" s="11" t="n">
        <v>1004.158</v>
      </c>
      <c r="V64" s="11" t="n">
        <v>1103.739</v>
      </c>
      <c r="W64" s="11" t="n">
        <v>1227.91</v>
      </c>
      <c r="X64" s="11" t="n">
        <v>1185.758</v>
      </c>
      <c r="Y64" s="11" t="n">
        <v>917.761</v>
      </c>
      <c r="Z64" s="11" t="n">
        <v>946.299</v>
      </c>
      <c r="AA64" s="11" t="n">
        <f aca="false">SUM(U64:Z64)</f>
        <v>6385.625</v>
      </c>
      <c r="AB64" s="11" t="n">
        <v>169.105</v>
      </c>
      <c r="AC64" s="11" t="n">
        <v>179.1</v>
      </c>
      <c r="AD64" s="11" t="n">
        <v>214.432</v>
      </c>
      <c r="AE64" s="11" t="n">
        <v>179.15</v>
      </c>
      <c r="AF64" s="11" t="n">
        <v>140.055</v>
      </c>
      <c r="AG64" s="11" t="n">
        <v>147.327</v>
      </c>
      <c r="AH64" s="11" t="n">
        <f aca="false">SUM(AB64:AG64)</f>
        <v>1029.169</v>
      </c>
    </row>
    <row r="65" customFormat="false" ht="15" hidden="false" customHeight="false" outlineLevel="1" collapsed="false">
      <c r="A65" s="19"/>
      <c r="B65" s="19"/>
      <c r="C65" s="17" t="s">
        <v>1960</v>
      </c>
      <c r="D65" s="19" t="s">
        <v>782</v>
      </c>
      <c r="E65" s="19"/>
      <c r="F65" s="19"/>
      <c r="G65" s="18" t="n">
        <f aca="false">SUBTOTAL(9,G38:G64)</f>
        <v>12615.324</v>
      </c>
      <c r="H65" s="18" t="n">
        <f aca="false">SUBTOTAL(9,H38:H64)</f>
        <v>13960.29</v>
      </c>
      <c r="I65" s="18" t="n">
        <f aca="false">SUBTOTAL(9,I38:I64)</f>
        <v>16282.341</v>
      </c>
      <c r="J65" s="18" t="n">
        <f aca="false">SUBTOTAL(9,J38:J64)</f>
        <v>11360.909</v>
      </c>
      <c r="K65" s="18" t="n">
        <f aca="false">SUBTOTAL(9,K38:K64)</f>
        <v>12449.781</v>
      </c>
      <c r="L65" s="18" t="n">
        <f aca="false">SUBTOTAL(9,L38:L64)</f>
        <v>14022.854</v>
      </c>
      <c r="M65" s="18" t="n">
        <f aca="false">SUBTOTAL(9,M38:M64)</f>
        <v>80691.499</v>
      </c>
      <c r="N65" s="18" t="n">
        <f aca="false">SUBTOTAL(9,N38:N64)</f>
        <v>2530.295</v>
      </c>
      <c r="O65" s="18" t="n">
        <f aca="false">SUBTOTAL(9,O38:O64)</f>
        <v>2874.15</v>
      </c>
      <c r="P65" s="18" t="n">
        <f aca="false">SUBTOTAL(9,P38:P64)</f>
        <v>3330.128</v>
      </c>
      <c r="Q65" s="18" t="n">
        <f aca="false">SUBTOTAL(9,Q38:Q64)</f>
        <v>2502.614</v>
      </c>
      <c r="R65" s="18" t="n">
        <f aca="false">SUBTOTAL(9,R38:R64)</f>
        <v>2653.525</v>
      </c>
      <c r="S65" s="18" t="n">
        <f aca="false">SUBTOTAL(9,S38:S64)</f>
        <v>3032.224</v>
      </c>
      <c r="T65" s="18" t="n">
        <f aca="false">SUBTOTAL(9,T38:T64)</f>
        <v>16922.936</v>
      </c>
      <c r="U65" s="18" t="n">
        <f aca="false">SUBTOTAL(9,U38:U64)</f>
        <v>16784.45</v>
      </c>
      <c r="V65" s="18" t="n">
        <f aca="false">SUBTOTAL(9,V38:V64)</f>
        <v>13835.745</v>
      </c>
      <c r="W65" s="18" t="n">
        <f aca="false">SUBTOTAL(9,W38:W64)</f>
        <v>15826.1</v>
      </c>
      <c r="X65" s="18" t="n">
        <f aca="false">SUBTOTAL(9,X38:X64)</f>
        <v>12401.131</v>
      </c>
      <c r="Y65" s="18" t="n">
        <f aca="false">SUBTOTAL(9,Y38:Y64)</f>
        <v>10413.71</v>
      </c>
      <c r="Z65" s="18" t="n">
        <f aca="false">SUBTOTAL(9,Z38:Z64)</f>
        <v>12237.698</v>
      </c>
      <c r="AA65" s="18" t="n">
        <f aca="false">SUBTOTAL(9,AA38:AA64)</f>
        <v>81498.834</v>
      </c>
      <c r="AB65" s="18" t="n">
        <f aca="false">SUBTOTAL(9,AB38:AB64)</f>
        <v>3540.146</v>
      </c>
      <c r="AC65" s="18" t="n">
        <f aca="false">SUBTOTAL(9,AC38:AC64)</f>
        <v>2825.821</v>
      </c>
      <c r="AD65" s="18" t="n">
        <f aca="false">SUBTOTAL(9,AD38:AD64)</f>
        <v>3103.247</v>
      </c>
      <c r="AE65" s="18" t="n">
        <f aca="false">SUBTOTAL(9,AE38:AE64)</f>
        <v>2460.957</v>
      </c>
      <c r="AF65" s="18" t="n">
        <f aca="false">SUBTOTAL(9,AF38:AF64)</f>
        <v>2041.966</v>
      </c>
      <c r="AG65" s="18" t="n">
        <f aca="false">SUBTOTAL(9,AG38:AG64)</f>
        <v>2473.547</v>
      </c>
      <c r="AH65" s="18" t="n">
        <f aca="false">SUBTOTAL(9,AH38:AH64)</f>
        <v>16445.684</v>
      </c>
    </row>
    <row r="66" customFormat="false" ht="15" hidden="false" customHeight="false" outlineLevel="2" collapsed="false">
      <c r="A66" s="8" t="s">
        <v>835</v>
      </c>
      <c r="B66" s="12" t="s">
        <v>836</v>
      </c>
      <c r="C66" s="8" t="s">
        <v>837</v>
      </c>
      <c r="D66" s="12" t="s">
        <v>838</v>
      </c>
      <c r="E66" s="16"/>
      <c r="F66" s="9" t="str">
        <f aca="false">IF($E66="","",IFERROR(INDEX(担当者マスタ!$B$2:$B$101,MATCH($E66,担当者マスタ!$A$2:$A$101,0)),"※マスタ未登録"))</f>
        <v/>
      </c>
      <c r="G66" s="11" t="n">
        <v>366.963</v>
      </c>
      <c r="H66" s="11" t="n">
        <v>485.331</v>
      </c>
      <c r="I66" s="11" t="n">
        <v>563.762</v>
      </c>
      <c r="J66" s="11" t="n">
        <v>346.413</v>
      </c>
      <c r="K66" s="11" t="n">
        <v>328.544</v>
      </c>
      <c r="L66" s="11" t="n">
        <v>397.678</v>
      </c>
      <c r="M66" s="11" t="n">
        <f aca="false">SUM(G66:L66)</f>
        <v>2488.691</v>
      </c>
      <c r="N66" s="11" t="n">
        <v>47.136</v>
      </c>
      <c r="O66" s="11" t="n">
        <v>78.137</v>
      </c>
      <c r="P66" s="11" t="n">
        <v>109.547</v>
      </c>
      <c r="Q66" s="11" t="n">
        <v>58.976</v>
      </c>
      <c r="R66" s="11" t="n">
        <v>52.488</v>
      </c>
      <c r="S66" s="11" t="n">
        <v>61.781</v>
      </c>
      <c r="T66" s="11" t="n">
        <f aca="false">SUM(N66:S66)</f>
        <v>408.065</v>
      </c>
      <c r="U66" s="11" t="n">
        <v>469.562</v>
      </c>
      <c r="V66" s="11" t="n">
        <v>378.168</v>
      </c>
      <c r="W66" s="11" t="n">
        <v>453.723</v>
      </c>
      <c r="X66" s="11" t="n">
        <v>228.174</v>
      </c>
      <c r="Y66" s="11" t="n">
        <v>234.53</v>
      </c>
      <c r="Z66" s="11" t="n">
        <v>288.65</v>
      </c>
      <c r="AA66" s="11" t="n">
        <f aca="false">SUM(U66:Z66)</f>
        <v>2052.807</v>
      </c>
      <c r="AB66" s="11" t="n">
        <v>83.318</v>
      </c>
      <c r="AC66" s="11" t="n">
        <v>64.801</v>
      </c>
      <c r="AD66" s="11" t="n">
        <v>88.114</v>
      </c>
      <c r="AE66" s="11" t="n">
        <v>44.442</v>
      </c>
      <c r="AF66" s="11" t="n">
        <v>43.204</v>
      </c>
      <c r="AG66" s="11" t="n">
        <v>55.137</v>
      </c>
      <c r="AH66" s="11" t="n">
        <f aca="false">SUM(AB66:AG66)</f>
        <v>379.016</v>
      </c>
    </row>
    <row r="67" customFormat="false" ht="15" hidden="false" customHeight="false" outlineLevel="2" collapsed="false">
      <c r="A67" s="8" t="s">
        <v>839</v>
      </c>
      <c r="B67" s="12" t="s">
        <v>840</v>
      </c>
      <c r="C67" s="8" t="s">
        <v>837</v>
      </c>
      <c r="D67" s="12" t="s">
        <v>838</v>
      </c>
      <c r="E67" s="16"/>
      <c r="F67" s="9" t="str">
        <f aca="false">IF($E67="","",IFERROR(INDEX(担当者マスタ!$B$2:$B$101,MATCH($E67,担当者マスタ!$A$2:$A$101,0)),"※マスタ未登録"))</f>
        <v/>
      </c>
      <c r="G67" s="11" t="n">
        <v>0</v>
      </c>
      <c r="H67" s="11" t="n">
        <v>0</v>
      </c>
      <c r="I67" s="11" t="n">
        <v>69.2</v>
      </c>
      <c r="J67" s="11" t="n">
        <v>0</v>
      </c>
      <c r="K67" s="11" t="n">
        <v>0</v>
      </c>
      <c r="L67" s="11" t="n">
        <v>0</v>
      </c>
      <c r="M67" s="11" t="n">
        <f aca="false">SUM(G67:L67)</f>
        <v>69.2</v>
      </c>
      <c r="N67" s="11" t="n">
        <v>0</v>
      </c>
      <c r="O67" s="11" t="n">
        <v>0</v>
      </c>
      <c r="P67" s="11" t="n">
        <v>12.8</v>
      </c>
      <c r="Q67" s="11" t="n">
        <v>0</v>
      </c>
      <c r="R67" s="11" t="n">
        <v>0</v>
      </c>
      <c r="S67" s="11" t="n">
        <v>0</v>
      </c>
      <c r="T67" s="11" t="n">
        <f aca="false">SUM(N67:S67)</f>
        <v>12.8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39</v>
      </c>
      <c r="Z67" s="11" t="n">
        <v>0</v>
      </c>
      <c r="AA67" s="11" t="n">
        <f aca="false">SUM(U67:Z67)</f>
        <v>39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9.36</v>
      </c>
      <c r="AG67" s="11" t="n">
        <v>0</v>
      </c>
      <c r="AH67" s="11" t="n">
        <f aca="false">SUM(AB67:AG67)</f>
        <v>9.36</v>
      </c>
    </row>
    <row r="68" customFormat="false" ht="15" hidden="false" customHeight="false" outlineLevel="2" collapsed="false">
      <c r="A68" s="8" t="s">
        <v>841</v>
      </c>
      <c r="B68" s="12" t="s">
        <v>842</v>
      </c>
      <c r="C68" s="8" t="s">
        <v>837</v>
      </c>
      <c r="D68" s="12" t="s">
        <v>838</v>
      </c>
      <c r="E68" s="16"/>
      <c r="F68" s="9" t="str">
        <f aca="false">IF($E68="","",IFERROR(INDEX(担当者マスタ!$B$2:$B$101,MATCH($E68,担当者マスタ!$A$2:$A$101,0)),"※マスタ未登録"))</f>
        <v/>
      </c>
      <c r="G68" s="11" t="n">
        <v>247.368</v>
      </c>
      <c r="H68" s="11" t="n">
        <v>276.246</v>
      </c>
      <c r="I68" s="11" t="n">
        <v>2.64</v>
      </c>
      <c r="J68" s="11" t="n">
        <v>269.016</v>
      </c>
      <c r="K68" s="11" t="n">
        <v>271.656</v>
      </c>
      <c r="L68" s="11" t="n">
        <v>295.305</v>
      </c>
      <c r="M68" s="11" t="n">
        <f aca="false">SUM(G68:L68)</f>
        <v>1362.231</v>
      </c>
      <c r="N68" s="11" t="n">
        <v>59.548</v>
      </c>
      <c r="O68" s="11" t="n">
        <v>84.246</v>
      </c>
      <c r="P68" s="11" t="n">
        <v>0.74</v>
      </c>
      <c r="Q68" s="11" t="n">
        <v>82.896</v>
      </c>
      <c r="R68" s="11" t="n">
        <v>83.636</v>
      </c>
      <c r="S68" s="11" t="n">
        <v>81.577</v>
      </c>
      <c r="T68" s="11" t="n">
        <f aca="false">SUM(N68:S68)</f>
        <v>392.643</v>
      </c>
      <c r="U68" s="11" t="n">
        <v>297.42</v>
      </c>
      <c r="V68" s="11" t="n">
        <v>278.942</v>
      </c>
      <c r="W68" s="11" t="n">
        <v>274.766</v>
      </c>
      <c r="X68" s="11" t="n">
        <v>269.016</v>
      </c>
      <c r="Y68" s="11" t="n">
        <v>272.526</v>
      </c>
      <c r="Z68" s="11" t="n">
        <v>269.016</v>
      </c>
      <c r="AA68" s="11" t="n">
        <f aca="false">SUM(U68:Z68)</f>
        <v>1661.686</v>
      </c>
      <c r="AB68" s="11" t="n">
        <v>84.192</v>
      </c>
      <c r="AC68" s="11" t="n">
        <v>85.002</v>
      </c>
      <c r="AD68" s="11" t="n">
        <v>84.695</v>
      </c>
      <c r="AE68" s="11" t="n">
        <v>82.896</v>
      </c>
      <c r="AF68" s="11" t="n">
        <v>83.406</v>
      </c>
      <c r="AG68" s="11" t="n">
        <v>82.896</v>
      </c>
      <c r="AH68" s="11" t="n">
        <f aca="false">SUM(AB68:AG68)</f>
        <v>503.087</v>
      </c>
    </row>
    <row r="69" customFormat="false" ht="15" hidden="false" customHeight="false" outlineLevel="2" collapsed="false">
      <c r="A69" s="8" t="s">
        <v>843</v>
      </c>
      <c r="B69" s="12" t="s">
        <v>844</v>
      </c>
      <c r="C69" s="8" t="s">
        <v>837</v>
      </c>
      <c r="D69" s="12" t="s">
        <v>838</v>
      </c>
      <c r="E69" s="16"/>
      <c r="F69" s="9" t="str">
        <f aca="false">IF($E69="","",IFERROR(INDEX(担当者マスタ!$B$2:$B$101,MATCH($E69,担当者マスタ!$A$2:$A$101,0)),"※マスタ未登録"))</f>
        <v/>
      </c>
      <c r="G69" s="11" t="n">
        <v>165.96</v>
      </c>
      <c r="H69" s="11" t="n">
        <v>318.665</v>
      </c>
      <c r="I69" s="11" t="n">
        <v>420.695</v>
      </c>
      <c r="J69" s="11" t="n">
        <v>254.22</v>
      </c>
      <c r="K69" s="11" t="n">
        <v>54.9</v>
      </c>
      <c r="L69" s="11" t="n">
        <v>54.9</v>
      </c>
      <c r="M69" s="11" t="n">
        <f aca="false">SUM(G69:L69)</f>
        <v>1269.34</v>
      </c>
      <c r="N69" s="11" t="n">
        <v>45.294</v>
      </c>
      <c r="O69" s="11" t="n">
        <v>90.387</v>
      </c>
      <c r="P69" s="11" t="n">
        <v>132.455</v>
      </c>
      <c r="Q69" s="11" t="n">
        <v>70.086</v>
      </c>
      <c r="R69" s="11" t="n">
        <v>10.17</v>
      </c>
      <c r="S69" s="11" t="n">
        <v>10.17</v>
      </c>
      <c r="T69" s="11" t="n">
        <f aca="false">SUM(N69:S69)</f>
        <v>358.562</v>
      </c>
      <c r="U69" s="11" t="n">
        <v>149.775</v>
      </c>
      <c r="V69" s="11" t="n">
        <v>347.12</v>
      </c>
      <c r="W69" s="11" t="n">
        <v>583.495</v>
      </c>
      <c r="X69" s="11" t="n">
        <v>117.295</v>
      </c>
      <c r="Y69" s="11" t="n">
        <v>109.8</v>
      </c>
      <c r="Z69" s="11" t="n">
        <v>198.3</v>
      </c>
      <c r="AA69" s="11" t="n">
        <f aca="false">SUM(U69:Z69)</f>
        <v>1505.785</v>
      </c>
      <c r="AB69" s="11" t="n">
        <v>48.871</v>
      </c>
      <c r="AC69" s="11" t="n">
        <v>89.226</v>
      </c>
      <c r="AD69" s="11" t="n">
        <v>177.828</v>
      </c>
      <c r="AE69" s="11" t="n">
        <v>38.045</v>
      </c>
      <c r="AF69" s="11" t="n">
        <v>20.34</v>
      </c>
      <c r="AG69" s="11" t="n">
        <v>41.76</v>
      </c>
      <c r="AH69" s="11" t="n">
        <f aca="false">SUM(AB69:AG69)</f>
        <v>416.07</v>
      </c>
    </row>
    <row r="70" customFormat="false" ht="15" hidden="false" customHeight="false" outlineLevel="2" collapsed="false">
      <c r="A70" s="8" t="s">
        <v>845</v>
      </c>
      <c r="B70" s="12" t="s">
        <v>846</v>
      </c>
      <c r="C70" s="8" t="s">
        <v>837</v>
      </c>
      <c r="D70" s="12" t="s">
        <v>838</v>
      </c>
      <c r="E70" s="16"/>
      <c r="F70" s="9" t="str">
        <f aca="false">IF($E70="","",IFERROR(INDEX(担当者マスタ!$B$2:$B$101,MATCH($E70,担当者マスタ!$A$2:$A$101,0)),"※マスタ未登録"))</f>
        <v/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48</v>
      </c>
      <c r="L70" s="11" t="n">
        <v>0</v>
      </c>
      <c r="M70" s="11" t="n">
        <f aca="false">SUM(G70:L70)</f>
        <v>48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13</v>
      </c>
      <c r="S70" s="11" t="n">
        <v>0</v>
      </c>
      <c r="T70" s="11" t="n">
        <f aca="false">SUM(N70:S70)</f>
        <v>13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48</v>
      </c>
      <c r="AA70" s="11" t="n">
        <f aca="false">SUM(U70:Z70)</f>
        <v>48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13</v>
      </c>
      <c r="AH70" s="11" t="n">
        <f aca="false">SUM(AB70:AG70)</f>
        <v>13</v>
      </c>
    </row>
    <row r="71" customFormat="false" ht="15" hidden="false" customHeight="false" outlineLevel="2" collapsed="false">
      <c r="A71" s="8" t="s">
        <v>847</v>
      </c>
      <c r="B71" s="12" t="s">
        <v>848</v>
      </c>
      <c r="C71" s="8" t="s">
        <v>837</v>
      </c>
      <c r="D71" s="12" t="s">
        <v>838</v>
      </c>
      <c r="E71" s="16"/>
      <c r="F71" s="9" t="str">
        <f aca="false">IF($E71="","",IFERROR(INDEX(担当者マスタ!$B$2:$B$101,MATCH($E71,担当者マスタ!$A$2:$A$101,0)),"※マスタ未登録"))</f>
        <v/>
      </c>
      <c r="G71" s="11" t="n">
        <v>37.44</v>
      </c>
      <c r="H71" s="11" t="n">
        <v>14.04</v>
      </c>
      <c r="I71" s="11" t="n">
        <v>21.84</v>
      </c>
      <c r="J71" s="11" t="n">
        <v>39</v>
      </c>
      <c r="K71" s="11" t="n">
        <v>34.32</v>
      </c>
      <c r="L71" s="11" t="n">
        <v>14.04</v>
      </c>
      <c r="M71" s="11" t="n">
        <f aca="false">SUM(G71:L71)</f>
        <v>160.68</v>
      </c>
      <c r="N71" s="11" t="n">
        <v>6.24</v>
      </c>
      <c r="O71" s="11" t="n">
        <v>2.34</v>
      </c>
      <c r="P71" s="11" t="n">
        <v>3.64</v>
      </c>
      <c r="Q71" s="11" t="n">
        <v>6.5</v>
      </c>
      <c r="R71" s="11" t="n">
        <v>5.72</v>
      </c>
      <c r="S71" s="11" t="n">
        <v>2.34</v>
      </c>
      <c r="T71" s="11" t="n">
        <f aca="false">SUM(N71:S71)</f>
        <v>26.78</v>
      </c>
      <c r="U71" s="11" t="n">
        <v>59.01</v>
      </c>
      <c r="V71" s="11" t="n">
        <v>33.72</v>
      </c>
      <c r="W71" s="11" t="n">
        <v>53.952</v>
      </c>
      <c r="X71" s="11" t="n">
        <v>26.976</v>
      </c>
      <c r="Y71" s="11" t="n">
        <v>64.068</v>
      </c>
      <c r="Z71" s="11" t="n">
        <v>0</v>
      </c>
      <c r="AA71" s="11" t="n">
        <f aca="false">SUM(U71:Z71)</f>
        <v>237.726</v>
      </c>
      <c r="AB71" s="11" t="n">
        <v>11.235</v>
      </c>
      <c r="AC71" s="11" t="n">
        <v>6.42</v>
      </c>
      <c r="AD71" s="11" t="n">
        <v>10.272</v>
      </c>
      <c r="AE71" s="11" t="n">
        <v>5.136</v>
      </c>
      <c r="AF71" s="11" t="n">
        <v>12.198</v>
      </c>
      <c r="AG71" s="11" t="n">
        <v>0</v>
      </c>
      <c r="AH71" s="11" t="n">
        <f aca="false">SUM(AB71:AG71)</f>
        <v>45.261</v>
      </c>
    </row>
    <row r="72" customFormat="false" ht="15" hidden="false" customHeight="false" outlineLevel="2" collapsed="false">
      <c r="A72" s="8" t="s">
        <v>849</v>
      </c>
      <c r="B72" s="12" t="s">
        <v>850</v>
      </c>
      <c r="C72" s="8" t="s">
        <v>837</v>
      </c>
      <c r="D72" s="12" t="s">
        <v>838</v>
      </c>
      <c r="E72" s="16"/>
      <c r="F72" s="9" t="str">
        <f aca="false">IF($E72="","",IFERROR(INDEX(担当者マスタ!$B$2:$B$101,MATCH($E72,担当者マスタ!$A$2:$A$101,0)),"※マスタ未登録"))</f>
        <v/>
      </c>
      <c r="G72" s="11" t="n">
        <v>15.82</v>
      </c>
      <c r="H72" s="11" t="n">
        <v>0</v>
      </c>
      <c r="I72" s="11" t="n">
        <v>0</v>
      </c>
      <c r="J72" s="11" t="n">
        <v>15.82</v>
      </c>
      <c r="K72" s="11" t="n">
        <v>0</v>
      </c>
      <c r="L72" s="11" t="n">
        <v>0</v>
      </c>
      <c r="M72" s="11" t="n">
        <f aca="false">SUM(G72:L72)</f>
        <v>31.64</v>
      </c>
      <c r="N72" s="11" t="n">
        <v>5.82</v>
      </c>
      <c r="O72" s="11" t="n">
        <v>0</v>
      </c>
      <c r="P72" s="11" t="n">
        <v>0</v>
      </c>
      <c r="Q72" s="11" t="n">
        <v>5.82</v>
      </c>
      <c r="R72" s="11" t="n">
        <v>0</v>
      </c>
      <c r="S72" s="11" t="n">
        <v>0</v>
      </c>
      <c r="T72" s="11" t="n">
        <f aca="false">SUM(N72:S72)</f>
        <v>11.64</v>
      </c>
      <c r="U72" s="11" t="n">
        <v>15.82</v>
      </c>
      <c r="V72" s="11" t="n">
        <v>0</v>
      </c>
      <c r="W72" s="11" t="n">
        <v>15.82</v>
      </c>
      <c r="X72" s="11" t="n">
        <v>0</v>
      </c>
      <c r="Y72" s="11" t="n">
        <v>0</v>
      </c>
      <c r="Z72" s="11" t="n">
        <v>0</v>
      </c>
      <c r="AA72" s="11" t="n">
        <f aca="false">SUM(U72:Z72)</f>
        <v>31.64</v>
      </c>
      <c r="AB72" s="11" t="n">
        <v>5.82</v>
      </c>
      <c r="AC72" s="11" t="n">
        <v>0</v>
      </c>
      <c r="AD72" s="11" t="n">
        <v>5.82</v>
      </c>
      <c r="AE72" s="11" t="n">
        <v>0</v>
      </c>
      <c r="AF72" s="11" t="n">
        <v>0</v>
      </c>
      <c r="AG72" s="11" t="n">
        <v>0</v>
      </c>
      <c r="AH72" s="11" t="n">
        <f aca="false">SUM(AB72:AG72)</f>
        <v>11.64</v>
      </c>
    </row>
    <row r="73" customFormat="false" ht="15" hidden="false" customHeight="false" outlineLevel="2" collapsed="false">
      <c r="A73" s="8" t="s">
        <v>851</v>
      </c>
      <c r="B73" s="9" t="s">
        <v>852</v>
      </c>
      <c r="C73" s="8" t="s">
        <v>837</v>
      </c>
      <c r="D73" s="12" t="s">
        <v>838</v>
      </c>
      <c r="E73" s="16"/>
      <c r="F73" s="9" t="str">
        <f aca="false">IF($E73="","",IFERROR(INDEX(担当者マスタ!$B$2:$B$101,MATCH($E73,担当者マスタ!$A$2:$A$101,0)),"※マスタ未登録"))</f>
        <v/>
      </c>
      <c r="G73" s="11" t="n">
        <v>421.73</v>
      </c>
      <c r="H73" s="11" t="n">
        <v>330.5</v>
      </c>
      <c r="I73" s="11" t="n">
        <v>712.45</v>
      </c>
      <c r="J73" s="11" t="n">
        <v>111</v>
      </c>
      <c r="K73" s="11" t="n">
        <v>384</v>
      </c>
      <c r="L73" s="11" t="n">
        <v>0</v>
      </c>
      <c r="M73" s="11" t="n">
        <f aca="false">SUM(G73:L73)</f>
        <v>1959.68</v>
      </c>
      <c r="N73" s="11" t="n">
        <v>79.25</v>
      </c>
      <c r="O73" s="11" t="n">
        <v>95.75</v>
      </c>
      <c r="P73" s="11" t="n">
        <v>140.5</v>
      </c>
      <c r="Q73" s="11" t="n">
        <v>21.25</v>
      </c>
      <c r="R73" s="11" t="n">
        <v>70.45</v>
      </c>
      <c r="S73" s="11" t="n">
        <v>0</v>
      </c>
      <c r="T73" s="11" t="n">
        <f aca="false">SUM(N73:S73)</f>
        <v>407.2</v>
      </c>
      <c r="U73" s="11" t="n">
        <v>419.5</v>
      </c>
      <c r="V73" s="11" t="n">
        <v>789.73</v>
      </c>
      <c r="W73" s="11" t="n">
        <v>1096.105</v>
      </c>
      <c r="X73" s="11" t="n">
        <v>83.775</v>
      </c>
      <c r="Y73" s="11" t="n">
        <v>104.3</v>
      </c>
      <c r="Z73" s="11" t="n">
        <v>167.5</v>
      </c>
      <c r="AA73" s="11" t="n">
        <f aca="false">SUM(U73:Z73)</f>
        <v>2660.91</v>
      </c>
      <c r="AB73" s="11" t="n">
        <v>71.7</v>
      </c>
      <c r="AC73" s="11" t="n">
        <v>102.042</v>
      </c>
      <c r="AD73" s="11" t="n">
        <v>119.285</v>
      </c>
      <c r="AE73" s="11" t="n">
        <v>30.375</v>
      </c>
      <c r="AF73" s="11" t="n">
        <v>11.97</v>
      </c>
      <c r="AG73" s="11" t="n">
        <v>37.94</v>
      </c>
      <c r="AH73" s="11" t="n">
        <f aca="false">SUM(AB73:AG73)</f>
        <v>373.312</v>
      </c>
    </row>
    <row r="74" customFormat="false" ht="15" hidden="false" customHeight="false" outlineLevel="2" collapsed="false">
      <c r="A74" s="8" t="s">
        <v>853</v>
      </c>
      <c r="B74" s="12" t="s">
        <v>854</v>
      </c>
      <c r="C74" s="8" t="s">
        <v>837</v>
      </c>
      <c r="D74" s="12" t="s">
        <v>838</v>
      </c>
      <c r="E74" s="16"/>
      <c r="F74" s="9" t="str">
        <f aca="false">IF($E74="","",IFERROR(INDEX(担当者マスタ!$B$2:$B$101,MATCH($E74,担当者マスタ!$A$2:$A$101,0)),"※マスタ未登録"))</f>
        <v/>
      </c>
      <c r="G74" s="11" t="n">
        <v>65.5</v>
      </c>
      <c r="H74" s="11" t="n">
        <v>131</v>
      </c>
      <c r="I74" s="11" t="n">
        <v>65.5</v>
      </c>
      <c r="J74" s="11" t="n">
        <v>15.6</v>
      </c>
      <c r="K74" s="11" t="n">
        <v>0</v>
      </c>
      <c r="L74" s="11" t="n">
        <v>22.2</v>
      </c>
      <c r="M74" s="11" t="n">
        <f aca="false">SUM(G74:L74)</f>
        <v>299.8</v>
      </c>
      <c r="N74" s="11" t="n">
        <v>10.5</v>
      </c>
      <c r="O74" s="11" t="n">
        <v>21</v>
      </c>
      <c r="P74" s="11" t="n">
        <v>10.5</v>
      </c>
      <c r="Q74" s="11" t="n">
        <v>2.992</v>
      </c>
      <c r="R74" s="11" t="n">
        <v>0</v>
      </c>
      <c r="S74" s="11" t="n">
        <v>4.2</v>
      </c>
      <c r="T74" s="11" t="n">
        <f aca="false">SUM(N74:S74)</f>
        <v>49.192</v>
      </c>
      <c r="U74" s="11" t="n">
        <v>130.725</v>
      </c>
      <c r="V74" s="11" t="n">
        <v>74</v>
      </c>
      <c r="W74" s="11" t="n">
        <v>37</v>
      </c>
      <c r="X74" s="11" t="n">
        <v>0</v>
      </c>
      <c r="Y74" s="11" t="n">
        <v>0</v>
      </c>
      <c r="Z74" s="11" t="n">
        <v>0</v>
      </c>
      <c r="AA74" s="11" t="n">
        <f aca="false">SUM(U74:Z74)</f>
        <v>241.725</v>
      </c>
      <c r="AB74" s="11" t="n">
        <v>21.775</v>
      </c>
      <c r="AC74" s="11" t="n">
        <v>12</v>
      </c>
      <c r="AD74" s="11" t="n">
        <v>6</v>
      </c>
      <c r="AE74" s="11" t="n">
        <v>0</v>
      </c>
      <c r="AF74" s="11" t="n">
        <v>0</v>
      </c>
      <c r="AG74" s="11" t="n">
        <v>0</v>
      </c>
      <c r="AH74" s="11" t="n">
        <f aca="false">SUM(AB74:AG74)</f>
        <v>39.775</v>
      </c>
    </row>
    <row r="75" customFormat="false" ht="15" hidden="false" customHeight="false" outlineLevel="2" collapsed="false">
      <c r="A75" s="8" t="s">
        <v>855</v>
      </c>
      <c r="B75" s="12" t="s">
        <v>856</v>
      </c>
      <c r="C75" s="8" t="s">
        <v>837</v>
      </c>
      <c r="D75" s="12" t="s">
        <v>838</v>
      </c>
      <c r="E75" s="16"/>
      <c r="F75" s="9" t="str">
        <f aca="false">IF($E75="","",IFERROR(INDEX(担当者マスタ!$B$2:$B$101,MATCH($E75,担当者マスタ!$A$2:$A$101,0)),"※マスタ未登録"))</f>
        <v/>
      </c>
      <c r="G75" s="11" t="n">
        <v>85.68</v>
      </c>
      <c r="H75" s="11" t="n">
        <v>0</v>
      </c>
      <c r="I75" s="11" t="n">
        <v>165.024</v>
      </c>
      <c r="J75" s="11" t="n">
        <v>0</v>
      </c>
      <c r="K75" s="11" t="n">
        <v>0</v>
      </c>
      <c r="L75" s="11" t="n">
        <v>0</v>
      </c>
      <c r="M75" s="11" t="n">
        <f aca="false">SUM(G75:L75)</f>
        <v>250.704</v>
      </c>
      <c r="N75" s="11" t="n">
        <v>22.32</v>
      </c>
      <c r="O75" s="11" t="n">
        <v>0</v>
      </c>
      <c r="P75" s="11" t="n">
        <v>39.024</v>
      </c>
      <c r="Q75" s="11" t="n">
        <v>0</v>
      </c>
      <c r="R75" s="11" t="n">
        <v>0</v>
      </c>
      <c r="S75" s="11" t="n">
        <v>0</v>
      </c>
      <c r="T75" s="11" t="n">
        <f aca="false">SUM(N75:S75)</f>
        <v>61.344</v>
      </c>
      <c r="U75" s="11" t="n">
        <v>27.36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f aca="false">SUM(U75:Z75)</f>
        <v>27.36</v>
      </c>
      <c r="AB75" s="11" t="n">
        <v>6.48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f aca="false">SUM(AB75:AG75)</f>
        <v>6.48</v>
      </c>
    </row>
    <row r="76" customFormat="false" ht="15" hidden="false" customHeight="false" outlineLevel="2" collapsed="false">
      <c r="A76" s="8" t="s">
        <v>857</v>
      </c>
      <c r="B76" s="12" t="s">
        <v>858</v>
      </c>
      <c r="C76" s="8" t="s">
        <v>837</v>
      </c>
      <c r="D76" s="12" t="s">
        <v>838</v>
      </c>
      <c r="E76" s="16"/>
      <c r="F76" s="9" t="str">
        <f aca="false">IF($E76="","",IFERROR(INDEX(担当者マスタ!$B$2:$B$101,MATCH($E76,担当者マスタ!$A$2:$A$101,0)),"※マスタ未登録"))</f>
        <v/>
      </c>
      <c r="G76" s="11" t="n">
        <v>0</v>
      </c>
      <c r="H76" s="11" t="n">
        <v>0</v>
      </c>
      <c r="I76" s="11" t="n">
        <v>28.73</v>
      </c>
      <c r="J76" s="11" t="n">
        <v>0</v>
      </c>
      <c r="K76" s="11" t="n">
        <v>0</v>
      </c>
      <c r="L76" s="11" t="n">
        <v>0</v>
      </c>
      <c r="M76" s="11" t="n">
        <f aca="false">SUM(G76:L76)</f>
        <v>28.73</v>
      </c>
      <c r="N76" s="11" t="n">
        <v>0</v>
      </c>
      <c r="O76" s="11" t="n">
        <v>0</v>
      </c>
      <c r="P76" s="11" t="n">
        <v>6.186</v>
      </c>
      <c r="Q76" s="11" t="n">
        <v>0</v>
      </c>
      <c r="R76" s="11" t="n">
        <v>0</v>
      </c>
      <c r="S76" s="11" t="n">
        <v>0</v>
      </c>
      <c r="T76" s="11" t="n">
        <f aca="false">SUM(N76:S76)</f>
        <v>6.186</v>
      </c>
      <c r="U76" s="11" t="n">
        <v>0</v>
      </c>
      <c r="V76" s="11" t="n">
        <v>0</v>
      </c>
      <c r="W76" s="11" t="n">
        <v>14.73</v>
      </c>
      <c r="X76" s="11" t="n">
        <v>0</v>
      </c>
      <c r="Y76" s="11" t="n">
        <v>0</v>
      </c>
      <c r="Z76" s="11" t="n">
        <v>0</v>
      </c>
      <c r="AA76" s="11" t="n">
        <f aca="false">SUM(U76:Z76)</f>
        <v>14.73</v>
      </c>
      <c r="AB76" s="11" t="n">
        <v>0</v>
      </c>
      <c r="AC76" s="11" t="n">
        <v>0</v>
      </c>
      <c r="AD76" s="11" t="n">
        <v>3.186</v>
      </c>
      <c r="AE76" s="11" t="n">
        <v>0</v>
      </c>
      <c r="AF76" s="11" t="n">
        <v>0</v>
      </c>
      <c r="AG76" s="11" t="n">
        <v>0</v>
      </c>
      <c r="AH76" s="11" t="n">
        <f aca="false">SUM(AB76:AG76)</f>
        <v>3.186</v>
      </c>
    </row>
    <row r="77" customFormat="false" ht="15" hidden="false" customHeight="false" outlineLevel="2" collapsed="false">
      <c r="A77" s="8" t="s">
        <v>859</v>
      </c>
      <c r="B77" s="12" t="s">
        <v>860</v>
      </c>
      <c r="C77" s="8" t="s">
        <v>837</v>
      </c>
      <c r="D77" s="12" t="s">
        <v>838</v>
      </c>
      <c r="E77" s="16"/>
      <c r="F77" s="9" t="str">
        <f aca="false">IF($E77="","",IFERROR(INDEX(担当者マスタ!$B$2:$B$101,MATCH($E77,担当者マスタ!$A$2:$A$101,0)),"※マスタ未登録"))</f>
        <v/>
      </c>
      <c r="G77" s="11" t="n">
        <v>0</v>
      </c>
      <c r="H77" s="11" t="n">
        <v>0</v>
      </c>
      <c r="I77" s="11" t="n">
        <v>31.92</v>
      </c>
      <c r="J77" s="11" t="n">
        <v>0</v>
      </c>
      <c r="K77" s="11" t="n">
        <v>0</v>
      </c>
      <c r="L77" s="11" t="n">
        <v>0</v>
      </c>
      <c r="M77" s="11" t="n">
        <f aca="false">SUM(G77:L77)</f>
        <v>31.92</v>
      </c>
      <c r="N77" s="11" t="n">
        <v>0</v>
      </c>
      <c r="O77" s="11" t="n">
        <v>0</v>
      </c>
      <c r="P77" s="11" t="n">
        <v>9.318</v>
      </c>
      <c r="Q77" s="11" t="n">
        <v>0</v>
      </c>
      <c r="R77" s="11" t="n">
        <v>0</v>
      </c>
      <c r="S77" s="11" t="n">
        <v>0</v>
      </c>
      <c r="T77" s="11" t="n">
        <f aca="false">SUM(N77:S77)</f>
        <v>9.318</v>
      </c>
      <c r="U77" s="11" t="n">
        <v>0</v>
      </c>
      <c r="V77" s="11" t="n">
        <v>0</v>
      </c>
      <c r="W77" s="11" t="n">
        <v>3.15</v>
      </c>
      <c r="X77" s="11" t="n">
        <v>12.47</v>
      </c>
      <c r="Y77" s="11" t="n">
        <v>0</v>
      </c>
      <c r="Z77" s="11" t="n">
        <v>0</v>
      </c>
      <c r="AA77" s="11" t="n">
        <f aca="false">SUM(U77:Z77)</f>
        <v>15.62</v>
      </c>
      <c r="AB77" s="11" t="n">
        <v>0</v>
      </c>
      <c r="AC77" s="11" t="n">
        <v>0</v>
      </c>
      <c r="AD77" s="11" t="n">
        <v>0.861</v>
      </c>
      <c r="AE77" s="11" t="n">
        <v>3.988</v>
      </c>
      <c r="AF77" s="11" t="n">
        <v>0</v>
      </c>
      <c r="AG77" s="11" t="n">
        <v>0</v>
      </c>
      <c r="AH77" s="11" t="n">
        <f aca="false">SUM(AB77:AG77)</f>
        <v>4.849</v>
      </c>
    </row>
    <row r="78" customFormat="false" ht="15" hidden="false" customHeight="false" outlineLevel="2" collapsed="false">
      <c r="A78" s="8" t="s">
        <v>861</v>
      </c>
      <c r="B78" s="12" t="s">
        <v>862</v>
      </c>
      <c r="C78" s="8" t="s">
        <v>837</v>
      </c>
      <c r="D78" s="12" t="s">
        <v>838</v>
      </c>
      <c r="E78" s="16"/>
      <c r="F78" s="9" t="str">
        <f aca="false">IF($E78="","",IFERROR(INDEX(担当者マスタ!$B$2:$B$101,MATCH($E78,担当者マスタ!$A$2:$A$101,0)),"※マスタ未登録"))</f>
        <v/>
      </c>
      <c r="G78" s="11" t="n">
        <v>0</v>
      </c>
      <c r="H78" s="11" t="n">
        <v>24.5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f aca="false">SUM(G78:L78)</f>
        <v>24.5</v>
      </c>
      <c r="N78" s="11" t="n">
        <v>0</v>
      </c>
      <c r="O78" s="11" t="n">
        <v>4.7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f aca="false">SUM(N78:S78)</f>
        <v>4.7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f aca="false">SUM(U78:Z78)</f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f aca="false">SUM(AB78:AG78)</f>
        <v>0</v>
      </c>
    </row>
    <row r="79" customFormat="false" ht="15" hidden="false" customHeight="false" outlineLevel="2" collapsed="false">
      <c r="A79" s="8" t="s">
        <v>863</v>
      </c>
      <c r="B79" s="12" t="s">
        <v>864</v>
      </c>
      <c r="C79" s="8" t="s">
        <v>837</v>
      </c>
      <c r="D79" s="12" t="s">
        <v>838</v>
      </c>
      <c r="E79" s="16"/>
      <c r="F79" s="9" t="str">
        <f aca="false">IF($E79="","",IFERROR(INDEX(担当者マスタ!$B$2:$B$101,MATCH($E79,担当者マスタ!$A$2:$A$101,0)),"※マスタ未登録"))</f>
        <v/>
      </c>
      <c r="G79" s="11" t="n">
        <v>309.766</v>
      </c>
      <c r="H79" s="11" t="n">
        <v>367.499</v>
      </c>
      <c r="I79" s="11" t="n">
        <v>585.816</v>
      </c>
      <c r="J79" s="11" t="n">
        <v>245.348</v>
      </c>
      <c r="K79" s="11" t="n">
        <v>651.548</v>
      </c>
      <c r="L79" s="11" t="n">
        <v>314.53</v>
      </c>
      <c r="M79" s="11" t="n">
        <f aca="false">SUM(G79:L79)</f>
        <v>2474.507</v>
      </c>
      <c r="N79" s="11" t="n">
        <v>26.028</v>
      </c>
      <c r="O79" s="11" t="n">
        <v>33.503</v>
      </c>
      <c r="P79" s="11" t="n">
        <v>62.136</v>
      </c>
      <c r="Q79" s="11" t="n">
        <v>31.554</v>
      </c>
      <c r="R79" s="11" t="n">
        <v>82.972</v>
      </c>
      <c r="S79" s="11" t="n">
        <v>36.012</v>
      </c>
      <c r="T79" s="11" t="n">
        <f aca="false">SUM(N79:S79)</f>
        <v>272.205</v>
      </c>
      <c r="U79" s="11" t="n">
        <v>456.12</v>
      </c>
      <c r="V79" s="11" t="n">
        <v>775.688</v>
      </c>
      <c r="W79" s="11" t="n">
        <v>682.288</v>
      </c>
      <c r="X79" s="11" t="n">
        <v>412.553</v>
      </c>
      <c r="Y79" s="11" t="n">
        <v>263.54</v>
      </c>
      <c r="Z79" s="11" t="n">
        <v>559.52</v>
      </c>
      <c r="AA79" s="11" t="n">
        <f aca="false">SUM(U79:Z79)</f>
        <v>3149.709</v>
      </c>
      <c r="AB79" s="11" t="n">
        <v>47.606</v>
      </c>
      <c r="AC79" s="11" t="n">
        <v>103.512</v>
      </c>
      <c r="AD79" s="11" t="n">
        <v>75.994</v>
      </c>
      <c r="AE79" s="11" t="n">
        <v>45.534</v>
      </c>
      <c r="AF79" s="11" t="n">
        <v>26.862</v>
      </c>
      <c r="AG79" s="11" t="n">
        <v>64.012</v>
      </c>
      <c r="AH79" s="11" t="n">
        <f aca="false">SUM(AB79:AG79)</f>
        <v>363.52</v>
      </c>
    </row>
    <row r="80" customFormat="false" ht="15" hidden="false" customHeight="false" outlineLevel="2" collapsed="false">
      <c r="A80" s="8" t="s">
        <v>865</v>
      </c>
      <c r="B80" s="12" t="s">
        <v>866</v>
      </c>
      <c r="C80" s="8" t="s">
        <v>837</v>
      </c>
      <c r="D80" s="12" t="s">
        <v>838</v>
      </c>
      <c r="E80" s="16"/>
      <c r="F80" s="9" t="str">
        <f aca="false">IF($E80="","",IFERROR(INDEX(担当者マスタ!$B$2:$B$101,MATCH($E80,担当者マスタ!$A$2:$A$101,0)),"※マスタ未登録"))</f>
        <v/>
      </c>
      <c r="G80" s="11" t="n">
        <v>0</v>
      </c>
      <c r="H80" s="11" t="n">
        <v>0</v>
      </c>
      <c r="I80" s="11" t="n">
        <v>8.55</v>
      </c>
      <c r="J80" s="11" t="n">
        <v>0</v>
      </c>
      <c r="K80" s="11" t="n">
        <v>2.7</v>
      </c>
      <c r="L80" s="11" t="n">
        <v>2.693</v>
      </c>
      <c r="M80" s="11" t="n">
        <f aca="false">SUM(G80:L80)</f>
        <v>13.943</v>
      </c>
      <c r="N80" s="11" t="n">
        <v>0</v>
      </c>
      <c r="O80" s="11" t="n">
        <v>0</v>
      </c>
      <c r="P80" s="11" t="n">
        <v>1.239</v>
      </c>
      <c r="Q80" s="11" t="n">
        <v>0</v>
      </c>
      <c r="R80" s="11" t="n">
        <v>0.426</v>
      </c>
      <c r="S80" s="11" t="n">
        <v>0.42</v>
      </c>
      <c r="T80" s="11" t="n">
        <f aca="false">SUM(N80:S80)</f>
        <v>2.085</v>
      </c>
      <c r="U80" s="11" t="n">
        <v>3.6</v>
      </c>
      <c r="V80" s="11" t="n">
        <v>0</v>
      </c>
      <c r="W80" s="11" t="n">
        <v>34.283</v>
      </c>
      <c r="X80" s="11" t="n">
        <v>0</v>
      </c>
      <c r="Y80" s="11" t="n">
        <v>22.95</v>
      </c>
      <c r="Z80" s="11" t="n">
        <v>0</v>
      </c>
      <c r="AA80" s="11" t="n">
        <f aca="false">SUM(U80:Z80)</f>
        <v>60.833</v>
      </c>
      <c r="AB80" s="11" t="n">
        <v>0.513</v>
      </c>
      <c r="AC80" s="11" t="n">
        <v>0</v>
      </c>
      <c r="AD80" s="11" t="n">
        <v>5.375</v>
      </c>
      <c r="AE80" s="11" t="n">
        <v>0</v>
      </c>
      <c r="AF80" s="11" t="n">
        <v>3.06</v>
      </c>
      <c r="AG80" s="11" t="n">
        <v>0</v>
      </c>
      <c r="AH80" s="11" t="n">
        <f aca="false">SUM(AB80:AG80)</f>
        <v>8.948</v>
      </c>
    </row>
    <row r="81" customFormat="false" ht="15" hidden="false" customHeight="false" outlineLevel="2" collapsed="false">
      <c r="A81" s="8" t="s">
        <v>867</v>
      </c>
      <c r="B81" s="12" t="s">
        <v>868</v>
      </c>
      <c r="C81" s="8" t="s">
        <v>837</v>
      </c>
      <c r="D81" s="12" t="s">
        <v>838</v>
      </c>
      <c r="E81" s="16"/>
      <c r="F81" s="9" t="str">
        <f aca="false">IF($E81="","",IFERROR(INDEX(担当者マスタ!$B$2:$B$101,MATCH($E81,担当者マスタ!$A$2:$A$101,0)),"※マスタ未登録"))</f>
        <v/>
      </c>
      <c r="G81" s="11" t="n">
        <v>74.64</v>
      </c>
      <c r="H81" s="11" t="n">
        <v>45.54</v>
      </c>
      <c r="I81" s="11" t="n">
        <v>45.54</v>
      </c>
      <c r="J81" s="11" t="n">
        <v>53.13</v>
      </c>
      <c r="K81" s="11" t="n">
        <v>67.05</v>
      </c>
      <c r="L81" s="11" t="n">
        <v>45.54</v>
      </c>
      <c r="M81" s="11" t="n">
        <f aca="false">SUM(G81:L81)</f>
        <v>331.44</v>
      </c>
      <c r="N81" s="11" t="n">
        <v>17.28</v>
      </c>
      <c r="O81" s="11" t="n">
        <v>7.68</v>
      </c>
      <c r="P81" s="11" t="n">
        <v>7.68</v>
      </c>
      <c r="Q81" s="11" t="n">
        <v>8.96</v>
      </c>
      <c r="R81" s="11" t="n">
        <v>16</v>
      </c>
      <c r="S81" s="11" t="n">
        <v>7.68</v>
      </c>
      <c r="T81" s="11" t="n">
        <f aca="false">SUM(N81:S81)</f>
        <v>65.28</v>
      </c>
      <c r="U81" s="11" t="n">
        <v>7.59</v>
      </c>
      <c r="V81" s="11" t="n">
        <v>7.59</v>
      </c>
      <c r="W81" s="11" t="n">
        <v>10.5</v>
      </c>
      <c r="X81" s="11" t="n">
        <v>29.81</v>
      </c>
      <c r="Y81" s="11" t="n">
        <v>0</v>
      </c>
      <c r="Z81" s="11" t="n">
        <v>0</v>
      </c>
      <c r="AA81" s="11" t="n">
        <f aca="false">SUM(U81:Z81)</f>
        <v>55.49</v>
      </c>
      <c r="AB81" s="11" t="n">
        <v>1.28</v>
      </c>
      <c r="AC81" s="11" t="n">
        <v>1.28</v>
      </c>
      <c r="AD81" s="11" t="n">
        <v>3.9</v>
      </c>
      <c r="AE81" s="11" t="n">
        <v>9.5</v>
      </c>
      <c r="AF81" s="11" t="n">
        <v>0</v>
      </c>
      <c r="AG81" s="11" t="n">
        <v>0</v>
      </c>
      <c r="AH81" s="11" t="n">
        <f aca="false">SUM(AB81:AG81)</f>
        <v>15.96</v>
      </c>
    </row>
    <row r="82" customFormat="false" ht="15" hidden="false" customHeight="false" outlineLevel="2" collapsed="false">
      <c r="A82" s="8" t="s">
        <v>869</v>
      </c>
      <c r="B82" s="12" t="s">
        <v>870</v>
      </c>
      <c r="C82" s="8" t="s">
        <v>837</v>
      </c>
      <c r="D82" s="12" t="s">
        <v>838</v>
      </c>
      <c r="E82" s="16"/>
      <c r="F82" s="9" t="str">
        <f aca="false">IF($E82="","",IFERROR(INDEX(担当者マスタ!$B$2:$B$101,MATCH($E82,担当者マスタ!$A$2:$A$101,0)),"※マスタ未登録"))</f>
        <v/>
      </c>
      <c r="G82" s="11" t="n">
        <v>0</v>
      </c>
      <c r="H82" s="11" t="n">
        <v>3.812</v>
      </c>
      <c r="I82" s="11" t="n">
        <v>0</v>
      </c>
      <c r="J82" s="11" t="n">
        <v>113.2</v>
      </c>
      <c r="K82" s="11" t="n">
        <v>140.65</v>
      </c>
      <c r="L82" s="11" t="n">
        <v>0</v>
      </c>
      <c r="M82" s="11" t="n">
        <f aca="false">SUM(G82:L82)</f>
        <v>257.662</v>
      </c>
      <c r="N82" s="11" t="n">
        <v>0</v>
      </c>
      <c r="O82" s="11" t="n">
        <v>0.762</v>
      </c>
      <c r="P82" s="11" t="n">
        <v>0</v>
      </c>
      <c r="Q82" s="11" t="n">
        <v>56.128</v>
      </c>
      <c r="R82" s="11" t="n">
        <v>65.95</v>
      </c>
      <c r="S82" s="11" t="n">
        <v>0</v>
      </c>
      <c r="T82" s="11" t="n">
        <f aca="false">SUM(N82:S82)</f>
        <v>122.84</v>
      </c>
      <c r="U82" s="11" t="n">
        <v>0</v>
      </c>
      <c r="V82" s="11" t="n">
        <v>77.24</v>
      </c>
      <c r="W82" s="11" t="n">
        <v>0</v>
      </c>
      <c r="X82" s="11" t="n">
        <v>0</v>
      </c>
      <c r="Y82" s="11" t="n">
        <v>96.53</v>
      </c>
      <c r="Z82" s="11" t="n">
        <v>0</v>
      </c>
      <c r="AA82" s="11" t="n">
        <f aca="false">SUM(U82:Z82)</f>
        <v>173.77</v>
      </c>
      <c r="AB82" s="11" t="n">
        <v>0</v>
      </c>
      <c r="AC82" s="11" t="n">
        <v>28.82</v>
      </c>
      <c r="AD82" s="11" t="n">
        <v>0</v>
      </c>
      <c r="AE82" s="11" t="n">
        <v>0</v>
      </c>
      <c r="AF82" s="11" t="n">
        <v>47.82</v>
      </c>
      <c r="AG82" s="11" t="n">
        <v>0</v>
      </c>
      <c r="AH82" s="11" t="n">
        <f aca="false">SUM(AB82:AG82)</f>
        <v>76.64</v>
      </c>
    </row>
    <row r="83" customFormat="false" ht="15" hidden="false" customHeight="false" outlineLevel="2" collapsed="false">
      <c r="A83" s="8" t="s">
        <v>871</v>
      </c>
      <c r="B83" s="12" t="s">
        <v>872</v>
      </c>
      <c r="C83" s="8" t="s">
        <v>837</v>
      </c>
      <c r="D83" s="12" t="s">
        <v>838</v>
      </c>
      <c r="E83" s="16"/>
      <c r="F83" s="9" t="str">
        <f aca="false">IF($E83="","",IFERROR(INDEX(担当者マスタ!$B$2:$B$101,MATCH($E83,担当者マスタ!$A$2:$A$101,0)),"※マスタ未登録"))</f>
        <v/>
      </c>
      <c r="G83" s="11" t="n">
        <v>611.99</v>
      </c>
      <c r="H83" s="11" t="n">
        <v>519.553</v>
      </c>
      <c r="I83" s="11" t="n">
        <v>408.274</v>
      </c>
      <c r="J83" s="11" t="n">
        <v>106.402</v>
      </c>
      <c r="K83" s="11" t="n">
        <v>81.706</v>
      </c>
      <c r="L83" s="11" t="n">
        <v>718.868</v>
      </c>
      <c r="M83" s="11" t="n">
        <f aca="false">SUM(G83:L83)</f>
        <v>2446.793</v>
      </c>
      <c r="N83" s="11" t="n">
        <v>114.764</v>
      </c>
      <c r="O83" s="11" t="n">
        <v>110.81</v>
      </c>
      <c r="P83" s="11" t="n">
        <v>82.808</v>
      </c>
      <c r="Q83" s="11" t="n">
        <v>15.83</v>
      </c>
      <c r="R83" s="11" t="n">
        <v>16.65</v>
      </c>
      <c r="S83" s="11" t="n">
        <v>165.984</v>
      </c>
      <c r="T83" s="11" t="n">
        <f aca="false">SUM(N83:S83)</f>
        <v>506.846</v>
      </c>
      <c r="U83" s="11" t="n">
        <v>1152.67</v>
      </c>
      <c r="V83" s="11" t="n">
        <v>2106.432</v>
      </c>
      <c r="W83" s="11" t="n">
        <v>2083.14</v>
      </c>
      <c r="X83" s="11" t="n">
        <v>917.745</v>
      </c>
      <c r="Y83" s="11" t="n">
        <v>605.41</v>
      </c>
      <c r="Z83" s="11" t="n">
        <v>951.92</v>
      </c>
      <c r="AA83" s="11" t="n">
        <f aca="false">SUM(U83:Z83)</f>
        <v>7817.317</v>
      </c>
      <c r="AB83" s="11" t="n">
        <v>221.742</v>
      </c>
      <c r="AC83" s="11" t="n">
        <v>599.757</v>
      </c>
      <c r="AD83" s="11" t="n">
        <v>422.474</v>
      </c>
      <c r="AE83" s="11" t="n">
        <v>176.412</v>
      </c>
      <c r="AF83" s="11" t="n">
        <v>97.108</v>
      </c>
      <c r="AG83" s="11" t="n">
        <v>165.549</v>
      </c>
      <c r="AH83" s="11" t="n">
        <f aca="false">SUM(AB83:AG83)</f>
        <v>1683.042</v>
      </c>
    </row>
    <row r="84" customFormat="false" ht="15" hidden="false" customHeight="false" outlineLevel="2" collapsed="false">
      <c r="A84" s="8" t="s">
        <v>873</v>
      </c>
      <c r="B84" s="12" t="s">
        <v>874</v>
      </c>
      <c r="C84" s="8" t="s">
        <v>837</v>
      </c>
      <c r="D84" s="12" t="s">
        <v>838</v>
      </c>
      <c r="E84" s="16"/>
      <c r="F84" s="9" t="str">
        <f aca="false">IF($E84="","",IFERROR(INDEX(担当者マスタ!$B$2:$B$101,MATCH($E84,担当者マスタ!$A$2:$A$101,0)),"※マスタ未登録"))</f>
        <v/>
      </c>
      <c r="G84" s="11" t="n">
        <v>49.25</v>
      </c>
      <c r="H84" s="11" t="n">
        <v>414.77</v>
      </c>
      <c r="I84" s="11" t="n">
        <v>371.499</v>
      </c>
      <c r="J84" s="11" t="n">
        <v>11.25</v>
      </c>
      <c r="K84" s="11" t="n">
        <v>0</v>
      </c>
      <c r="L84" s="11" t="n">
        <v>333.75</v>
      </c>
      <c r="M84" s="11" t="n">
        <f aca="false">SUM(G84:L84)</f>
        <v>1180.519</v>
      </c>
      <c r="N84" s="11" t="n">
        <v>17.45</v>
      </c>
      <c r="O84" s="11" t="n">
        <v>124.67</v>
      </c>
      <c r="P84" s="11" t="n">
        <v>75.194</v>
      </c>
      <c r="Q84" s="11" t="n">
        <v>1.75</v>
      </c>
      <c r="R84" s="11" t="n">
        <v>0</v>
      </c>
      <c r="S84" s="11" t="n">
        <v>53.25</v>
      </c>
      <c r="T84" s="11" t="n">
        <f aca="false">SUM(N84:S84)</f>
        <v>272.314</v>
      </c>
      <c r="U84" s="11" t="n">
        <v>79.2</v>
      </c>
      <c r="V84" s="11" t="n">
        <v>0</v>
      </c>
      <c r="W84" s="11" t="n">
        <v>165.924</v>
      </c>
      <c r="X84" s="11" t="n">
        <v>0</v>
      </c>
      <c r="Y84" s="11" t="n">
        <v>0</v>
      </c>
      <c r="Z84" s="11" t="n">
        <v>0</v>
      </c>
      <c r="AA84" s="11" t="n">
        <f aca="false">SUM(U84:Z84)</f>
        <v>245.124</v>
      </c>
      <c r="AB84" s="11" t="n">
        <v>11.7</v>
      </c>
      <c r="AC84" s="11" t="n">
        <v>0</v>
      </c>
      <c r="AD84" s="11" t="n">
        <v>24.511</v>
      </c>
      <c r="AE84" s="11" t="n">
        <v>0</v>
      </c>
      <c r="AF84" s="11" t="n">
        <v>0</v>
      </c>
      <c r="AG84" s="11" t="n">
        <v>0</v>
      </c>
      <c r="AH84" s="11" t="n">
        <f aca="false">SUM(AB84:AG84)</f>
        <v>36.211</v>
      </c>
    </row>
    <row r="85" customFormat="false" ht="15" hidden="false" customHeight="false" outlineLevel="2" collapsed="false">
      <c r="A85" s="8" t="s">
        <v>875</v>
      </c>
      <c r="B85" s="12" t="s">
        <v>876</v>
      </c>
      <c r="C85" s="8" t="s">
        <v>837</v>
      </c>
      <c r="D85" s="12" t="s">
        <v>838</v>
      </c>
      <c r="E85" s="16"/>
      <c r="F85" s="9" t="str">
        <f aca="false">IF($E85="","",IFERROR(INDEX(担当者マスタ!$B$2:$B$101,MATCH($E85,担当者マスタ!$A$2:$A$101,0)),"※マスタ未登録"))</f>
        <v/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13.35</v>
      </c>
      <c r="M85" s="11" t="n">
        <f aca="false">SUM(G85:L85)</f>
        <v>13.35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1.8</v>
      </c>
      <c r="T85" s="11" t="n">
        <f aca="false">SUM(N85:S85)</f>
        <v>1.8</v>
      </c>
      <c r="U85" s="11" t="n">
        <v>0</v>
      </c>
      <c r="V85" s="11" t="n">
        <v>5.34</v>
      </c>
      <c r="W85" s="11" t="n">
        <v>0</v>
      </c>
      <c r="X85" s="11" t="n">
        <v>0</v>
      </c>
      <c r="Y85" s="11" t="n">
        <v>5.34</v>
      </c>
      <c r="Z85" s="11" t="n">
        <v>0</v>
      </c>
      <c r="AA85" s="11" t="n">
        <f aca="false">SUM(U85:Z85)</f>
        <v>10.68</v>
      </c>
      <c r="AB85" s="11" t="n">
        <v>0</v>
      </c>
      <c r="AC85" s="11" t="n">
        <v>0.48</v>
      </c>
      <c r="AD85" s="11" t="n">
        <v>0</v>
      </c>
      <c r="AE85" s="11" t="n">
        <v>0</v>
      </c>
      <c r="AF85" s="11" t="n">
        <v>0.48</v>
      </c>
      <c r="AG85" s="11" t="n">
        <v>0</v>
      </c>
      <c r="AH85" s="11" t="n">
        <f aca="false">SUM(AB85:AG85)</f>
        <v>0.96</v>
      </c>
    </row>
    <row r="86" customFormat="false" ht="15" hidden="false" customHeight="false" outlineLevel="2" collapsed="false">
      <c r="A86" s="8" t="s">
        <v>877</v>
      </c>
      <c r="B86" s="12" t="s">
        <v>878</v>
      </c>
      <c r="C86" s="8" t="s">
        <v>837</v>
      </c>
      <c r="D86" s="12" t="s">
        <v>838</v>
      </c>
      <c r="E86" s="16"/>
      <c r="F86" s="9" t="str">
        <f aca="false">IF($E86="","",IFERROR(INDEX(担当者マスタ!$B$2:$B$101,MATCH($E86,担当者マスタ!$A$2:$A$101,0)),"※マスタ未登録"))</f>
        <v/>
      </c>
      <c r="G86" s="11" t="n">
        <v>342.113</v>
      </c>
      <c r="H86" s="11" t="n">
        <v>1012.67</v>
      </c>
      <c r="I86" s="11" t="n">
        <v>1303.729</v>
      </c>
      <c r="J86" s="11" t="n">
        <v>326.231</v>
      </c>
      <c r="K86" s="11" t="n">
        <v>214.726</v>
      </c>
      <c r="L86" s="11" t="n">
        <v>383.952</v>
      </c>
      <c r="M86" s="11" t="n">
        <f aca="false">SUM(G86:L86)</f>
        <v>3583.421</v>
      </c>
      <c r="N86" s="11" t="n">
        <v>60.019</v>
      </c>
      <c r="O86" s="11" t="n">
        <v>211.383</v>
      </c>
      <c r="P86" s="11" t="n">
        <v>325.611</v>
      </c>
      <c r="Q86" s="11" t="n">
        <v>53.188</v>
      </c>
      <c r="R86" s="11" t="n">
        <v>45.397</v>
      </c>
      <c r="S86" s="11" t="n">
        <v>81.569</v>
      </c>
      <c r="T86" s="11" t="n">
        <f aca="false">SUM(N86:S86)</f>
        <v>777.167</v>
      </c>
      <c r="U86" s="11" t="n">
        <v>335.589</v>
      </c>
      <c r="V86" s="11" t="n">
        <v>909.746</v>
      </c>
      <c r="W86" s="11" t="n">
        <v>1350.024</v>
      </c>
      <c r="X86" s="11" t="n">
        <v>172.384</v>
      </c>
      <c r="Y86" s="11" t="n">
        <v>263.94</v>
      </c>
      <c r="Z86" s="11" t="n">
        <v>170.024</v>
      </c>
      <c r="AA86" s="11" t="n">
        <f aca="false">SUM(U86:Z86)</f>
        <v>3201.707</v>
      </c>
      <c r="AB86" s="11" t="n">
        <v>60.284</v>
      </c>
      <c r="AC86" s="11" t="n">
        <v>211.006</v>
      </c>
      <c r="AD86" s="11" t="n">
        <v>334.05</v>
      </c>
      <c r="AE86" s="11" t="n">
        <v>20.485</v>
      </c>
      <c r="AF86" s="11" t="n">
        <v>46.62</v>
      </c>
      <c r="AG86" s="11" t="n">
        <v>24.386</v>
      </c>
      <c r="AH86" s="11" t="n">
        <f aca="false">SUM(AB86:AG86)</f>
        <v>696.831</v>
      </c>
    </row>
    <row r="87" customFormat="false" ht="15" hidden="false" customHeight="false" outlineLevel="2" collapsed="false">
      <c r="A87" s="8" t="s">
        <v>879</v>
      </c>
      <c r="B87" s="12" t="s">
        <v>880</v>
      </c>
      <c r="C87" s="8" t="s">
        <v>837</v>
      </c>
      <c r="D87" s="12" t="s">
        <v>838</v>
      </c>
      <c r="E87" s="16"/>
      <c r="F87" s="9" t="str">
        <f aca="false">IF($E87="","",IFERROR(INDEX(担当者マスタ!$B$2:$B$101,MATCH($E87,担当者マスタ!$A$2:$A$101,0)),"※マスタ未登録"))</f>
        <v/>
      </c>
      <c r="G87" s="11" t="n">
        <v>88.66</v>
      </c>
      <c r="H87" s="11" t="n">
        <v>0</v>
      </c>
      <c r="I87" s="11" t="n">
        <v>93.656</v>
      </c>
      <c r="J87" s="11" t="n">
        <v>82.28</v>
      </c>
      <c r="K87" s="11" t="n">
        <v>103.875</v>
      </c>
      <c r="L87" s="11" t="n">
        <v>10.96</v>
      </c>
      <c r="M87" s="11" t="n">
        <f aca="false">SUM(G87:L87)</f>
        <v>379.431</v>
      </c>
      <c r="N87" s="11" t="n">
        <v>7.39</v>
      </c>
      <c r="O87" s="11" t="n">
        <v>0</v>
      </c>
      <c r="P87" s="11" t="n">
        <v>6.072</v>
      </c>
      <c r="Q87" s="11" t="n">
        <v>5.236</v>
      </c>
      <c r="R87" s="11" t="n">
        <v>8.25</v>
      </c>
      <c r="S87" s="11" t="n">
        <v>0.36</v>
      </c>
      <c r="T87" s="11" t="n">
        <f aca="false">SUM(N87:S87)</f>
        <v>27.308</v>
      </c>
      <c r="U87" s="11" t="n">
        <v>91.48</v>
      </c>
      <c r="V87" s="11" t="n">
        <v>0</v>
      </c>
      <c r="W87" s="11" t="n">
        <v>98.39</v>
      </c>
      <c r="X87" s="11" t="n">
        <v>12.28</v>
      </c>
      <c r="Y87" s="11" t="n">
        <v>100.855</v>
      </c>
      <c r="Z87" s="11" t="n">
        <v>0</v>
      </c>
      <c r="AA87" s="11" t="n">
        <f aca="false">SUM(U87:Z87)</f>
        <v>303.005</v>
      </c>
      <c r="AB87" s="11" t="n">
        <v>6.72</v>
      </c>
      <c r="AC87" s="11" t="n">
        <v>0</v>
      </c>
      <c r="AD87" s="11" t="n">
        <v>7.814</v>
      </c>
      <c r="AE87" s="11" t="n">
        <v>1.68</v>
      </c>
      <c r="AF87" s="11" t="n">
        <v>8.009</v>
      </c>
      <c r="AG87" s="11" t="n">
        <v>0</v>
      </c>
      <c r="AH87" s="11" t="n">
        <f aca="false">SUM(AB87:AG87)</f>
        <v>24.223</v>
      </c>
    </row>
    <row r="88" customFormat="false" ht="15" hidden="false" customHeight="false" outlineLevel="2" collapsed="false">
      <c r="A88" s="8" t="s">
        <v>881</v>
      </c>
      <c r="B88" s="9" t="s">
        <v>882</v>
      </c>
      <c r="C88" s="8" t="s">
        <v>837</v>
      </c>
      <c r="D88" s="12" t="s">
        <v>838</v>
      </c>
      <c r="E88" s="16"/>
      <c r="F88" s="9" t="str">
        <f aca="false">IF($E88="","",IFERROR(INDEX(担当者マスタ!$B$2:$B$101,MATCH($E88,担当者マスタ!$A$2:$A$101,0)),"※マスタ未登録"))</f>
        <v/>
      </c>
      <c r="G88" s="11" t="n">
        <v>9.75</v>
      </c>
      <c r="H88" s="11" t="n">
        <v>5.67</v>
      </c>
      <c r="I88" s="11" t="n">
        <v>0</v>
      </c>
      <c r="J88" s="11" t="n">
        <v>7.315</v>
      </c>
      <c r="K88" s="11" t="n">
        <v>5.804</v>
      </c>
      <c r="L88" s="11" t="n">
        <v>5.67</v>
      </c>
      <c r="M88" s="11" t="n">
        <f aca="false">SUM(G88:L88)</f>
        <v>34.209</v>
      </c>
      <c r="N88" s="11" t="n">
        <v>3.39</v>
      </c>
      <c r="O88" s="11" t="n">
        <v>2.19</v>
      </c>
      <c r="P88" s="11" t="n">
        <v>0</v>
      </c>
      <c r="Q88" s="11" t="n">
        <v>2.66</v>
      </c>
      <c r="R88" s="11" t="n">
        <v>2.024</v>
      </c>
      <c r="S88" s="11" t="n">
        <v>2.19</v>
      </c>
      <c r="T88" s="11" t="n">
        <f aca="false">SUM(N88:S88)</f>
        <v>12.454</v>
      </c>
      <c r="U88" s="11" t="n">
        <v>10.32</v>
      </c>
      <c r="V88" s="11" t="n">
        <v>5.67</v>
      </c>
      <c r="W88" s="11" t="n">
        <v>0</v>
      </c>
      <c r="X88" s="11" t="n">
        <v>7.56</v>
      </c>
      <c r="Y88" s="11" t="n">
        <v>0</v>
      </c>
      <c r="Z88" s="11" t="n">
        <v>5.67</v>
      </c>
      <c r="AA88" s="11" t="n">
        <f aca="false">SUM(U88:Z88)</f>
        <v>29.22</v>
      </c>
      <c r="AB88" s="11" t="n">
        <v>3.96</v>
      </c>
      <c r="AC88" s="11" t="n">
        <v>2.19</v>
      </c>
      <c r="AD88" s="11" t="n">
        <v>0</v>
      </c>
      <c r="AE88" s="11" t="n">
        <v>2.92</v>
      </c>
      <c r="AF88" s="11" t="n">
        <v>0</v>
      </c>
      <c r="AG88" s="11" t="n">
        <v>2.19</v>
      </c>
      <c r="AH88" s="11" t="n">
        <f aca="false">SUM(AB88:AG88)</f>
        <v>11.26</v>
      </c>
    </row>
    <row r="89" customFormat="false" ht="15" hidden="false" customHeight="false" outlineLevel="2" collapsed="false">
      <c r="A89" s="8" t="s">
        <v>883</v>
      </c>
      <c r="B89" s="12" t="s">
        <v>884</v>
      </c>
      <c r="C89" s="8" t="s">
        <v>837</v>
      </c>
      <c r="D89" s="12" t="s">
        <v>838</v>
      </c>
      <c r="E89" s="16"/>
      <c r="F89" s="9" t="str">
        <f aca="false">IF($E89="","",IFERROR(INDEX(担当者マスタ!$B$2:$B$101,MATCH($E89,担当者マスタ!$A$2:$A$101,0)),"※マスタ未登録"))</f>
        <v/>
      </c>
      <c r="G89" s="11" t="n">
        <v>313.576</v>
      </c>
      <c r="H89" s="11" t="n">
        <v>86.904</v>
      </c>
      <c r="I89" s="11" t="n">
        <v>122.94</v>
      </c>
      <c r="J89" s="11" t="n">
        <v>220.52</v>
      </c>
      <c r="K89" s="11" t="n">
        <v>199.242</v>
      </c>
      <c r="L89" s="11" t="n">
        <v>315.82</v>
      </c>
      <c r="M89" s="11" t="n">
        <f aca="false">SUM(G89:L89)</f>
        <v>1259.002</v>
      </c>
      <c r="N89" s="11" t="n">
        <v>28.315</v>
      </c>
      <c r="O89" s="11" t="n">
        <v>5.16</v>
      </c>
      <c r="P89" s="11" t="n">
        <v>10.32</v>
      </c>
      <c r="Q89" s="11" t="n">
        <v>20.19</v>
      </c>
      <c r="R89" s="11" t="n">
        <v>22.252</v>
      </c>
      <c r="S89" s="11" t="n">
        <v>46.44</v>
      </c>
      <c r="T89" s="11" t="n">
        <f aca="false">SUM(N89:S89)</f>
        <v>132.677</v>
      </c>
      <c r="U89" s="11" t="n">
        <v>301.86</v>
      </c>
      <c r="V89" s="11" t="n">
        <v>18.96</v>
      </c>
      <c r="W89" s="11" t="n">
        <v>256.6</v>
      </c>
      <c r="X89" s="11" t="n">
        <v>164.08</v>
      </c>
      <c r="Y89" s="11" t="n">
        <v>215.89</v>
      </c>
      <c r="Z89" s="11" t="n">
        <v>398.22</v>
      </c>
      <c r="AA89" s="11" t="n">
        <f aca="false">SUM(U89:Z89)</f>
        <v>1355.61</v>
      </c>
      <c r="AB89" s="11" t="n">
        <v>43.54</v>
      </c>
      <c r="AC89" s="11" t="n">
        <v>2.58</v>
      </c>
      <c r="AD89" s="11" t="n">
        <v>37.48</v>
      </c>
      <c r="AE89" s="11" t="n">
        <v>23.51</v>
      </c>
      <c r="AF89" s="11" t="n">
        <v>33.39</v>
      </c>
      <c r="AG89" s="11" t="n">
        <v>60.53</v>
      </c>
      <c r="AH89" s="11" t="n">
        <f aca="false">SUM(AB89:AG89)</f>
        <v>201.03</v>
      </c>
    </row>
    <row r="90" customFormat="false" ht="15" hidden="false" customHeight="false" outlineLevel="2" collapsed="false">
      <c r="A90" s="8" t="s">
        <v>885</v>
      </c>
      <c r="B90" s="12" t="s">
        <v>886</v>
      </c>
      <c r="C90" s="8" t="s">
        <v>837</v>
      </c>
      <c r="D90" s="12" t="s">
        <v>838</v>
      </c>
      <c r="E90" s="16"/>
      <c r="F90" s="9" t="str">
        <f aca="false">IF($E90="","",IFERROR(INDEX(担当者マスタ!$B$2:$B$101,MATCH($E90,担当者マスタ!$A$2:$A$101,0)),"※マスタ未登録"))</f>
        <v/>
      </c>
      <c r="G90" s="11" t="n">
        <v>0</v>
      </c>
      <c r="H90" s="11" t="n">
        <v>0</v>
      </c>
      <c r="I90" s="11" t="n">
        <v>258</v>
      </c>
      <c r="J90" s="11" t="n">
        <v>0</v>
      </c>
      <c r="K90" s="11" t="n">
        <v>0</v>
      </c>
      <c r="L90" s="11" t="n">
        <v>0</v>
      </c>
      <c r="M90" s="11" t="n">
        <f aca="false">SUM(G90:L90)</f>
        <v>258</v>
      </c>
      <c r="N90" s="11" t="n">
        <v>0</v>
      </c>
      <c r="O90" s="11" t="n">
        <v>0</v>
      </c>
      <c r="P90" s="11" t="n">
        <v>40</v>
      </c>
      <c r="Q90" s="11" t="n">
        <v>0</v>
      </c>
      <c r="R90" s="11" t="n">
        <v>0</v>
      </c>
      <c r="S90" s="11" t="n">
        <v>0</v>
      </c>
      <c r="T90" s="11" t="n">
        <f aca="false">SUM(N90:S90)</f>
        <v>40</v>
      </c>
      <c r="U90" s="11" t="n">
        <v>0</v>
      </c>
      <c r="V90" s="11" t="n">
        <v>258</v>
      </c>
      <c r="W90" s="11" t="n">
        <v>0</v>
      </c>
      <c r="X90" s="11" t="n">
        <v>0</v>
      </c>
      <c r="Y90" s="11" t="n">
        <v>0</v>
      </c>
      <c r="Z90" s="11" t="n">
        <v>0</v>
      </c>
      <c r="AA90" s="11" t="n">
        <f aca="false">SUM(U90:Z90)</f>
        <v>258</v>
      </c>
      <c r="AB90" s="11" t="n">
        <v>0</v>
      </c>
      <c r="AC90" s="11" t="n">
        <v>40</v>
      </c>
      <c r="AD90" s="11" t="n">
        <v>0</v>
      </c>
      <c r="AE90" s="11" t="n">
        <v>0</v>
      </c>
      <c r="AF90" s="11" t="n">
        <v>0</v>
      </c>
      <c r="AG90" s="11" t="n">
        <v>0</v>
      </c>
      <c r="AH90" s="11" t="n">
        <f aca="false">SUM(AB90:AG90)</f>
        <v>40</v>
      </c>
    </row>
    <row r="91" customFormat="false" ht="15" hidden="false" customHeight="false" outlineLevel="2" collapsed="false">
      <c r="A91" s="8" t="s">
        <v>887</v>
      </c>
      <c r="B91" s="12" t="s">
        <v>888</v>
      </c>
      <c r="C91" s="8" t="s">
        <v>837</v>
      </c>
      <c r="D91" s="12" t="s">
        <v>838</v>
      </c>
      <c r="E91" s="16"/>
      <c r="F91" s="9" t="str">
        <f aca="false">IF($E91="","",IFERROR(INDEX(担当者マスタ!$B$2:$B$101,MATCH($E91,担当者マスタ!$A$2:$A$101,0)),"※マスタ未登録"))</f>
        <v/>
      </c>
      <c r="G91" s="11" t="n">
        <v>178.836</v>
      </c>
      <c r="H91" s="11" t="n">
        <v>169.398</v>
      </c>
      <c r="I91" s="11" t="n">
        <v>68.204</v>
      </c>
      <c r="J91" s="11" t="n">
        <v>292.468</v>
      </c>
      <c r="K91" s="11" t="n">
        <v>161.84</v>
      </c>
      <c r="L91" s="11" t="n">
        <v>271.142</v>
      </c>
      <c r="M91" s="11" t="n">
        <f aca="false">SUM(G91:L91)</f>
        <v>1141.888</v>
      </c>
      <c r="N91" s="11" t="n">
        <v>12.012</v>
      </c>
      <c r="O91" s="11" t="n">
        <v>11.758</v>
      </c>
      <c r="P91" s="11" t="n">
        <v>4.484</v>
      </c>
      <c r="Q91" s="11" t="n">
        <v>19.228</v>
      </c>
      <c r="R91" s="11" t="n">
        <v>10.64</v>
      </c>
      <c r="S91" s="11" t="n">
        <v>18.092</v>
      </c>
      <c r="T91" s="11" t="n">
        <f aca="false">SUM(N91:S91)</f>
        <v>76.214</v>
      </c>
      <c r="U91" s="11" t="n">
        <v>195.756</v>
      </c>
      <c r="V91" s="11" t="n">
        <v>77.64</v>
      </c>
      <c r="W91" s="11" t="n">
        <v>36.232</v>
      </c>
      <c r="X91" s="11" t="n">
        <v>326.45</v>
      </c>
      <c r="Y91" s="11" t="n">
        <v>241.978</v>
      </c>
      <c r="Z91" s="11" t="n">
        <v>307.152</v>
      </c>
      <c r="AA91" s="11" t="n">
        <f aca="false">SUM(U91:Z91)</f>
        <v>1185.208</v>
      </c>
      <c r="AB91" s="11" t="n">
        <v>32.346</v>
      </c>
      <c r="AC91" s="11" t="n">
        <v>12.84</v>
      </c>
      <c r="AD91" s="11" t="n">
        <v>5.992</v>
      </c>
      <c r="AE91" s="11" t="n">
        <v>53.96</v>
      </c>
      <c r="AF91" s="11" t="n">
        <v>40.018</v>
      </c>
      <c r="AG91" s="11" t="n">
        <v>50.582</v>
      </c>
      <c r="AH91" s="11" t="n">
        <f aca="false">SUM(AB91:AG91)</f>
        <v>195.738</v>
      </c>
    </row>
    <row r="92" customFormat="false" ht="15" hidden="false" customHeight="false" outlineLevel="2" collapsed="false">
      <c r="A92" s="8" t="s">
        <v>889</v>
      </c>
      <c r="B92" s="12" t="s">
        <v>890</v>
      </c>
      <c r="C92" s="8" t="s">
        <v>837</v>
      </c>
      <c r="D92" s="12" t="s">
        <v>838</v>
      </c>
      <c r="E92" s="16"/>
      <c r="F92" s="9" t="str">
        <f aca="false">IF($E92="","",IFERROR(INDEX(担当者マスタ!$B$2:$B$101,MATCH($E92,担当者マスタ!$A$2:$A$101,0)),"※マスタ未登録"))</f>
        <v/>
      </c>
      <c r="G92" s="11" t="n">
        <v>63.215</v>
      </c>
      <c r="H92" s="11" t="n">
        <v>68.27</v>
      </c>
      <c r="I92" s="11" t="n">
        <v>68.243</v>
      </c>
      <c r="J92" s="11" t="n">
        <v>51.874</v>
      </c>
      <c r="K92" s="11" t="n">
        <v>47.193</v>
      </c>
      <c r="L92" s="11" t="n">
        <v>79.995</v>
      </c>
      <c r="M92" s="11" t="n">
        <f aca="false">SUM(G92:L92)</f>
        <v>378.79</v>
      </c>
      <c r="N92" s="11" t="n">
        <v>13.583</v>
      </c>
      <c r="O92" s="11" t="n">
        <v>12.547</v>
      </c>
      <c r="P92" s="11" t="n">
        <v>13.444</v>
      </c>
      <c r="Q92" s="11" t="n">
        <v>10.163</v>
      </c>
      <c r="R92" s="11" t="n">
        <v>9.394</v>
      </c>
      <c r="S92" s="11" t="n">
        <v>16.477</v>
      </c>
      <c r="T92" s="11" t="n">
        <f aca="false">SUM(N92:S92)</f>
        <v>75.608</v>
      </c>
      <c r="U92" s="11" t="n">
        <v>56.326</v>
      </c>
      <c r="V92" s="11" t="n">
        <v>53.705</v>
      </c>
      <c r="W92" s="11" t="n">
        <v>47.471</v>
      </c>
      <c r="X92" s="11" t="n">
        <v>53.293</v>
      </c>
      <c r="Y92" s="11" t="n">
        <v>54.328</v>
      </c>
      <c r="Z92" s="11" t="n">
        <v>65.614</v>
      </c>
      <c r="AA92" s="11" t="n">
        <f aca="false">SUM(U92:Z92)</f>
        <v>330.737</v>
      </c>
      <c r="AB92" s="11" t="n">
        <v>12.759</v>
      </c>
      <c r="AC92" s="11" t="n">
        <v>12.093</v>
      </c>
      <c r="AD92" s="11" t="n">
        <v>10.285</v>
      </c>
      <c r="AE92" s="11" t="n">
        <v>11.856</v>
      </c>
      <c r="AF92" s="11" t="n">
        <v>11.822</v>
      </c>
      <c r="AG92" s="11" t="n">
        <v>15.225</v>
      </c>
      <c r="AH92" s="11" t="n">
        <f aca="false">SUM(AB92:AG92)</f>
        <v>74.04</v>
      </c>
    </row>
    <row r="93" customFormat="false" ht="15" hidden="false" customHeight="false" outlineLevel="2" collapsed="false">
      <c r="A93" s="8" t="s">
        <v>891</v>
      </c>
      <c r="B93" s="12" t="s">
        <v>892</v>
      </c>
      <c r="C93" s="8" t="s">
        <v>837</v>
      </c>
      <c r="D93" s="12" t="s">
        <v>838</v>
      </c>
      <c r="E93" s="16"/>
      <c r="F93" s="9" t="str">
        <f aca="false">IF($E93="","",IFERROR(INDEX(担当者マスタ!$B$2:$B$101,MATCH($E93,担当者マスタ!$A$2:$A$101,0)),"※マスタ未登録"))</f>
        <v/>
      </c>
      <c r="G93" s="11" t="n">
        <v>145.5</v>
      </c>
      <c r="H93" s="11" t="n">
        <v>129.959</v>
      </c>
      <c r="I93" s="11" t="n">
        <v>21.147</v>
      </c>
      <c r="J93" s="11" t="n">
        <v>0</v>
      </c>
      <c r="K93" s="11" t="n">
        <v>51.477</v>
      </c>
      <c r="L93" s="11" t="n">
        <v>63</v>
      </c>
      <c r="M93" s="11" t="n">
        <f aca="false">SUM(G93:L93)</f>
        <v>411.083</v>
      </c>
      <c r="N93" s="11" t="n">
        <v>16.852</v>
      </c>
      <c r="O93" s="11" t="n">
        <v>8.757</v>
      </c>
      <c r="P93" s="11" t="n">
        <v>0.201</v>
      </c>
      <c r="Q93" s="11" t="n">
        <v>0</v>
      </c>
      <c r="R93" s="11" t="n">
        <v>0.346</v>
      </c>
      <c r="S93" s="11" t="n">
        <v>4.7</v>
      </c>
      <c r="T93" s="11" t="n">
        <f aca="false">SUM(N93:S93)</f>
        <v>30.856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31</v>
      </c>
      <c r="Z93" s="11" t="n">
        <v>0</v>
      </c>
      <c r="AA93" s="11" t="n">
        <f aca="false">SUM(U93:Z93)</f>
        <v>31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4.5</v>
      </c>
      <c r="AG93" s="11" t="n">
        <v>0</v>
      </c>
      <c r="AH93" s="11" t="n">
        <f aca="false">SUM(AB93:AG93)</f>
        <v>4.5</v>
      </c>
    </row>
    <row r="94" customFormat="false" ht="15" hidden="false" customHeight="false" outlineLevel="2" collapsed="false">
      <c r="A94" s="8" t="s">
        <v>893</v>
      </c>
      <c r="B94" s="12" t="s">
        <v>894</v>
      </c>
      <c r="C94" s="8" t="s">
        <v>837</v>
      </c>
      <c r="D94" s="12" t="s">
        <v>838</v>
      </c>
      <c r="E94" s="16"/>
      <c r="F94" s="9" t="str">
        <f aca="false">IF($E94="","",IFERROR(INDEX(担当者マスタ!$B$2:$B$101,MATCH($E94,担当者マスタ!$A$2:$A$101,0)),"※マスタ未登録"))</f>
        <v/>
      </c>
      <c r="G94" s="11" t="n">
        <v>3413.659</v>
      </c>
      <c r="H94" s="11" t="n">
        <v>2878.371</v>
      </c>
      <c r="I94" s="11" t="n">
        <v>2889.125</v>
      </c>
      <c r="J94" s="11" t="n">
        <v>2278.591</v>
      </c>
      <c r="K94" s="11" t="n">
        <v>2776.758</v>
      </c>
      <c r="L94" s="11" t="n">
        <v>3616.93</v>
      </c>
      <c r="M94" s="11" t="n">
        <f aca="false">SUM(G94:L94)</f>
        <v>17853.434</v>
      </c>
      <c r="N94" s="11" t="n">
        <v>729.401</v>
      </c>
      <c r="O94" s="11" t="n">
        <v>618.292</v>
      </c>
      <c r="P94" s="11" t="n">
        <v>589.868</v>
      </c>
      <c r="Q94" s="11" t="n">
        <v>476.95</v>
      </c>
      <c r="R94" s="11" t="n">
        <v>561.433</v>
      </c>
      <c r="S94" s="11" t="n">
        <v>721.275</v>
      </c>
      <c r="T94" s="11" t="n">
        <f aca="false">SUM(N94:S94)</f>
        <v>3697.219</v>
      </c>
      <c r="U94" s="11" t="n">
        <v>3304.785</v>
      </c>
      <c r="V94" s="11" t="n">
        <v>3694.48</v>
      </c>
      <c r="W94" s="11" t="n">
        <v>3558.45</v>
      </c>
      <c r="X94" s="11" t="n">
        <v>3835.395</v>
      </c>
      <c r="Y94" s="11" t="n">
        <v>3306.8</v>
      </c>
      <c r="Z94" s="11" t="n">
        <v>2831.865</v>
      </c>
      <c r="AA94" s="11" t="n">
        <f aca="false">SUM(U94:Z94)</f>
        <v>20531.775</v>
      </c>
      <c r="AB94" s="11" t="n">
        <v>672.231</v>
      </c>
      <c r="AC94" s="11" t="n">
        <v>762.105</v>
      </c>
      <c r="AD94" s="11" t="n">
        <v>691.557</v>
      </c>
      <c r="AE94" s="11" t="n">
        <v>762.369</v>
      </c>
      <c r="AF94" s="11" t="n">
        <v>647.826</v>
      </c>
      <c r="AG94" s="11" t="n">
        <v>593.485</v>
      </c>
      <c r="AH94" s="11" t="n">
        <f aca="false">SUM(AB94:AG94)</f>
        <v>4129.573</v>
      </c>
    </row>
    <row r="95" customFormat="false" ht="15" hidden="false" customHeight="false" outlineLevel="2" collapsed="false">
      <c r="A95" s="8" t="s">
        <v>895</v>
      </c>
      <c r="B95" s="12" t="s">
        <v>896</v>
      </c>
      <c r="C95" s="8" t="s">
        <v>837</v>
      </c>
      <c r="D95" s="12" t="s">
        <v>838</v>
      </c>
      <c r="E95" s="16"/>
      <c r="F95" s="9" t="str">
        <f aca="false">IF($E95="","",IFERROR(INDEX(担当者マスタ!$B$2:$B$101,MATCH($E95,担当者マスタ!$A$2:$A$101,0)),"※マスタ未登録"))</f>
        <v/>
      </c>
      <c r="G95" s="11" t="n">
        <v>0</v>
      </c>
      <c r="H95" s="11" t="n">
        <v>0</v>
      </c>
      <c r="I95" s="11" t="n">
        <v>0</v>
      </c>
      <c r="J95" s="11" t="n">
        <v>265.644</v>
      </c>
      <c r="K95" s="11" t="n">
        <v>0</v>
      </c>
      <c r="L95" s="11" t="n">
        <v>0</v>
      </c>
      <c r="M95" s="11" t="n">
        <f aca="false">SUM(G95:L95)</f>
        <v>265.644</v>
      </c>
      <c r="N95" s="11" t="n">
        <v>0</v>
      </c>
      <c r="O95" s="11" t="n">
        <v>0</v>
      </c>
      <c r="P95" s="11" t="n">
        <v>0</v>
      </c>
      <c r="Q95" s="11" t="n">
        <v>86.052</v>
      </c>
      <c r="R95" s="11" t="n">
        <v>0</v>
      </c>
      <c r="S95" s="11" t="n">
        <v>0</v>
      </c>
      <c r="T95" s="11" t="n">
        <f aca="false">SUM(N95:S95)</f>
        <v>86.052</v>
      </c>
      <c r="U95" s="11" t="n">
        <v>0</v>
      </c>
      <c r="V95" s="11" t="n">
        <v>0</v>
      </c>
      <c r="W95" s="11" t="n">
        <v>0</v>
      </c>
      <c r="X95" s="11" t="n">
        <v>83.325</v>
      </c>
      <c r="Y95" s="11" t="n">
        <v>0</v>
      </c>
      <c r="Z95" s="11" t="n">
        <v>240.396</v>
      </c>
      <c r="AA95" s="11" t="n">
        <f aca="false">SUM(U95:Z95)</f>
        <v>323.721</v>
      </c>
      <c r="AB95" s="11" t="n">
        <v>0</v>
      </c>
      <c r="AC95" s="11" t="n">
        <v>0</v>
      </c>
      <c r="AD95" s="11" t="n">
        <v>0</v>
      </c>
      <c r="AE95" s="11" t="n">
        <v>14.645</v>
      </c>
      <c r="AF95" s="11" t="n">
        <v>0</v>
      </c>
      <c r="AG95" s="11" t="n">
        <v>78.54</v>
      </c>
      <c r="AH95" s="11" t="n">
        <f aca="false">SUM(AB95:AG95)</f>
        <v>93.185</v>
      </c>
    </row>
    <row r="96" customFormat="false" ht="15" hidden="false" customHeight="false" outlineLevel="2" collapsed="false">
      <c r="A96" s="8" t="s">
        <v>897</v>
      </c>
      <c r="B96" s="12" t="s">
        <v>898</v>
      </c>
      <c r="C96" s="8" t="s">
        <v>837</v>
      </c>
      <c r="D96" s="12" t="s">
        <v>838</v>
      </c>
      <c r="E96" s="16"/>
      <c r="F96" s="9" t="str">
        <f aca="false">IF($E96="","",IFERROR(INDEX(担当者マスタ!$B$2:$B$101,MATCH($E96,担当者マスタ!$A$2:$A$101,0)),"※マスタ未登録"))</f>
        <v/>
      </c>
      <c r="G96" s="11" t="n">
        <v>890.25</v>
      </c>
      <c r="H96" s="11" t="n">
        <v>1132.86</v>
      </c>
      <c r="I96" s="11" t="n">
        <v>1264.969</v>
      </c>
      <c r="J96" s="11" t="n">
        <v>1028.299</v>
      </c>
      <c r="K96" s="11" t="n">
        <v>518.458</v>
      </c>
      <c r="L96" s="11" t="n">
        <v>639.3</v>
      </c>
      <c r="M96" s="11" t="n">
        <f aca="false">SUM(G96:L96)</f>
        <v>5474.136</v>
      </c>
      <c r="N96" s="11" t="n">
        <v>146.65</v>
      </c>
      <c r="O96" s="11" t="n">
        <v>185.43</v>
      </c>
      <c r="P96" s="11" t="n">
        <v>210.41</v>
      </c>
      <c r="Q96" s="11" t="n">
        <v>172.33</v>
      </c>
      <c r="R96" s="11" t="n">
        <v>84.767</v>
      </c>
      <c r="S96" s="11" t="n">
        <v>107.86</v>
      </c>
      <c r="T96" s="11" t="n">
        <f aca="false">SUM(N96:S96)</f>
        <v>907.447</v>
      </c>
      <c r="U96" s="11" t="n">
        <v>1095.492</v>
      </c>
      <c r="V96" s="11" t="n">
        <v>1213.355</v>
      </c>
      <c r="W96" s="11" t="n">
        <v>1294.522</v>
      </c>
      <c r="X96" s="11" t="n">
        <v>832.155</v>
      </c>
      <c r="Y96" s="11" t="n">
        <v>646.625</v>
      </c>
      <c r="Z96" s="11" t="n">
        <v>599.382</v>
      </c>
      <c r="AA96" s="11" t="n">
        <f aca="false">SUM(U96:Z96)</f>
        <v>5681.531</v>
      </c>
      <c r="AB96" s="11" t="n">
        <v>177.085</v>
      </c>
      <c r="AC96" s="11" t="n">
        <v>202.485</v>
      </c>
      <c r="AD96" s="11" t="n">
        <v>223.325</v>
      </c>
      <c r="AE96" s="11" t="n">
        <v>143.66</v>
      </c>
      <c r="AF96" s="11" t="n">
        <v>106.685</v>
      </c>
      <c r="AG96" s="11" t="n">
        <v>108.64</v>
      </c>
      <c r="AH96" s="11" t="n">
        <f aca="false">SUM(AB96:AG96)</f>
        <v>961.88</v>
      </c>
    </row>
    <row r="97" customFormat="false" ht="15" hidden="false" customHeight="false" outlineLevel="2" collapsed="false">
      <c r="A97" s="8" t="s">
        <v>899</v>
      </c>
      <c r="B97" s="12" t="s">
        <v>900</v>
      </c>
      <c r="C97" s="8" t="s">
        <v>837</v>
      </c>
      <c r="D97" s="12" t="s">
        <v>838</v>
      </c>
      <c r="E97" s="16"/>
      <c r="F97" s="9" t="str">
        <f aca="false">IF($E97="","",IFERROR(INDEX(担当者マスタ!$B$2:$B$101,MATCH($E97,担当者マスタ!$A$2:$A$101,0)),"※マスタ未登録"))</f>
        <v/>
      </c>
      <c r="G97" s="11" t="n">
        <v>1498.59</v>
      </c>
      <c r="H97" s="11" t="n">
        <v>1741.248</v>
      </c>
      <c r="I97" s="11" t="n">
        <v>1518.975</v>
      </c>
      <c r="J97" s="11" t="n">
        <v>409.326</v>
      </c>
      <c r="K97" s="11" t="n">
        <v>309.69</v>
      </c>
      <c r="L97" s="11" t="n">
        <v>177.054</v>
      </c>
      <c r="M97" s="11" t="n">
        <f aca="false">SUM(G97:L97)</f>
        <v>5654.883</v>
      </c>
      <c r="N97" s="11" t="n">
        <v>212.22</v>
      </c>
      <c r="O97" s="11" t="n">
        <v>250.858</v>
      </c>
      <c r="P97" s="11" t="n">
        <v>226.259</v>
      </c>
      <c r="Q97" s="11" t="n">
        <v>56.316</v>
      </c>
      <c r="R97" s="11" t="n">
        <v>40.5</v>
      </c>
      <c r="S97" s="11" t="n">
        <v>28.956</v>
      </c>
      <c r="T97" s="11" t="n">
        <f aca="false">SUM(N97:S97)</f>
        <v>815.109</v>
      </c>
      <c r="U97" s="11" t="n">
        <v>503.667</v>
      </c>
      <c r="V97" s="11" t="n">
        <v>256.52</v>
      </c>
      <c r="W97" s="11" t="n">
        <v>852.923</v>
      </c>
      <c r="X97" s="11" t="n">
        <v>364.835</v>
      </c>
      <c r="Y97" s="11" t="n">
        <v>185.493</v>
      </c>
      <c r="Z97" s="11" t="n">
        <v>81.025</v>
      </c>
      <c r="AA97" s="11" t="n">
        <f aca="false">SUM(U97:Z97)</f>
        <v>2244.463</v>
      </c>
      <c r="AB97" s="11" t="n">
        <v>73.478</v>
      </c>
      <c r="AC97" s="11" t="n">
        <v>34.556</v>
      </c>
      <c r="AD97" s="11" t="n">
        <v>126.977</v>
      </c>
      <c r="AE97" s="11" t="n">
        <v>51.976</v>
      </c>
      <c r="AF97" s="11" t="n">
        <v>24.987</v>
      </c>
      <c r="AG97" s="11" t="n">
        <v>17.012</v>
      </c>
      <c r="AH97" s="11" t="n">
        <f aca="false">SUM(AB97:AG97)</f>
        <v>328.986</v>
      </c>
    </row>
    <row r="98" customFormat="false" ht="15" hidden="false" customHeight="false" outlineLevel="2" collapsed="false">
      <c r="A98" s="8" t="s">
        <v>901</v>
      </c>
      <c r="B98" s="12" t="s">
        <v>902</v>
      </c>
      <c r="C98" s="8" t="s">
        <v>837</v>
      </c>
      <c r="D98" s="12" t="s">
        <v>838</v>
      </c>
      <c r="E98" s="16"/>
      <c r="F98" s="9" t="str">
        <f aca="false">IF($E98="","",IFERROR(INDEX(担当者マスタ!$B$2:$B$101,MATCH($E98,担当者マスタ!$A$2:$A$101,0)),"※マスタ未登録"))</f>
        <v/>
      </c>
      <c r="G98" s="11" t="n">
        <v>47.2</v>
      </c>
      <c r="H98" s="11" t="n">
        <v>48.97</v>
      </c>
      <c r="I98" s="11" t="n">
        <v>99.826</v>
      </c>
      <c r="J98" s="11" t="n">
        <v>22.72</v>
      </c>
      <c r="K98" s="11" t="n">
        <v>36.92</v>
      </c>
      <c r="L98" s="11" t="n">
        <v>28.4</v>
      </c>
      <c r="M98" s="11" t="n">
        <f aca="false">SUM(G98:L98)</f>
        <v>284.036</v>
      </c>
      <c r="N98" s="11" t="n">
        <v>-4.4</v>
      </c>
      <c r="O98" s="11" t="n">
        <v>-4.565</v>
      </c>
      <c r="P98" s="11" t="n">
        <v>9.139</v>
      </c>
      <c r="Q98" s="11" t="n">
        <v>2.08</v>
      </c>
      <c r="R98" s="11" t="n">
        <v>3.38</v>
      </c>
      <c r="S98" s="11" t="n">
        <v>2.6</v>
      </c>
      <c r="T98" s="11" t="n">
        <f aca="false">SUM(N98:S98)</f>
        <v>8.234</v>
      </c>
      <c r="U98" s="11" t="n">
        <v>76.68</v>
      </c>
      <c r="V98" s="11" t="n">
        <v>92.726</v>
      </c>
      <c r="W98" s="11" t="n">
        <v>90.454</v>
      </c>
      <c r="X98" s="11" t="n">
        <v>32.66</v>
      </c>
      <c r="Y98" s="11" t="n">
        <v>25.56</v>
      </c>
      <c r="Z98" s="11" t="n">
        <v>36.92</v>
      </c>
      <c r="AA98" s="11" t="n">
        <f aca="false">SUM(U98:Z98)</f>
        <v>355</v>
      </c>
      <c r="AB98" s="11" t="n">
        <v>2.808</v>
      </c>
      <c r="AC98" s="11" t="n">
        <v>3.396</v>
      </c>
      <c r="AD98" s="11" t="n">
        <v>3.312</v>
      </c>
      <c r="AE98" s="11" t="n">
        <v>1.196</v>
      </c>
      <c r="AF98" s="11" t="n">
        <v>0.936</v>
      </c>
      <c r="AG98" s="11" t="n">
        <v>1.352</v>
      </c>
      <c r="AH98" s="11" t="n">
        <f aca="false">SUM(AB98:AG98)</f>
        <v>13</v>
      </c>
    </row>
    <row r="99" customFormat="false" ht="15" hidden="false" customHeight="false" outlineLevel="2" collapsed="false">
      <c r="A99" s="8" t="s">
        <v>903</v>
      </c>
      <c r="B99" s="12" t="s">
        <v>904</v>
      </c>
      <c r="C99" s="8" t="s">
        <v>837</v>
      </c>
      <c r="D99" s="12" t="s">
        <v>838</v>
      </c>
      <c r="E99" s="16"/>
      <c r="F99" s="9" t="str">
        <f aca="false">IF($E99="","",IFERROR(INDEX(担当者マスタ!$B$2:$B$101,MATCH($E99,担当者マスタ!$A$2:$A$101,0)),"※マスタ未登録"))</f>
        <v/>
      </c>
      <c r="G99" s="11" t="n">
        <v>16.96</v>
      </c>
      <c r="H99" s="11" t="n">
        <v>91.92</v>
      </c>
      <c r="I99" s="11" t="n">
        <v>91.44</v>
      </c>
      <c r="J99" s="11" t="n">
        <v>101.92</v>
      </c>
      <c r="K99" s="11" t="n">
        <v>57.39</v>
      </c>
      <c r="L99" s="11" t="n">
        <v>139.32</v>
      </c>
      <c r="M99" s="11" t="n">
        <f aca="false">SUM(G99:L99)</f>
        <v>498.95</v>
      </c>
      <c r="N99" s="11" t="n">
        <v>0.163</v>
      </c>
      <c r="O99" s="11" t="n">
        <v>9.282</v>
      </c>
      <c r="P99" s="11" t="n">
        <v>10.347</v>
      </c>
      <c r="Q99" s="11" t="n">
        <v>19.282</v>
      </c>
      <c r="R99" s="11" t="n">
        <v>11.835</v>
      </c>
      <c r="S99" s="11" t="n">
        <v>26.517</v>
      </c>
      <c r="T99" s="11" t="n">
        <f aca="false">SUM(N99:S99)</f>
        <v>77.426</v>
      </c>
      <c r="U99" s="11" t="n">
        <v>70.34</v>
      </c>
      <c r="V99" s="11" t="n">
        <v>130.87</v>
      </c>
      <c r="W99" s="11" t="n">
        <v>230.13</v>
      </c>
      <c r="X99" s="11" t="n">
        <v>55.675</v>
      </c>
      <c r="Y99" s="11" t="n">
        <v>99.48</v>
      </c>
      <c r="Z99" s="11" t="n">
        <v>175.55</v>
      </c>
      <c r="AA99" s="11" t="n">
        <f aca="false">SUM(U99:Z99)</f>
        <v>762.045</v>
      </c>
      <c r="AB99" s="11" t="n">
        <v>23.375</v>
      </c>
      <c r="AC99" s="11" t="n">
        <v>24.829</v>
      </c>
      <c r="AD99" s="11" t="n">
        <v>40.886</v>
      </c>
      <c r="AE99" s="11" t="n">
        <v>11.417</v>
      </c>
      <c r="AF99" s="11" t="n">
        <v>27.363</v>
      </c>
      <c r="AG99" s="11" t="n">
        <v>53.85</v>
      </c>
      <c r="AH99" s="11" t="n">
        <f aca="false">SUM(AB99:AG99)</f>
        <v>181.72</v>
      </c>
    </row>
    <row r="100" customFormat="false" ht="15" hidden="false" customHeight="false" outlineLevel="2" collapsed="false">
      <c r="A100" s="8" t="s">
        <v>905</v>
      </c>
      <c r="B100" s="12" t="s">
        <v>906</v>
      </c>
      <c r="C100" s="8" t="s">
        <v>837</v>
      </c>
      <c r="D100" s="12" t="s">
        <v>838</v>
      </c>
      <c r="E100" s="16"/>
      <c r="F100" s="9" t="str">
        <f aca="false">IF($E100="","",IFERROR(INDEX(担当者マスタ!$B$2:$B$101,MATCH($E100,担当者マスタ!$A$2:$A$101,0)),"※マスタ未登録"))</f>
        <v/>
      </c>
      <c r="G100" s="11" t="n">
        <v>3.9</v>
      </c>
      <c r="H100" s="11" t="n">
        <v>0</v>
      </c>
      <c r="I100" s="11" t="n">
        <v>2.428</v>
      </c>
      <c r="J100" s="11" t="n">
        <v>0</v>
      </c>
      <c r="K100" s="11" t="n">
        <v>0</v>
      </c>
      <c r="L100" s="11" t="n">
        <v>0</v>
      </c>
      <c r="M100" s="11" t="n">
        <f aca="false">SUM(G100:L100)</f>
        <v>6.328</v>
      </c>
      <c r="N100" s="11" t="n">
        <v>0.45</v>
      </c>
      <c r="O100" s="11" t="n">
        <v>0</v>
      </c>
      <c r="P100" s="11" t="n">
        <v>0.72</v>
      </c>
      <c r="Q100" s="11" t="n">
        <v>0</v>
      </c>
      <c r="R100" s="11" t="n">
        <v>0</v>
      </c>
      <c r="S100" s="11" t="n">
        <v>0</v>
      </c>
      <c r="T100" s="11" t="n">
        <f aca="false">SUM(N100:S100)</f>
        <v>1.17</v>
      </c>
      <c r="U100" s="11" t="n">
        <v>0</v>
      </c>
      <c r="V100" s="11" t="n">
        <v>0</v>
      </c>
      <c r="W100" s="11" t="n">
        <v>4.856</v>
      </c>
      <c r="X100" s="11" t="n">
        <v>0</v>
      </c>
      <c r="Y100" s="11" t="n">
        <v>0</v>
      </c>
      <c r="Z100" s="11" t="n">
        <v>0</v>
      </c>
      <c r="AA100" s="11" t="n">
        <f aca="false">SUM(U100:Z100)</f>
        <v>4.856</v>
      </c>
      <c r="AB100" s="11" t="n">
        <v>0</v>
      </c>
      <c r="AC100" s="11" t="n">
        <v>0</v>
      </c>
      <c r="AD100" s="11" t="n">
        <v>1.44</v>
      </c>
      <c r="AE100" s="11" t="n">
        <v>0</v>
      </c>
      <c r="AF100" s="11" t="n">
        <v>0</v>
      </c>
      <c r="AG100" s="11" t="n">
        <v>0</v>
      </c>
      <c r="AH100" s="11" t="n">
        <f aca="false">SUM(AB100:AG100)</f>
        <v>1.44</v>
      </c>
    </row>
    <row r="101" customFormat="false" ht="15" hidden="false" customHeight="false" outlineLevel="2" collapsed="false">
      <c r="A101" s="8" t="s">
        <v>907</v>
      </c>
      <c r="B101" s="12" t="s">
        <v>908</v>
      </c>
      <c r="C101" s="8" t="s">
        <v>837</v>
      </c>
      <c r="D101" s="12" t="s">
        <v>838</v>
      </c>
      <c r="E101" s="16"/>
      <c r="F101" s="9" t="str">
        <f aca="false">IF($E101="","",IFERROR(INDEX(担当者マスタ!$B$2:$B$101,MATCH($E101,担当者マスタ!$A$2:$A$101,0)),"※マスタ未登録"))</f>
        <v/>
      </c>
      <c r="G101" s="11" t="n">
        <v>0</v>
      </c>
      <c r="H101" s="11" t="n">
        <v>0</v>
      </c>
      <c r="I101" s="11" t="n">
        <v>0</v>
      </c>
      <c r="J101" s="11" t="n">
        <v>53.55</v>
      </c>
      <c r="K101" s="11" t="n">
        <v>0</v>
      </c>
      <c r="L101" s="11" t="n">
        <v>0</v>
      </c>
      <c r="M101" s="11" t="n">
        <f aca="false">SUM(G101:L101)</f>
        <v>53.55</v>
      </c>
      <c r="N101" s="11" t="n">
        <v>0</v>
      </c>
      <c r="O101" s="11" t="n">
        <v>0</v>
      </c>
      <c r="P101" s="11" t="n">
        <v>0</v>
      </c>
      <c r="Q101" s="11" t="n">
        <v>7.35</v>
      </c>
      <c r="R101" s="11" t="n">
        <v>0</v>
      </c>
      <c r="S101" s="11" t="n">
        <v>0</v>
      </c>
      <c r="T101" s="11" t="n">
        <f aca="false">SUM(N101:S101)</f>
        <v>7.35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f aca="false">SUM(U101:Z101)</f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f aca="false">SUM(AB101:AG101)</f>
        <v>0</v>
      </c>
    </row>
    <row r="102" customFormat="false" ht="15" hidden="false" customHeight="false" outlineLevel="2" collapsed="false">
      <c r="A102" s="8" t="s">
        <v>909</v>
      </c>
      <c r="B102" s="12" t="s">
        <v>910</v>
      </c>
      <c r="C102" s="8" t="s">
        <v>837</v>
      </c>
      <c r="D102" s="12" t="s">
        <v>838</v>
      </c>
      <c r="E102" s="16"/>
      <c r="F102" s="9" t="str">
        <f aca="false">IF($E102="","",IFERROR(INDEX(担当者マスタ!$B$2:$B$101,MATCH($E102,担当者マスタ!$A$2:$A$101,0)),"※マスタ未登録"))</f>
        <v/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f aca="false">SUM(G102:L102)</f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f aca="false">SUM(N102:S102)</f>
        <v>0</v>
      </c>
      <c r="U102" s="11" t="n">
        <v>0</v>
      </c>
      <c r="V102" s="11" t="n">
        <v>32.25</v>
      </c>
      <c r="W102" s="11" t="n">
        <v>0</v>
      </c>
      <c r="X102" s="11" t="n">
        <v>0</v>
      </c>
      <c r="Y102" s="11" t="n">
        <v>102.443</v>
      </c>
      <c r="Z102" s="11" t="n">
        <v>0</v>
      </c>
      <c r="AA102" s="11" t="n">
        <f aca="false">SUM(U102:Z102)</f>
        <v>134.693</v>
      </c>
      <c r="AB102" s="11" t="n">
        <v>0</v>
      </c>
      <c r="AC102" s="11" t="n">
        <v>5.25</v>
      </c>
      <c r="AD102" s="11" t="n">
        <v>0</v>
      </c>
      <c r="AE102" s="11" t="n">
        <v>0</v>
      </c>
      <c r="AF102" s="11" t="n">
        <v>17.172</v>
      </c>
      <c r="AG102" s="11" t="n">
        <v>0</v>
      </c>
      <c r="AH102" s="11" t="n">
        <f aca="false">SUM(AB102:AG102)</f>
        <v>22.422</v>
      </c>
    </row>
    <row r="103" customFormat="false" ht="15" hidden="false" customHeight="false" outlineLevel="2" collapsed="false">
      <c r="A103" s="8" t="s">
        <v>911</v>
      </c>
      <c r="B103" s="12" t="s">
        <v>912</v>
      </c>
      <c r="C103" s="8" t="s">
        <v>837</v>
      </c>
      <c r="D103" s="12" t="s">
        <v>838</v>
      </c>
      <c r="E103" s="16"/>
      <c r="F103" s="9" t="str">
        <f aca="false">IF($E103="","",IFERROR(INDEX(担当者マスタ!$B$2:$B$101,MATCH($E103,担当者マスタ!$A$2:$A$101,0)),"※マスタ未登録"))</f>
        <v/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f aca="false">SUM(G103:L103)</f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f aca="false">SUM(N103:S103)</f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69.75</v>
      </c>
      <c r="AA103" s="11" t="n">
        <f aca="false">SUM(U103:Z103)</f>
        <v>69.75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15.75</v>
      </c>
      <c r="AH103" s="11" t="n">
        <f aca="false">SUM(AB103:AG103)</f>
        <v>15.75</v>
      </c>
    </row>
    <row r="104" customFormat="false" ht="15" hidden="false" customHeight="false" outlineLevel="2" collapsed="false">
      <c r="A104" s="8" t="s">
        <v>913</v>
      </c>
      <c r="B104" s="12" t="s">
        <v>914</v>
      </c>
      <c r="C104" s="8" t="s">
        <v>837</v>
      </c>
      <c r="D104" s="12" t="s">
        <v>838</v>
      </c>
      <c r="E104" s="16"/>
      <c r="F104" s="9" t="str">
        <f aca="false">IF($E104="","",IFERROR(INDEX(担当者マスタ!$B$2:$B$101,MATCH($E104,担当者マスタ!$A$2:$A$101,0)),"※マスタ未登録"))</f>
        <v/>
      </c>
      <c r="G104" s="11" t="n">
        <v>0</v>
      </c>
      <c r="H104" s="11" t="n">
        <v>6.68</v>
      </c>
      <c r="I104" s="11" t="n">
        <v>6.68</v>
      </c>
      <c r="J104" s="11" t="n">
        <v>12.36</v>
      </c>
      <c r="K104" s="11" t="n">
        <v>0</v>
      </c>
      <c r="L104" s="11" t="n">
        <v>6.68</v>
      </c>
      <c r="M104" s="11" t="n">
        <f aca="false">SUM(G104:L104)</f>
        <v>32.4</v>
      </c>
      <c r="N104" s="11" t="n">
        <v>0</v>
      </c>
      <c r="O104" s="11" t="n">
        <v>0.656</v>
      </c>
      <c r="P104" s="11" t="n">
        <v>0.656</v>
      </c>
      <c r="Q104" s="11" t="n">
        <v>1.312</v>
      </c>
      <c r="R104" s="11" t="n">
        <v>0</v>
      </c>
      <c r="S104" s="11" t="n">
        <v>0.656</v>
      </c>
      <c r="T104" s="11" t="n">
        <f aca="false">SUM(N104:S104)</f>
        <v>3.28</v>
      </c>
      <c r="U104" s="11" t="n">
        <v>6.68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f aca="false">SUM(U104:Z104)</f>
        <v>6.68</v>
      </c>
      <c r="AB104" s="11" t="n">
        <v>0.656</v>
      </c>
      <c r="AC104" s="11" t="n">
        <v>0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f aca="false">SUM(AB104:AG104)</f>
        <v>0.656</v>
      </c>
    </row>
    <row r="105" customFormat="false" ht="15" hidden="false" customHeight="false" outlineLevel="1" collapsed="false">
      <c r="A105" s="19"/>
      <c r="B105" s="19"/>
      <c r="C105" s="17" t="s">
        <v>1961</v>
      </c>
      <c r="D105" s="19" t="s">
        <v>838</v>
      </c>
      <c r="E105" s="19"/>
      <c r="F105" s="19"/>
      <c r="G105" s="18" t="n">
        <f aca="false">SUBTOTAL(9,G66:G104)</f>
        <v>9464.316</v>
      </c>
      <c r="H105" s="18" t="n">
        <f aca="false">SUBTOTAL(9,H66:H104)</f>
        <v>10304.376</v>
      </c>
      <c r="I105" s="18" t="n">
        <f aca="false">SUBTOTAL(9,I66:I104)</f>
        <v>11310.802</v>
      </c>
      <c r="J105" s="18" t="n">
        <f aca="false">SUBTOTAL(9,J66:J104)</f>
        <v>6733.497</v>
      </c>
      <c r="K105" s="18" t="n">
        <f aca="false">SUBTOTAL(9,K66:K104)</f>
        <v>6548.447</v>
      </c>
      <c r="L105" s="18" t="n">
        <f aca="false">SUBTOTAL(9,L66:L104)</f>
        <v>7951.077</v>
      </c>
      <c r="M105" s="18" t="n">
        <f aca="false">SUBTOTAL(9,M66:M104)</f>
        <v>52312.515</v>
      </c>
      <c r="N105" s="18" t="n">
        <f aca="false">SUBTOTAL(9,N66:N104)</f>
        <v>1677.675</v>
      </c>
      <c r="O105" s="18" t="n">
        <f aca="false">SUBTOTAL(9,O66:O104)</f>
        <v>1965.733</v>
      </c>
      <c r="P105" s="18" t="n">
        <f aca="false">SUBTOTAL(9,P66:P104)</f>
        <v>2141.298</v>
      </c>
      <c r="Q105" s="18" t="n">
        <f aca="false">SUBTOTAL(9,Q66:Q104)</f>
        <v>1295.079</v>
      </c>
      <c r="R105" s="18" t="n">
        <f aca="false">SUBTOTAL(9,R66:R104)</f>
        <v>1217.68</v>
      </c>
      <c r="S105" s="18" t="n">
        <f aca="false">SUBTOTAL(9,S66:S104)</f>
        <v>1482.906</v>
      </c>
      <c r="T105" s="18" t="n">
        <f aca="false">SUBTOTAL(9,T66:T104)</f>
        <v>9780.371</v>
      </c>
      <c r="U105" s="18" t="n">
        <f aca="false">SUBTOTAL(9,U66:U104)</f>
        <v>9317.327</v>
      </c>
      <c r="V105" s="18" t="n">
        <f aca="false">SUBTOTAL(9,V66:V104)</f>
        <v>11617.892</v>
      </c>
      <c r="W105" s="18" t="n">
        <f aca="false">SUBTOTAL(9,W66:W104)</f>
        <v>13328.928</v>
      </c>
      <c r="X105" s="18" t="n">
        <f aca="false">SUBTOTAL(9,X66:X104)</f>
        <v>8037.906</v>
      </c>
      <c r="Y105" s="18" t="n">
        <f aca="false">SUBTOTAL(9,Y66:Y104)</f>
        <v>7092.386</v>
      </c>
      <c r="Z105" s="18" t="n">
        <f aca="false">SUBTOTAL(9,Z66:Z104)</f>
        <v>7464.474</v>
      </c>
      <c r="AA105" s="18" t="n">
        <f aca="false">SUBTOTAL(9,AA66:AA104)</f>
        <v>56858.913</v>
      </c>
      <c r="AB105" s="18" t="n">
        <f aca="false">SUBTOTAL(9,AB66:AB104)</f>
        <v>1725.474</v>
      </c>
      <c r="AC105" s="18" t="n">
        <f aca="false">SUBTOTAL(9,AC66:AC104)</f>
        <v>2406.67</v>
      </c>
      <c r="AD105" s="18" t="n">
        <f aca="false">SUBTOTAL(9,AD66:AD104)</f>
        <v>2511.433</v>
      </c>
      <c r="AE105" s="18" t="n">
        <f aca="false">SUBTOTAL(9,AE66:AE104)</f>
        <v>1536.002</v>
      </c>
      <c r="AF105" s="18" t="n">
        <f aca="false">SUBTOTAL(9,AF66:AF104)</f>
        <v>1325.136</v>
      </c>
      <c r="AG105" s="18" t="n">
        <f aca="false">SUBTOTAL(9,AG66:AG104)</f>
        <v>1481.836</v>
      </c>
      <c r="AH105" s="18" t="n">
        <f aca="false">SUBTOTAL(9,AH66:AH104)</f>
        <v>10986.551</v>
      </c>
    </row>
    <row r="106" customFormat="false" ht="15" hidden="false" customHeight="false" outlineLevel="2" collapsed="false">
      <c r="A106" s="8" t="s">
        <v>915</v>
      </c>
      <c r="B106" s="12" t="s">
        <v>916</v>
      </c>
      <c r="C106" s="8" t="s">
        <v>917</v>
      </c>
      <c r="D106" s="12" t="s">
        <v>918</v>
      </c>
      <c r="E106" s="16"/>
      <c r="F106" s="9" t="str">
        <f aca="false">IF($E106="","",IFERROR(INDEX(担当者マスタ!$B$2:$B$101,MATCH($E106,担当者マスタ!$A$2:$A$101,0)),"※マスタ未登録"))</f>
        <v/>
      </c>
      <c r="G106" s="11" t="n">
        <v>124.8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f aca="false">SUM(G106:L106)</f>
        <v>124.8</v>
      </c>
      <c r="N106" s="11" t="n">
        <v>25.2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f aca="false">SUM(N106:S106)</f>
        <v>25.2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f aca="false">SUM(U106:Z106)</f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f aca="false">SUM(AB106:AG106)</f>
        <v>0</v>
      </c>
    </row>
    <row r="107" customFormat="false" ht="15" hidden="false" customHeight="false" outlineLevel="2" collapsed="false">
      <c r="A107" s="8" t="s">
        <v>919</v>
      </c>
      <c r="B107" s="12" t="s">
        <v>920</v>
      </c>
      <c r="C107" s="8" t="s">
        <v>917</v>
      </c>
      <c r="D107" s="12" t="s">
        <v>918</v>
      </c>
      <c r="E107" s="16"/>
      <c r="F107" s="9" t="str">
        <f aca="false">IF($E107="","",IFERROR(INDEX(担当者マスタ!$B$2:$B$101,MATCH($E107,担当者マスタ!$A$2:$A$101,0)),"※マスタ未登録"))</f>
        <v/>
      </c>
      <c r="G107" s="11" t="n">
        <v>665.122</v>
      </c>
      <c r="H107" s="11" t="n">
        <v>817.387</v>
      </c>
      <c r="I107" s="11" t="n">
        <v>735.86</v>
      </c>
      <c r="J107" s="11" t="n">
        <v>537.514</v>
      </c>
      <c r="K107" s="11" t="n">
        <v>702.514</v>
      </c>
      <c r="L107" s="11" t="n">
        <v>674.366</v>
      </c>
      <c r="M107" s="11" t="n">
        <f aca="false">SUM(G107:L107)</f>
        <v>4132.763</v>
      </c>
      <c r="N107" s="11" t="n">
        <v>123.769</v>
      </c>
      <c r="O107" s="11" t="n">
        <v>142.058</v>
      </c>
      <c r="P107" s="11" t="n">
        <v>132.995</v>
      </c>
      <c r="Q107" s="11" t="n">
        <v>121.516</v>
      </c>
      <c r="R107" s="11" t="n">
        <v>150.357</v>
      </c>
      <c r="S107" s="11" t="n">
        <v>150.905</v>
      </c>
      <c r="T107" s="11" t="n">
        <f aca="false">SUM(N107:S107)</f>
        <v>821.6</v>
      </c>
      <c r="U107" s="11" t="n">
        <v>715.596</v>
      </c>
      <c r="V107" s="11" t="n">
        <v>636.368</v>
      </c>
      <c r="W107" s="11" t="n">
        <v>855.898</v>
      </c>
      <c r="X107" s="11" t="n">
        <v>698.374</v>
      </c>
      <c r="Y107" s="11" t="n">
        <v>559.842</v>
      </c>
      <c r="Z107" s="11" t="n">
        <v>571.682</v>
      </c>
      <c r="AA107" s="11" t="n">
        <f aca="false">SUM(U107:Z107)</f>
        <v>4037.76</v>
      </c>
      <c r="AB107" s="11" t="n">
        <v>160.499</v>
      </c>
      <c r="AC107" s="11" t="n">
        <v>143.332</v>
      </c>
      <c r="AD107" s="11" t="n">
        <v>175.454</v>
      </c>
      <c r="AE107" s="11" t="n">
        <v>154.087</v>
      </c>
      <c r="AF107" s="11" t="n">
        <v>128.39</v>
      </c>
      <c r="AG107" s="11" t="n">
        <v>130.987</v>
      </c>
      <c r="AH107" s="11" t="n">
        <f aca="false">SUM(AB107:AG107)</f>
        <v>892.749</v>
      </c>
    </row>
    <row r="108" customFormat="false" ht="15" hidden="false" customHeight="false" outlineLevel="2" collapsed="false">
      <c r="A108" s="8" t="s">
        <v>921</v>
      </c>
      <c r="B108" s="9" t="s">
        <v>922</v>
      </c>
      <c r="C108" s="8" t="s">
        <v>917</v>
      </c>
      <c r="D108" s="12" t="s">
        <v>918</v>
      </c>
      <c r="E108" s="16"/>
      <c r="F108" s="9" t="str">
        <f aca="false">IF($E108="","",IFERROR(INDEX(担当者マスタ!$B$2:$B$101,MATCH($E108,担当者マスタ!$A$2:$A$101,0)),"※マスタ未登録"))</f>
        <v/>
      </c>
      <c r="G108" s="11" t="n">
        <v>219.14</v>
      </c>
      <c r="H108" s="11" t="n">
        <v>217.504</v>
      </c>
      <c r="I108" s="11" t="n">
        <v>235.604</v>
      </c>
      <c r="J108" s="11" t="n">
        <v>205.244</v>
      </c>
      <c r="K108" s="11" t="n">
        <v>171.676</v>
      </c>
      <c r="L108" s="11" t="n">
        <v>228.768</v>
      </c>
      <c r="M108" s="11" t="n">
        <f aca="false">SUM(G108:L108)</f>
        <v>1277.936</v>
      </c>
      <c r="N108" s="11" t="n">
        <v>17.43</v>
      </c>
      <c r="O108" s="11" t="n">
        <v>14.52</v>
      </c>
      <c r="P108" s="11" t="n">
        <v>18.06</v>
      </c>
      <c r="Q108" s="11" t="n">
        <v>17.61</v>
      </c>
      <c r="R108" s="11" t="n">
        <v>11.316</v>
      </c>
      <c r="S108" s="11" t="n">
        <v>13.554</v>
      </c>
      <c r="T108" s="11" t="n">
        <f aca="false">SUM(N108:S108)</f>
        <v>92.49</v>
      </c>
      <c r="U108" s="11" t="n">
        <v>207.936</v>
      </c>
      <c r="V108" s="11" t="n">
        <v>184.996</v>
      </c>
      <c r="W108" s="11" t="n">
        <v>238.844</v>
      </c>
      <c r="X108" s="11" t="n">
        <v>355.316</v>
      </c>
      <c r="Y108" s="11" t="n">
        <v>165.276</v>
      </c>
      <c r="Z108" s="11" t="n">
        <v>216.468</v>
      </c>
      <c r="AA108" s="11" t="n">
        <f aca="false">SUM(U108:Z108)</f>
        <v>1368.836</v>
      </c>
      <c r="AB108" s="11" t="n">
        <v>15.804</v>
      </c>
      <c r="AC108" s="11" t="n">
        <v>18.394</v>
      </c>
      <c r="AD108" s="11" t="n">
        <v>25.142</v>
      </c>
      <c r="AE108" s="11" t="n">
        <v>47.726</v>
      </c>
      <c r="AF108" s="11" t="n">
        <v>14.454</v>
      </c>
      <c r="AG108" s="11" t="n">
        <v>18.666</v>
      </c>
      <c r="AH108" s="11" t="n">
        <f aca="false">SUM(AB108:AG108)</f>
        <v>140.186</v>
      </c>
    </row>
    <row r="109" customFormat="false" ht="15" hidden="false" customHeight="false" outlineLevel="2" collapsed="false">
      <c r="A109" s="8" t="s">
        <v>923</v>
      </c>
      <c r="B109" s="9" t="s">
        <v>924</v>
      </c>
      <c r="C109" s="8" t="s">
        <v>917</v>
      </c>
      <c r="D109" s="12" t="s">
        <v>918</v>
      </c>
      <c r="E109" s="16"/>
      <c r="F109" s="9" t="str">
        <f aca="false">IF($E109="","",IFERROR(INDEX(担当者マスタ!$B$2:$B$101,MATCH($E109,担当者マスタ!$A$2:$A$101,0)),"※マスタ未登録"))</f>
        <v/>
      </c>
      <c r="G109" s="11" t="n">
        <v>15.93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f aca="false">SUM(G109:L109)</f>
        <v>15.93</v>
      </c>
      <c r="N109" s="11" t="n">
        <v>7.05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f aca="false">SUM(N109:S109)</f>
        <v>7.05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f aca="false">SUM(U109:Z109)</f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f aca="false">SUM(AB109:AG109)</f>
        <v>0</v>
      </c>
    </row>
    <row r="110" customFormat="false" ht="15" hidden="false" customHeight="false" outlineLevel="2" collapsed="false">
      <c r="A110" s="8" t="s">
        <v>925</v>
      </c>
      <c r="B110" s="12" t="s">
        <v>926</v>
      </c>
      <c r="C110" s="8" t="s">
        <v>917</v>
      </c>
      <c r="D110" s="12" t="s">
        <v>918</v>
      </c>
      <c r="E110" s="16"/>
      <c r="F110" s="9" t="str">
        <f aca="false">IF($E110="","",IFERROR(INDEX(担当者マスタ!$B$2:$B$101,MATCH($E110,担当者マスタ!$A$2:$A$101,0)),"※マスタ未登録"))</f>
        <v/>
      </c>
      <c r="G110" s="11" t="n">
        <v>4788.995</v>
      </c>
      <c r="H110" s="11" t="n">
        <v>5349.977</v>
      </c>
      <c r="I110" s="11" t="n">
        <v>5094.784</v>
      </c>
      <c r="J110" s="11" t="n">
        <v>3711.949</v>
      </c>
      <c r="K110" s="11" t="n">
        <v>3710.683</v>
      </c>
      <c r="L110" s="11" t="n">
        <v>4119.621</v>
      </c>
      <c r="M110" s="11" t="n">
        <f aca="false">SUM(G110:L110)</f>
        <v>26776.009</v>
      </c>
      <c r="N110" s="11" t="n">
        <v>956.836</v>
      </c>
      <c r="O110" s="11" t="n">
        <v>1048.464</v>
      </c>
      <c r="P110" s="11" t="n">
        <v>1024.417</v>
      </c>
      <c r="Q110" s="11" t="n">
        <v>764.396</v>
      </c>
      <c r="R110" s="11" t="n">
        <v>765.634</v>
      </c>
      <c r="S110" s="11" t="n">
        <v>854.082</v>
      </c>
      <c r="T110" s="11" t="n">
        <f aca="false">SUM(N110:S110)</f>
        <v>5413.829</v>
      </c>
      <c r="U110" s="11" t="n">
        <v>3664.744</v>
      </c>
      <c r="V110" s="11" t="n">
        <v>3137.895</v>
      </c>
      <c r="W110" s="11" t="n">
        <v>4266.219</v>
      </c>
      <c r="X110" s="11" t="n">
        <v>3383.318</v>
      </c>
      <c r="Y110" s="11" t="n">
        <v>4358.62</v>
      </c>
      <c r="Z110" s="11" t="n">
        <v>4498.599</v>
      </c>
      <c r="AA110" s="11" t="n">
        <f aca="false">SUM(U110:Z110)</f>
        <v>23309.395</v>
      </c>
      <c r="AB110" s="11" t="n">
        <v>765.384</v>
      </c>
      <c r="AC110" s="11" t="n">
        <v>670.152</v>
      </c>
      <c r="AD110" s="11" t="n">
        <v>908.241</v>
      </c>
      <c r="AE110" s="11" t="n">
        <v>688.266</v>
      </c>
      <c r="AF110" s="11" t="n">
        <v>881.807</v>
      </c>
      <c r="AG110" s="11" t="n">
        <v>926.978</v>
      </c>
      <c r="AH110" s="11" t="n">
        <f aca="false">SUM(AB110:AG110)</f>
        <v>4840.828</v>
      </c>
    </row>
    <row r="111" customFormat="false" ht="15" hidden="false" customHeight="false" outlineLevel="2" collapsed="false">
      <c r="A111" s="8" t="s">
        <v>927</v>
      </c>
      <c r="B111" s="12" t="s">
        <v>928</v>
      </c>
      <c r="C111" s="8" t="s">
        <v>917</v>
      </c>
      <c r="D111" s="12" t="s">
        <v>918</v>
      </c>
      <c r="E111" s="16"/>
      <c r="F111" s="9" t="str">
        <f aca="false">IF($E111="","",IFERROR(INDEX(担当者マスタ!$B$2:$B$101,MATCH($E111,担当者マスタ!$A$2:$A$101,0)),"※マスタ未登録"))</f>
        <v/>
      </c>
      <c r="G111" s="11" t="n">
        <v>12.16</v>
      </c>
      <c r="H111" s="11" t="n">
        <v>6.08</v>
      </c>
      <c r="I111" s="11" t="n">
        <v>6.08</v>
      </c>
      <c r="J111" s="11" t="n">
        <v>6.08</v>
      </c>
      <c r="K111" s="11" t="n">
        <v>6.08</v>
      </c>
      <c r="L111" s="11" t="n">
        <v>6.08</v>
      </c>
      <c r="M111" s="11" t="n">
        <f aca="false">SUM(G111:L111)</f>
        <v>42.56</v>
      </c>
      <c r="N111" s="11" t="n">
        <v>3.06</v>
      </c>
      <c r="O111" s="11" t="n">
        <v>1.53</v>
      </c>
      <c r="P111" s="11" t="n">
        <v>1.53</v>
      </c>
      <c r="Q111" s="11" t="n">
        <v>1.53</v>
      </c>
      <c r="R111" s="11" t="n">
        <v>1.53</v>
      </c>
      <c r="S111" s="11" t="n">
        <v>1.53</v>
      </c>
      <c r="T111" s="11" t="n">
        <f aca="false">SUM(N111:S111)</f>
        <v>10.71</v>
      </c>
      <c r="U111" s="11" t="n">
        <v>0</v>
      </c>
      <c r="V111" s="11" t="n">
        <v>6.08</v>
      </c>
      <c r="W111" s="11" t="n">
        <v>12.16</v>
      </c>
      <c r="X111" s="11" t="n">
        <v>0</v>
      </c>
      <c r="Y111" s="11" t="n">
        <v>6.08</v>
      </c>
      <c r="Z111" s="11" t="n">
        <v>6.08</v>
      </c>
      <c r="AA111" s="11" t="n">
        <f aca="false">SUM(U111:Z111)</f>
        <v>30.4</v>
      </c>
      <c r="AB111" s="11" t="n">
        <v>0</v>
      </c>
      <c r="AC111" s="11" t="n">
        <v>1.53</v>
      </c>
      <c r="AD111" s="11" t="n">
        <v>3.06</v>
      </c>
      <c r="AE111" s="11" t="n">
        <v>0</v>
      </c>
      <c r="AF111" s="11" t="n">
        <v>1.53</v>
      </c>
      <c r="AG111" s="11" t="n">
        <v>1.53</v>
      </c>
      <c r="AH111" s="11" t="n">
        <f aca="false">SUM(AB111:AG111)</f>
        <v>7.65</v>
      </c>
    </row>
    <row r="112" customFormat="false" ht="15" hidden="false" customHeight="false" outlineLevel="2" collapsed="false">
      <c r="A112" s="8" t="s">
        <v>929</v>
      </c>
      <c r="B112" s="9" t="s">
        <v>930</v>
      </c>
      <c r="C112" s="8" t="s">
        <v>917</v>
      </c>
      <c r="D112" s="12" t="s">
        <v>918</v>
      </c>
      <c r="E112" s="16"/>
      <c r="F112" s="9" t="str">
        <f aca="false">IF($E112="","",IFERROR(INDEX(担当者マスタ!$B$2:$B$101,MATCH($E112,担当者マスタ!$A$2:$A$101,0)),"※マスタ未登録"))</f>
        <v/>
      </c>
      <c r="G112" s="11" t="n">
        <v>3022.188</v>
      </c>
      <c r="H112" s="11" t="n">
        <v>2917.244</v>
      </c>
      <c r="I112" s="11" t="n">
        <v>3926.65</v>
      </c>
      <c r="J112" s="11" t="n">
        <v>2353.52</v>
      </c>
      <c r="K112" s="11" t="n">
        <v>2994.708</v>
      </c>
      <c r="L112" s="11" t="n">
        <v>3522.884</v>
      </c>
      <c r="M112" s="11" t="n">
        <f aca="false">SUM(G112:L112)</f>
        <v>18737.194</v>
      </c>
      <c r="N112" s="11" t="n">
        <v>662.217</v>
      </c>
      <c r="O112" s="11" t="n">
        <v>688.669</v>
      </c>
      <c r="P112" s="11" t="n">
        <v>1032.417</v>
      </c>
      <c r="Q112" s="11" t="n">
        <v>588.982</v>
      </c>
      <c r="R112" s="11" t="n">
        <v>619.92</v>
      </c>
      <c r="S112" s="11" t="n">
        <v>790.832</v>
      </c>
      <c r="T112" s="11" t="n">
        <f aca="false">SUM(N112:S112)</f>
        <v>4383.037</v>
      </c>
      <c r="U112" s="11" t="n">
        <v>3959.812</v>
      </c>
      <c r="V112" s="11" t="n">
        <v>3223.7</v>
      </c>
      <c r="W112" s="11" t="n">
        <v>3736.326</v>
      </c>
      <c r="X112" s="11" t="n">
        <v>3189.004</v>
      </c>
      <c r="Y112" s="11" t="n">
        <v>3523.389</v>
      </c>
      <c r="Z112" s="11" t="n">
        <v>3311.664</v>
      </c>
      <c r="AA112" s="11" t="n">
        <f aca="false">SUM(U112:Z112)</f>
        <v>20943.895</v>
      </c>
      <c r="AB112" s="11" t="n">
        <v>926.925</v>
      </c>
      <c r="AC112" s="11" t="n">
        <v>767.337</v>
      </c>
      <c r="AD112" s="11" t="n">
        <v>900.828</v>
      </c>
      <c r="AE112" s="11" t="n">
        <v>758.937</v>
      </c>
      <c r="AF112" s="11" t="n">
        <v>747.663</v>
      </c>
      <c r="AG112" s="11" t="n">
        <v>712.796</v>
      </c>
      <c r="AH112" s="11" t="n">
        <f aca="false">SUM(AB112:AG112)</f>
        <v>4814.486</v>
      </c>
    </row>
    <row r="113" customFormat="false" ht="15" hidden="false" customHeight="false" outlineLevel="2" collapsed="false">
      <c r="A113" s="8" t="s">
        <v>931</v>
      </c>
      <c r="B113" s="12" t="s">
        <v>932</v>
      </c>
      <c r="C113" s="8" t="s">
        <v>917</v>
      </c>
      <c r="D113" s="12" t="s">
        <v>918</v>
      </c>
      <c r="E113" s="16"/>
      <c r="F113" s="9" t="str">
        <f aca="false">IF($E113="","",IFERROR(INDEX(担当者マスタ!$B$2:$B$101,MATCH($E113,担当者マスタ!$A$2:$A$101,0)),"※マスタ未登録"))</f>
        <v/>
      </c>
      <c r="G113" s="11" t="n">
        <v>3385.525</v>
      </c>
      <c r="H113" s="11" t="n">
        <v>3669.898</v>
      </c>
      <c r="I113" s="11" t="n">
        <v>5278.81</v>
      </c>
      <c r="J113" s="11" t="n">
        <v>2364.467</v>
      </c>
      <c r="K113" s="11" t="n">
        <v>2781.557</v>
      </c>
      <c r="L113" s="11" t="n">
        <v>3008.249</v>
      </c>
      <c r="M113" s="11" t="n">
        <f aca="false">SUM(G113:L113)</f>
        <v>20488.506</v>
      </c>
      <c r="N113" s="11" t="n">
        <v>593.997</v>
      </c>
      <c r="O113" s="11" t="n">
        <v>694.25</v>
      </c>
      <c r="P113" s="11" t="n">
        <v>1178.531</v>
      </c>
      <c r="Q113" s="11" t="n">
        <v>372.959</v>
      </c>
      <c r="R113" s="11" t="n">
        <v>448.09</v>
      </c>
      <c r="S113" s="11" t="n">
        <v>518.842</v>
      </c>
      <c r="T113" s="11" t="n">
        <f aca="false">SUM(N113:S113)</f>
        <v>3806.669</v>
      </c>
      <c r="U113" s="11" t="n">
        <v>3450.148</v>
      </c>
      <c r="V113" s="11" t="n">
        <v>3780.776</v>
      </c>
      <c r="W113" s="11" t="n">
        <v>5053.665</v>
      </c>
      <c r="X113" s="11" t="n">
        <v>2298.284</v>
      </c>
      <c r="Y113" s="11" t="n">
        <v>2982.631</v>
      </c>
      <c r="Z113" s="11" t="n">
        <v>2749.33</v>
      </c>
      <c r="AA113" s="11" t="n">
        <f aca="false">SUM(U113:Z113)</f>
        <v>20314.834</v>
      </c>
      <c r="AB113" s="11" t="n">
        <v>595.084</v>
      </c>
      <c r="AC113" s="11" t="n">
        <v>640.722</v>
      </c>
      <c r="AD113" s="11" t="n">
        <v>1094.157</v>
      </c>
      <c r="AE113" s="11" t="n">
        <v>395.086</v>
      </c>
      <c r="AF113" s="11" t="n">
        <v>489.109</v>
      </c>
      <c r="AG113" s="11" t="n">
        <v>495.472</v>
      </c>
      <c r="AH113" s="11" t="n">
        <f aca="false">SUM(AB113:AG113)</f>
        <v>3709.63</v>
      </c>
    </row>
    <row r="114" customFormat="false" ht="15" hidden="false" customHeight="false" outlineLevel="2" collapsed="false">
      <c r="A114" s="8" t="s">
        <v>933</v>
      </c>
      <c r="B114" s="12" t="s">
        <v>934</v>
      </c>
      <c r="C114" s="8" t="s">
        <v>917</v>
      </c>
      <c r="D114" s="12" t="s">
        <v>918</v>
      </c>
      <c r="E114" s="16"/>
      <c r="F114" s="9" t="str">
        <f aca="false">IF($E114="","",IFERROR(INDEX(担当者マスタ!$B$2:$B$101,MATCH($E114,担当者マスタ!$A$2:$A$101,0)),"※マスタ未登録"))</f>
        <v/>
      </c>
      <c r="G114" s="11" t="n">
        <v>0</v>
      </c>
      <c r="H114" s="11" t="n">
        <v>0</v>
      </c>
      <c r="I114" s="11" t="n">
        <v>100.35</v>
      </c>
      <c r="J114" s="11" t="n">
        <v>0</v>
      </c>
      <c r="K114" s="11" t="n">
        <v>0</v>
      </c>
      <c r="L114" s="11" t="n">
        <v>0</v>
      </c>
      <c r="M114" s="11" t="n">
        <f aca="false">SUM(G114:L114)</f>
        <v>100.35</v>
      </c>
      <c r="N114" s="11" t="n">
        <v>0</v>
      </c>
      <c r="O114" s="11" t="n">
        <v>0</v>
      </c>
      <c r="P114" s="11" t="n">
        <v>-1.65</v>
      </c>
      <c r="Q114" s="11" t="n">
        <v>0</v>
      </c>
      <c r="R114" s="11" t="n">
        <v>0</v>
      </c>
      <c r="S114" s="11" t="n">
        <v>0</v>
      </c>
      <c r="T114" s="11" t="n">
        <f aca="false">SUM(N114:S114)</f>
        <v>-1.65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f aca="false">SUM(U114:Z114)</f>
        <v>0</v>
      </c>
      <c r="AB114" s="11" t="n">
        <v>0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f aca="false">SUM(AB114:AG114)</f>
        <v>0</v>
      </c>
    </row>
    <row r="115" customFormat="false" ht="15" hidden="false" customHeight="false" outlineLevel="2" collapsed="false">
      <c r="A115" s="8" t="s">
        <v>935</v>
      </c>
      <c r="B115" s="12" t="s">
        <v>936</v>
      </c>
      <c r="C115" s="8" t="s">
        <v>917</v>
      </c>
      <c r="D115" s="12" t="s">
        <v>918</v>
      </c>
      <c r="E115" s="16"/>
      <c r="F115" s="9" t="str">
        <f aca="false">IF($E115="","",IFERROR(INDEX(担当者マスタ!$B$2:$B$101,MATCH($E115,担当者マスタ!$A$2:$A$101,0)),"※マスタ未登録"))</f>
        <v/>
      </c>
      <c r="G115" s="11" t="n">
        <v>454.042</v>
      </c>
      <c r="H115" s="11" t="n">
        <v>355.184</v>
      </c>
      <c r="I115" s="11" t="n">
        <v>484.012</v>
      </c>
      <c r="J115" s="11" t="n">
        <v>155.137</v>
      </c>
      <c r="K115" s="11" t="n">
        <v>373.571</v>
      </c>
      <c r="L115" s="11" t="n">
        <v>179.694</v>
      </c>
      <c r="M115" s="11" t="n">
        <f aca="false">SUM(G115:L115)</f>
        <v>2001.64</v>
      </c>
      <c r="N115" s="11" t="n">
        <v>76.176</v>
      </c>
      <c r="O115" s="11" t="n">
        <v>62.57</v>
      </c>
      <c r="P115" s="11" t="n">
        <v>79.648</v>
      </c>
      <c r="Q115" s="11" t="n">
        <v>28.002</v>
      </c>
      <c r="R115" s="11" t="n">
        <v>60.489</v>
      </c>
      <c r="S115" s="11" t="n">
        <v>33.498</v>
      </c>
      <c r="T115" s="11" t="n">
        <f aca="false">SUM(N115:S115)</f>
        <v>340.383</v>
      </c>
      <c r="U115" s="11" t="n">
        <v>171.623</v>
      </c>
      <c r="V115" s="11" t="n">
        <v>306.243</v>
      </c>
      <c r="W115" s="11" t="n">
        <v>341.993</v>
      </c>
      <c r="X115" s="11" t="n">
        <v>174.732</v>
      </c>
      <c r="Y115" s="11" t="n">
        <v>144.055</v>
      </c>
      <c r="Z115" s="11" t="n">
        <v>292.864</v>
      </c>
      <c r="AA115" s="11" t="n">
        <f aca="false">SUM(U115:Z115)</f>
        <v>1431.51</v>
      </c>
      <c r="AB115" s="11" t="n">
        <v>30.962</v>
      </c>
      <c r="AC115" s="11" t="n">
        <v>53.138</v>
      </c>
      <c r="AD115" s="11" t="n">
        <v>58.78</v>
      </c>
      <c r="AE115" s="11" t="n">
        <v>29.64</v>
      </c>
      <c r="AF115" s="11" t="n">
        <v>25.1</v>
      </c>
      <c r="AG115" s="11" t="n">
        <v>50.58</v>
      </c>
      <c r="AH115" s="11" t="n">
        <f aca="false">SUM(AB115:AG115)</f>
        <v>248.2</v>
      </c>
    </row>
    <row r="116" customFormat="false" ht="15" hidden="false" customHeight="false" outlineLevel="2" collapsed="false">
      <c r="A116" s="8" t="s">
        <v>937</v>
      </c>
      <c r="B116" s="9" t="s">
        <v>938</v>
      </c>
      <c r="C116" s="8" t="s">
        <v>917</v>
      </c>
      <c r="D116" s="12" t="s">
        <v>918</v>
      </c>
      <c r="E116" s="16"/>
      <c r="F116" s="9" t="str">
        <f aca="false">IF($E116="","",IFERROR(INDEX(担当者マスタ!$B$2:$B$101,MATCH($E116,担当者マスタ!$A$2:$A$101,0)),"※マスタ未登録"))</f>
        <v/>
      </c>
      <c r="G116" s="11" t="n">
        <v>0</v>
      </c>
      <c r="H116" s="11" t="n">
        <v>0</v>
      </c>
      <c r="I116" s="11" t="n">
        <v>96.6</v>
      </c>
      <c r="J116" s="11" t="n">
        <v>0</v>
      </c>
      <c r="K116" s="11" t="n">
        <v>0</v>
      </c>
      <c r="L116" s="11" t="n">
        <v>0</v>
      </c>
      <c r="M116" s="11" t="n">
        <f aca="false">SUM(G116:L116)</f>
        <v>96.6</v>
      </c>
      <c r="N116" s="11" t="n">
        <v>0</v>
      </c>
      <c r="O116" s="11" t="n">
        <v>0</v>
      </c>
      <c r="P116" s="11" t="n">
        <v>24.5</v>
      </c>
      <c r="Q116" s="11" t="n">
        <v>0</v>
      </c>
      <c r="R116" s="11" t="n">
        <v>0</v>
      </c>
      <c r="S116" s="11" t="n">
        <v>0</v>
      </c>
      <c r="T116" s="11" t="n">
        <f aca="false">SUM(N116:S116)</f>
        <v>24.5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f aca="false">SUM(U116:Z116)</f>
        <v>0</v>
      </c>
      <c r="AB116" s="11" t="n">
        <v>0</v>
      </c>
      <c r="AC116" s="11" t="n">
        <v>0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f aca="false">SUM(AB116:AG116)</f>
        <v>0</v>
      </c>
    </row>
    <row r="117" customFormat="false" ht="15" hidden="false" customHeight="false" outlineLevel="1" collapsed="false">
      <c r="A117" s="19"/>
      <c r="B117" s="19"/>
      <c r="C117" s="17" t="s">
        <v>1962</v>
      </c>
      <c r="D117" s="19" t="s">
        <v>918</v>
      </c>
      <c r="E117" s="19"/>
      <c r="F117" s="19"/>
      <c r="G117" s="18" t="n">
        <f aca="false">SUBTOTAL(9,G106:G116)</f>
        <v>12687.902</v>
      </c>
      <c r="H117" s="18" t="n">
        <f aca="false">SUBTOTAL(9,H106:H116)</f>
        <v>13333.274</v>
      </c>
      <c r="I117" s="18" t="n">
        <f aca="false">SUBTOTAL(9,I106:I116)</f>
        <v>15958.75</v>
      </c>
      <c r="J117" s="18" t="n">
        <f aca="false">SUBTOTAL(9,J106:J116)</f>
        <v>9333.911</v>
      </c>
      <c r="K117" s="18" t="n">
        <f aca="false">SUBTOTAL(9,K106:K116)</f>
        <v>10740.789</v>
      </c>
      <c r="L117" s="18" t="n">
        <f aca="false">SUBTOTAL(9,L106:L116)</f>
        <v>11739.662</v>
      </c>
      <c r="M117" s="18" t="n">
        <f aca="false">SUBTOTAL(9,M106:M116)</f>
        <v>73794.288</v>
      </c>
      <c r="N117" s="18" t="n">
        <f aca="false">SUBTOTAL(9,N106:N116)</f>
        <v>2465.735</v>
      </c>
      <c r="O117" s="18" t="n">
        <f aca="false">SUBTOTAL(9,O106:O116)</f>
        <v>2652.061</v>
      </c>
      <c r="P117" s="18" t="n">
        <f aca="false">SUBTOTAL(9,P106:P116)</f>
        <v>3490.448</v>
      </c>
      <c r="Q117" s="18" t="n">
        <f aca="false">SUBTOTAL(9,Q106:Q116)</f>
        <v>1894.995</v>
      </c>
      <c r="R117" s="18" t="n">
        <f aca="false">SUBTOTAL(9,R106:R116)</f>
        <v>2057.336</v>
      </c>
      <c r="S117" s="18" t="n">
        <f aca="false">SUBTOTAL(9,S106:S116)</f>
        <v>2363.243</v>
      </c>
      <c r="T117" s="18" t="n">
        <f aca="false">SUBTOTAL(9,T106:T116)</f>
        <v>14923.818</v>
      </c>
      <c r="U117" s="18" t="n">
        <f aca="false">SUBTOTAL(9,U106:U116)</f>
        <v>12169.859</v>
      </c>
      <c r="V117" s="18" t="n">
        <f aca="false">SUBTOTAL(9,V106:V116)</f>
        <v>11276.058</v>
      </c>
      <c r="W117" s="18" t="n">
        <f aca="false">SUBTOTAL(9,W106:W116)</f>
        <v>14505.105</v>
      </c>
      <c r="X117" s="18" t="n">
        <f aca="false">SUBTOTAL(9,X106:X116)</f>
        <v>10099.028</v>
      </c>
      <c r="Y117" s="18" t="n">
        <f aca="false">SUBTOTAL(9,Y106:Y116)</f>
        <v>11739.893</v>
      </c>
      <c r="Z117" s="18" t="n">
        <f aca="false">SUBTOTAL(9,Z106:Z116)</f>
        <v>11646.687</v>
      </c>
      <c r="AA117" s="18" t="n">
        <f aca="false">SUBTOTAL(9,AA106:AA116)</f>
        <v>71436.63</v>
      </c>
      <c r="AB117" s="18" t="n">
        <f aca="false">SUBTOTAL(9,AB106:AB116)</f>
        <v>2494.658</v>
      </c>
      <c r="AC117" s="18" t="n">
        <f aca="false">SUBTOTAL(9,AC106:AC116)</f>
        <v>2294.605</v>
      </c>
      <c r="AD117" s="18" t="n">
        <f aca="false">SUBTOTAL(9,AD106:AD116)</f>
        <v>3165.662</v>
      </c>
      <c r="AE117" s="18" t="n">
        <f aca="false">SUBTOTAL(9,AE106:AE116)</f>
        <v>2073.742</v>
      </c>
      <c r="AF117" s="18" t="n">
        <f aca="false">SUBTOTAL(9,AF106:AF116)</f>
        <v>2288.053</v>
      </c>
      <c r="AG117" s="18" t="n">
        <f aca="false">SUBTOTAL(9,AG106:AG116)</f>
        <v>2337.009</v>
      </c>
      <c r="AH117" s="18" t="n">
        <f aca="false">SUBTOTAL(9,AH106:AH116)</f>
        <v>14653.729</v>
      </c>
    </row>
    <row r="118" customFormat="false" ht="15" hidden="false" customHeight="false" outlineLevel="2" collapsed="false">
      <c r="A118" s="8" t="s">
        <v>939</v>
      </c>
      <c r="B118" s="12" t="s">
        <v>940</v>
      </c>
      <c r="C118" s="8" t="s">
        <v>941</v>
      </c>
      <c r="D118" s="12" t="s">
        <v>701</v>
      </c>
      <c r="E118" s="16"/>
      <c r="F118" s="9" t="str">
        <f aca="false">IF($E118="","",IFERROR(INDEX(担当者マスタ!$B$2:$B$101,MATCH($E118,担当者マスタ!$A$2:$A$101,0)),"※マスタ未登録"))</f>
        <v/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f aca="false">SUM(G118:L118)</f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f aca="false">SUM(N118:S118)</f>
        <v>0</v>
      </c>
      <c r="U118" s="11" t="n">
        <v>0</v>
      </c>
      <c r="V118" s="11" t="n">
        <v>0</v>
      </c>
      <c r="W118" s="11" t="n">
        <v>131.115</v>
      </c>
      <c r="X118" s="11" t="n">
        <v>0</v>
      </c>
      <c r="Y118" s="11" t="n">
        <v>90.9</v>
      </c>
      <c r="Z118" s="11" t="n">
        <v>0</v>
      </c>
      <c r="AA118" s="11" t="n">
        <f aca="false">SUM(U118:Z118)</f>
        <v>222.015</v>
      </c>
      <c r="AB118" s="11" t="n">
        <v>0</v>
      </c>
      <c r="AC118" s="11" t="n">
        <v>0</v>
      </c>
      <c r="AD118" s="11" t="n">
        <v>3.89</v>
      </c>
      <c r="AE118" s="11" t="n">
        <v>0</v>
      </c>
      <c r="AF118" s="11" t="n">
        <v>4.27</v>
      </c>
      <c r="AG118" s="11" t="n">
        <v>0</v>
      </c>
      <c r="AH118" s="11" t="n">
        <f aca="false">SUM(AB118:AG118)</f>
        <v>8.16</v>
      </c>
    </row>
    <row r="119" customFormat="false" ht="15" hidden="false" customHeight="false" outlineLevel="1" collapsed="false">
      <c r="A119" s="19"/>
      <c r="B119" s="19"/>
      <c r="C119" s="17" t="s">
        <v>1963</v>
      </c>
      <c r="D119" s="19" t="s">
        <v>701</v>
      </c>
      <c r="E119" s="19"/>
      <c r="F119" s="19"/>
      <c r="G119" s="18" t="n">
        <f aca="false">SUBTOTAL(9,G118:G118)</f>
        <v>0</v>
      </c>
      <c r="H119" s="18" t="n">
        <f aca="false">SUBTOTAL(9,H118:H118)</f>
        <v>0</v>
      </c>
      <c r="I119" s="18" t="n">
        <f aca="false">SUBTOTAL(9,I118:I118)</f>
        <v>0</v>
      </c>
      <c r="J119" s="18" t="n">
        <f aca="false">SUBTOTAL(9,J118:J118)</f>
        <v>0</v>
      </c>
      <c r="K119" s="18" t="n">
        <f aca="false">SUBTOTAL(9,K118:K118)</f>
        <v>0</v>
      </c>
      <c r="L119" s="18" t="n">
        <f aca="false">SUBTOTAL(9,L118:L118)</f>
        <v>0</v>
      </c>
      <c r="M119" s="18" t="n">
        <f aca="false">SUBTOTAL(9,M118:M118)</f>
        <v>0</v>
      </c>
      <c r="N119" s="18" t="n">
        <f aca="false">SUBTOTAL(9,N118:N118)</f>
        <v>0</v>
      </c>
      <c r="O119" s="18" t="n">
        <f aca="false">SUBTOTAL(9,O118:O118)</f>
        <v>0</v>
      </c>
      <c r="P119" s="18" t="n">
        <f aca="false">SUBTOTAL(9,P118:P118)</f>
        <v>0</v>
      </c>
      <c r="Q119" s="18" t="n">
        <f aca="false">SUBTOTAL(9,Q118:Q118)</f>
        <v>0</v>
      </c>
      <c r="R119" s="18" t="n">
        <f aca="false">SUBTOTAL(9,R118:R118)</f>
        <v>0</v>
      </c>
      <c r="S119" s="18" t="n">
        <f aca="false">SUBTOTAL(9,S118:S118)</f>
        <v>0</v>
      </c>
      <c r="T119" s="18" t="n">
        <f aca="false">SUBTOTAL(9,T118:T118)</f>
        <v>0</v>
      </c>
      <c r="U119" s="18" t="n">
        <f aca="false">SUBTOTAL(9,U118:U118)</f>
        <v>0</v>
      </c>
      <c r="V119" s="18" t="n">
        <f aca="false">SUBTOTAL(9,V118:V118)</f>
        <v>0</v>
      </c>
      <c r="W119" s="18" t="n">
        <f aca="false">SUBTOTAL(9,W118:W118)</f>
        <v>131.115</v>
      </c>
      <c r="X119" s="18" t="n">
        <f aca="false">SUBTOTAL(9,X118:X118)</f>
        <v>0</v>
      </c>
      <c r="Y119" s="18" t="n">
        <f aca="false">SUBTOTAL(9,Y118:Y118)</f>
        <v>90.9</v>
      </c>
      <c r="Z119" s="18" t="n">
        <f aca="false">SUBTOTAL(9,Z118:Z118)</f>
        <v>0</v>
      </c>
      <c r="AA119" s="18" t="n">
        <f aca="false">SUBTOTAL(9,AA118:AA118)</f>
        <v>222.015</v>
      </c>
      <c r="AB119" s="18" t="n">
        <f aca="false">SUBTOTAL(9,AB118:AB118)</f>
        <v>0</v>
      </c>
      <c r="AC119" s="18" t="n">
        <f aca="false">SUBTOTAL(9,AC118:AC118)</f>
        <v>0</v>
      </c>
      <c r="AD119" s="18" t="n">
        <f aca="false">SUBTOTAL(9,AD118:AD118)</f>
        <v>3.89</v>
      </c>
      <c r="AE119" s="18" t="n">
        <f aca="false">SUBTOTAL(9,AE118:AE118)</f>
        <v>0</v>
      </c>
      <c r="AF119" s="18" t="n">
        <f aca="false">SUBTOTAL(9,AF118:AF118)</f>
        <v>4.27</v>
      </c>
      <c r="AG119" s="18" t="n">
        <f aca="false">SUBTOTAL(9,AG118:AG118)</f>
        <v>0</v>
      </c>
      <c r="AH119" s="18" t="n">
        <f aca="false">SUBTOTAL(9,AH118:AH118)</f>
        <v>8.16</v>
      </c>
    </row>
    <row r="120" customFormat="false" ht="15" hidden="false" customHeight="false" outlineLevel="2" collapsed="false">
      <c r="A120" s="8" t="s">
        <v>942</v>
      </c>
      <c r="B120" s="12" t="s">
        <v>943</v>
      </c>
      <c r="C120" s="8" t="s">
        <v>944</v>
      </c>
      <c r="D120" s="12" t="s">
        <v>655</v>
      </c>
      <c r="E120" s="16"/>
      <c r="F120" s="9" t="str">
        <f aca="false">IF($E120="","",IFERROR(INDEX(担当者マスタ!$B$2:$B$101,MATCH($E120,担当者マスタ!$A$2:$A$101,0)),"※マスタ未登録"))</f>
        <v/>
      </c>
      <c r="G120" s="11" t="n">
        <v>0</v>
      </c>
      <c r="H120" s="11" t="n">
        <v>0</v>
      </c>
      <c r="I120" s="11" t="n">
        <v>4.8</v>
      </c>
      <c r="J120" s="11" t="n">
        <v>0</v>
      </c>
      <c r="K120" s="11" t="n">
        <v>0</v>
      </c>
      <c r="L120" s="11" t="n">
        <v>0</v>
      </c>
      <c r="M120" s="11" t="n">
        <f aca="false">SUM(G120:L120)</f>
        <v>4.8</v>
      </c>
      <c r="N120" s="11" t="n">
        <v>0</v>
      </c>
      <c r="O120" s="11" t="n">
        <v>0</v>
      </c>
      <c r="P120" s="11" t="n">
        <v>1.68</v>
      </c>
      <c r="Q120" s="11" t="n">
        <v>0</v>
      </c>
      <c r="R120" s="11" t="n">
        <v>0</v>
      </c>
      <c r="S120" s="11" t="n">
        <v>0</v>
      </c>
      <c r="T120" s="11" t="n">
        <f aca="false">SUM(N120:S120)</f>
        <v>1.68</v>
      </c>
      <c r="U120" s="11" t="n">
        <v>0</v>
      </c>
      <c r="V120" s="11" t="n">
        <v>0</v>
      </c>
      <c r="W120" s="11" t="n">
        <v>13.5</v>
      </c>
      <c r="X120" s="11" t="n">
        <v>0</v>
      </c>
      <c r="Y120" s="11" t="n">
        <v>0</v>
      </c>
      <c r="Z120" s="11" t="n">
        <v>5.1</v>
      </c>
      <c r="AA120" s="11" t="n">
        <f aca="false">SUM(U120:Z120)</f>
        <v>18.6</v>
      </c>
      <c r="AB120" s="11" t="n">
        <v>0</v>
      </c>
      <c r="AC120" s="11" t="n">
        <v>0</v>
      </c>
      <c r="AD120" s="11" t="n">
        <v>4.5</v>
      </c>
      <c r="AE120" s="11" t="n">
        <v>0</v>
      </c>
      <c r="AF120" s="11" t="n">
        <v>0</v>
      </c>
      <c r="AG120" s="11" t="n">
        <v>0.9</v>
      </c>
      <c r="AH120" s="11" t="n">
        <f aca="false">SUM(AB120:AG120)</f>
        <v>5.4</v>
      </c>
    </row>
    <row r="121" customFormat="false" ht="15" hidden="false" customHeight="false" outlineLevel="1" collapsed="false">
      <c r="A121" s="19"/>
      <c r="B121" s="19"/>
      <c r="C121" s="17" t="s">
        <v>1964</v>
      </c>
      <c r="D121" s="19" t="s">
        <v>655</v>
      </c>
      <c r="E121" s="19"/>
      <c r="F121" s="19"/>
      <c r="G121" s="18" t="n">
        <f aca="false">SUBTOTAL(9,G120:G120)</f>
        <v>0</v>
      </c>
      <c r="H121" s="18" t="n">
        <f aca="false">SUBTOTAL(9,H120:H120)</f>
        <v>0</v>
      </c>
      <c r="I121" s="18" t="n">
        <f aca="false">SUBTOTAL(9,I120:I120)</f>
        <v>4.8</v>
      </c>
      <c r="J121" s="18" t="n">
        <f aca="false">SUBTOTAL(9,J120:J120)</f>
        <v>0</v>
      </c>
      <c r="K121" s="18" t="n">
        <f aca="false">SUBTOTAL(9,K120:K120)</f>
        <v>0</v>
      </c>
      <c r="L121" s="18" t="n">
        <f aca="false">SUBTOTAL(9,L120:L120)</f>
        <v>0</v>
      </c>
      <c r="M121" s="18" t="n">
        <f aca="false">SUBTOTAL(9,M120:M120)</f>
        <v>4.8</v>
      </c>
      <c r="N121" s="18" t="n">
        <f aca="false">SUBTOTAL(9,N120:N120)</f>
        <v>0</v>
      </c>
      <c r="O121" s="18" t="n">
        <f aca="false">SUBTOTAL(9,O120:O120)</f>
        <v>0</v>
      </c>
      <c r="P121" s="18" t="n">
        <f aca="false">SUBTOTAL(9,P120:P120)</f>
        <v>1.68</v>
      </c>
      <c r="Q121" s="18" t="n">
        <f aca="false">SUBTOTAL(9,Q120:Q120)</f>
        <v>0</v>
      </c>
      <c r="R121" s="18" t="n">
        <f aca="false">SUBTOTAL(9,R120:R120)</f>
        <v>0</v>
      </c>
      <c r="S121" s="18" t="n">
        <f aca="false">SUBTOTAL(9,S120:S120)</f>
        <v>0</v>
      </c>
      <c r="T121" s="18" t="n">
        <f aca="false">SUBTOTAL(9,T120:T120)</f>
        <v>1.68</v>
      </c>
      <c r="U121" s="18" t="n">
        <f aca="false">SUBTOTAL(9,U120:U120)</f>
        <v>0</v>
      </c>
      <c r="V121" s="18" t="n">
        <f aca="false">SUBTOTAL(9,V120:V120)</f>
        <v>0</v>
      </c>
      <c r="W121" s="18" t="n">
        <f aca="false">SUBTOTAL(9,W120:W120)</f>
        <v>13.5</v>
      </c>
      <c r="X121" s="18" t="n">
        <f aca="false">SUBTOTAL(9,X120:X120)</f>
        <v>0</v>
      </c>
      <c r="Y121" s="18" t="n">
        <f aca="false">SUBTOTAL(9,Y120:Y120)</f>
        <v>0</v>
      </c>
      <c r="Z121" s="18" t="n">
        <f aca="false">SUBTOTAL(9,Z120:Z120)</f>
        <v>5.1</v>
      </c>
      <c r="AA121" s="18" t="n">
        <f aca="false">SUBTOTAL(9,AA120:AA120)</f>
        <v>18.6</v>
      </c>
      <c r="AB121" s="18" t="n">
        <f aca="false">SUBTOTAL(9,AB120:AB120)</f>
        <v>0</v>
      </c>
      <c r="AC121" s="18" t="n">
        <f aca="false">SUBTOTAL(9,AC120:AC120)</f>
        <v>0</v>
      </c>
      <c r="AD121" s="18" t="n">
        <f aca="false">SUBTOTAL(9,AD120:AD120)</f>
        <v>4.5</v>
      </c>
      <c r="AE121" s="18" t="n">
        <f aca="false">SUBTOTAL(9,AE120:AE120)</f>
        <v>0</v>
      </c>
      <c r="AF121" s="18" t="n">
        <f aca="false">SUBTOTAL(9,AF120:AF120)</f>
        <v>0</v>
      </c>
      <c r="AG121" s="18" t="n">
        <f aca="false">SUBTOTAL(9,AG120:AG120)</f>
        <v>0.9</v>
      </c>
      <c r="AH121" s="18" t="n">
        <f aca="false">SUBTOTAL(9,AH120:AH120)</f>
        <v>5.4</v>
      </c>
    </row>
    <row r="122" customFormat="false" ht="15" hidden="false" customHeight="false" outlineLevel="0" collapsed="false">
      <c r="A122" s="14"/>
      <c r="B122" s="14"/>
      <c r="C122" s="14" t="s">
        <v>1929</v>
      </c>
      <c r="D122" s="14"/>
      <c r="E122" s="14"/>
      <c r="F122" s="14"/>
      <c r="G122" s="15" t="n">
        <f aca="false">SUBTOTAL(9,G2:G121)</f>
        <v>46237.233</v>
      </c>
      <c r="H122" s="15" t="n">
        <f aca="false">SUBTOTAL(9,H2:H121)</f>
        <v>51400.567</v>
      </c>
      <c r="I122" s="15" t="n">
        <f aca="false">SUBTOTAL(9,I2:I121)</f>
        <v>58682.72</v>
      </c>
      <c r="J122" s="15" t="n">
        <f aca="false">SUBTOTAL(9,J2:J121)</f>
        <v>36007.875</v>
      </c>
      <c r="K122" s="15" t="n">
        <f aca="false">SUBTOTAL(9,K2:K121)</f>
        <v>38016.347</v>
      </c>
      <c r="L122" s="15" t="n">
        <f aca="false">SUBTOTAL(9,L2:L121)</f>
        <v>43538.234</v>
      </c>
      <c r="M122" s="15" t="n">
        <f aca="false">SUBTOTAL(9,M2:M121)</f>
        <v>273882.976</v>
      </c>
      <c r="N122" s="15" t="n">
        <f aca="false">SUBTOTAL(9,N2:N121)</f>
        <v>9373.9</v>
      </c>
      <c r="O122" s="15" t="n">
        <f aca="false">SUBTOTAL(9,O2:O121)</f>
        <v>10689.544</v>
      </c>
      <c r="P122" s="15" t="n">
        <f aca="false">SUBTOTAL(9,P2:P121)</f>
        <v>12538.229</v>
      </c>
      <c r="Q122" s="15" t="n">
        <f aca="false">SUBTOTAL(9,Q2:Q121)</f>
        <v>7680.519</v>
      </c>
      <c r="R122" s="15" t="n">
        <f aca="false">SUBTOTAL(9,R2:R121)</f>
        <v>7835.733</v>
      </c>
      <c r="S122" s="15" t="n">
        <f aca="false">SUBTOTAL(9,S2:S121)</f>
        <v>9169.395</v>
      </c>
      <c r="T122" s="15" t="n">
        <f aca="false">SUBTOTAL(9,T2:T121)</f>
        <v>57287.32</v>
      </c>
      <c r="U122" s="15" t="n">
        <f aca="false">SUBTOTAL(9,U2:U121)</f>
        <v>49629.153</v>
      </c>
      <c r="V122" s="15" t="n">
        <f aca="false">SUBTOTAL(9,V2:V121)</f>
        <v>50337.286</v>
      </c>
      <c r="W122" s="15" t="n">
        <f aca="false">SUBTOTAL(9,W2:W121)</f>
        <v>60021.749</v>
      </c>
      <c r="X122" s="15" t="n">
        <f aca="false">SUBTOTAL(9,X2:X121)</f>
        <v>39135.787</v>
      </c>
      <c r="Y122" s="15" t="n">
        <f aca="false">SUBTOTAL(9,Y2:Y121)</f>
        <v>37101.336</v>
      </c>
      <c r="Z122" s="15" t="n">
        <f aca="false">SUBTOTAL(9,Z2:Z121)</f>
        <v>39253.26</v>
      </c>
      <c r="AA122" s="15" t="n">
        <f aca="false">SUBTOTAL(9,AA2:AA121)</f>
        <v>275478.571</v>
      </c>
      <c r="AB122" s="15" t="n">
        <f aca="false">SUBTOTAL(9,AB2:AB121)</f>
        <v>10482.614</v>
      </c>
      <c r="AC122" s="15" t="n">
        <f aca="false">SUBTOTAL(9,AC2:AC121)</f>
        <v>10678.68</v>
      </c>
      <c r="AD122" s="15" t="n">
        <f aca="false">SUBTOTAL(9,AD2:AD121)</f>
        <v>12590.445</v>
      </c>
      <c r="AE122" s="15" t="n">
        <f aca="false">SUBTOTAL(9,AE2:AE121)</f>
        <v>8056.19</v>
      </c>
      <c r="AF122" s="15" t="n">
        <f aca="false">SUBTOTAL(9,AF2:AF121)</f>
        <v>7410.894</v>
      </c>
      <c r="AG122" s="15" t="n">
        <f aca="false">SUBTOTAL(9,AG2:AG121)</f>
        <v>8075.583</v>
      </c>
      <c r="AH122" s="15" t="n">
        <f aca="false">SUBTOTAL(9,AH2:AH121)</f>
        <v>57294.406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15"/>
    <col collapsed="false" customWidth="true" hidden="false" outlineLevel="0" max="2" min="2" style="0" width="26.5"/>
    <col collapsed="false" customWidth="true" hidden="false" outlineLevel="0" max="3" min="3" style="0" width="13"/>
    <col collapsed="false" customWidth="true" hidden="false" outlineLevel="0" max="4" min="4" style="0" width="14.75"/>
    <col collapsed="false" customWidth="true" hidden="false" outlineLevel="0" max="5" min="5" style="0" width="15"/>
    <col collapsed="false" customWidth="true" hidden="false" outlineLevel="0" max="6" min="6" style="0" width="14.75"/>
    <col collapsed="false" customWidth="true" hidden="false" outlineLevel="0" max="12" min="7" style="0" width="11"/>
    <col collapsed="false" customWidth="true" hidden="false" outlineLevel="0" max="13" min="13" style="0" width="12.5"/>
    <col collapsed="false" customWidth="true" hidden="false" outlineLevel="0" max="19" min="14" style="0" width="11"/>
    <col collapsed="false" customWidth="true" hidden="false" outlineLevel="0" max="20" min="20" style="0" width="12.5"/>
    <col collapsed="false" customWidth="true" hidden="false" outlineLevel="0" max="26" min="21" style="0" width="11"/>
    <col collapsed="false" customWidth="true" hidden="false" outlineLevel="0" max="27" min="27" style="0" width="12.5"/>
    <col collapsed="false" customWidth="true" hidden="false" outlineLevel="0" max="33" min="28" style="0" width="11"/>
    <col collapsed="false" customWidth="true" hidden="false" outlineLevel="0" max="34" min="34" style="0" width="12.5"/>
  </cols>
  <sheetData>
    <row r="1" customFormat="false" ht="37.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6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6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6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6" t="s">
        <v>54</v>
      </c>
    </row>
    <row r="2" customFormat="false" ht="15" hidden="false" customHeight="false" outlineLevel="2" collapsed="false">
      <c r="A2" s="8" t="s">
        <v>67</v>
      </c>
      <c r="B2" s="9" t="s">
        <v>68</v>
      </c>
      <c r="C2" s="8" t="s">
        <v>69</v>
      </c>
      <c r="D2" s="12" t="s">
        <v>70</v>
      </c>
      <c r="E2" s="16"/>
      <c r="F2" s="9" t="str">
        <f aca="false">IF($E2="","",IFERROR(INDEX(担当者マスタ!$B$2:$B$101,MATCH($E2,担当者マスタ!$A$2:$A$101,0)),"※マスタ未登録"))</f>
        <v/>
      </c>
      <c r="G2" s="11" t="n">
        <v>66.139</v>
      </c>
      <c r="H2" s="11" t="n">
        <v>111.017</v>
      </c>
      <c r="I2" s="11" t="n">
        <v>36.415</v>
      </c>
      <c r="J2" s="11" t="n">
        <v>95.814</v>
      </c>
      <c r="K2" s="11" t="n">
        <v>187.302</v>
      </c>
      <c r="L2" s="11" t="n">
        <v>18.073</v>
      </c>
      <c r="M2" s="11" t="n">
        <f aca="false">SUM(G2:L2)</f>
        <v>514.76</v>
      </c>
      <c r="N2" s="11" t="n">
        <v>35.007</v>
      </c>
      <c r="O2" s="11" t="n">
        <v>66.715</v>
      </c>
      <c r="P2" s="11" t="n">
        <v>21.262</v>
      </c>
      <c r="Q2" s="11" t="n">
        <v>52.948</v>
      </c>
      <c r="R2" s="11" t="n">
        <v>43.271</v>
      </c>
      <c r="S2" s="11" t="n">
        <v>8.333</v>
      </c>
      <c r="T2" s="11" t="n">
        <f aca="false">SUM(N2:S2)</f>
        <v>227.536</v>
      </c>
      <c r="U2" s="11" t="n">
        <v>90.974</v>
      </c>
      <c r="V2" s="11" t="n">
        <v>139.449</v>
      </c>
      <c r="W2" s="11" t="n">
        <v>22.066</v>
      </c>
      <c r="X2" s="11" t="n">
        <v>70.992</v>
      </c>
      <c r="Y2" s="11" t="n">
        <v>38.098</v>
      </c>
      <c r="Z2" s="11" t="n">
        <v>9.843</v>
      </c>
      <c r="AA2" s="11" t="n">
        <f aca="false">SUM(U2:Z2)</f>
        <v>371.422</v>
      </c>
      <c r="AB2" s="11" t="n">
        <v>65.217</v>
      </c>
      <c r="AC2" s="11" t="n">
        <v>100.891</v>
      </c>
      <c r="AD2" s="11" t="n">
        <v>13.616</v>
      </c>
      <c r="AE2" s="11" t="n">
        <v>46.68</v>
      </c>
      <c r="AF2" s="11" t="n">
        <v>18.406</v>
      </c>
      <c r="AG2" s="11" t="n">
        <v>4.806</v>
      </c>
      <c r="AH2" s="11" t="n">
        <f aca="false">SUM(AB2:AG2)</f>
        <v>249.616</v>
      </c>
    </row>
    <row r="3" customFormat="false" ht="15" hidden="false" customHeight="false" outlineLevel="2" collapsed="false">
      <c r="A3" s="8" t="s">
        <v>72</v>
      </c>
      <c r="B3" s="9" t="s">
        <v>73</v>
      </c>
      <c r="C3" s="8" t="s">
        <v>69</v>
      </c>
      <c r="D3" s="12" t="s">
        <v>70</v>
      </c>
      <c r="E3" s="16"/>
      <c r="F3" s="9" t="str">
        <f aca="false">IF($E3="","",IFERROR(INDEX(担当者マスタ!$B$2:$B$101,MATCH($E3,担当者マスタ!$A$2:$A$101,0)),"※マスタ未登録"))</f>
        <v/>
      </c>
      <c r="G3" s="11" t="n">
        <v>3.4</v>
      </c>
      <c r="H3" s="11" t="n">
        <v>14.955</v>
      </c>
      <c r="I3" s="11" t="n">
        <v>6.375</v>
      </c>
      <c r="J3" s="11" t="n">
        <v>0</v>
      </c>
      <c r="K3" s="11" t="n">
        <v>3.08</v>
      </c>
      <c r="L3" s="11" t="n">
        <v>0</v>
      </c>
      <c r="M3" s="11" t="n">
        <f aca="false">SUM(G3:L3)</f>
        <v>27.81</v>
      </c>
      <c r="N3" s="11" t="n">
        <v>3.4</v>
      </c>
      <c r="O3" s="11" t="n">
        <v>7.717</v>
      </c>
      <c r="P3" s="11" t="n">
        <v>2.8</v>
      </c>
      <c r="Q3" s="11" t="n">
        <v>0</v>
      </c>
      <c r="R3" s="11" t="n">
        <v>1.473</v>
      </c>
      <c r="S3" s="11" t="n">
        <v>0</v>
      </c>
      <c r="T3" s="11" t="n">
        <f aca="false">SUM(N3:S3)</f>
        <v>15.39</v>
      </c>
      <c r="U3" s="11" t="n">
        <v>0</v>
      </c>
      <c r="V3" s="11" t="n">
        <v>0</v>
      </c>
      <c r="W3" s="11" t="n">
        <v>0</v>
      </c>
      <c r="X3" s="11" t="n">
        <v>0.5</v>
      </c>
      <c r="Y3" s="11" t="n">
        <v>0</v>
      </c>
      <c r="Z3" s="11" t="n">
        <v>3.05</v>
      </c>
      <c r="AA3" s="11" t="n">
        <f aca="false">SUM(U3:Z3)</f>
        <v>3.55</v>
      </c>
      <c r="AB3" s="11" t="n">
        <v>0</v>
      </c>
      <c r="AC3" s="11" t="n">
        <v>0</v>
      </c>
      <c r="AD3" s="11" t="n">
        <v>0</v>
      </c>
      <c r="AE3" s="11" t="n">
        <v>0.5</v>
      </c>
      <c r="AF3" s="11" t="n">
        <v>0</v>
      </c>
      <c r="AG3" s="11" t="n">
        <v>1.721</v>
      </c>
      <c r="AH3" s="11" t="n">
        <f aca="false">SUM(AB3:AG3)</f>
        <v>2.221</v>
      </c>
    </row>
    <row r="4" customFormat="false" ht="15" hidden="false" customHeight="false" outlineLevel="2" collapsed="false">
      <c r="A4" s="8" t="s">
        <v>74</v>
      </c>
      <c r="B4" s="9" t="s">
        <v>75</v>
      </c>
      <c r="C4" s="8" t="s">
        <v>69</v>
      </c>
      <c r="D4" s="12" t="s">
        <v>70</v>
      </c>
      <c r="E4" s="16"/>
      <c r="F4" s="9" t="str">
        <f aca="false">IF($E4="","",IFERROR(INDEX(担当者マスタ!$B$2:$B$101,MATCH($E4,担当者マスタ!$A$2:$A$101,0)),"※マスタ未登録"))</f>
        <v/>
      </c>
      <c r="G4" s="11" t="n">
        <v>32.432</v>
      </c>
      <c r="H4" s="11" t="n">
        <v>0</v>
      </c>
      <c r="I4" s="11" t="n">
        <v>0</v>
      </c>
      <c r="J4" s="11" t="n">
        <v>11.35</v>
      </c>
      <c r="K4" s="11" t="n">
        <v>0</v>
      </c>
      <c r="L4" s="11" t="n">
        <v>3.339</v>
      </c>
      <c r="M4" s="11" t="n">
        <f aca="false">SUM(G4:L4)</f>
        <v>47.121</v>
      </c>
      <c r="N4" s="11" t="n">
        <v>23.326</v>
      </c>
      <c r="O4" s="11" t="n">
        <v>0</v>
      </c>
      <c r="P4" s="11" t="n">
        <v>0</v>
      </c>
      <c r="Q4" s="11" t="n">
        <v>4.85</v>
      </c>
      <c r="R4" s="11" t="n">
        <v>0</v>
      </c>
      <c r="S4" s="11" t="n">
        <v>1.854</v>
      </c>
      <c r="T4" s="11" t="n">
        <f aca="false">SUM(N4:S4)</f>
        <v>30.03</v>
      </c>
      <c r="U4" s="11" t="n">
        <v>36.111</v>
      </c>
      <c r="V4" s="11" t="n">
        <v>11.04</v>
      </c>
      <c r="W4" s="11" t="n">
        <v>3.339</v>
      </c>
      <c r="X4" s="11" t="n">
        <v>0</v>
      </c>
      <c r="Y4" s="11" t="n">
        <v>0</v>
      </c>
      <c r="Z4" s="11" t="n">
        <v>0</v>
      </c>
      <c r="AA4" s="11" t="n">
        <f aca="false">SUM(U4:Z4)</f>
        <v>50.49</v>
      </c>
      <c r="AB4" s="11" t="n">
        <v>22.156</v>
      </c>
      <c r="AC4" s="11" t="n">
        <v>5.556</v>
      </c>
      <c r="AD4" s="11" t="n">
        <v>1.659</v>
      </c>
      <c r="AE4" s="11" t="n">
        <v>0</v>
      </c>
      <c r="AF4" s="11" t="n">
        <v>0</v>
      </c>
      <c r="AG4" s="11" t="n">
        <v>0</v>
      </c>
      <c r="AH4" s="11" t="n">
        <f aca="false">SUM(AB4:AG4)</f>
        <v>29.371</v>
      </c>
    </row>
    <row r="5" customFormat="false" ht="15" hidden="false" customHeight="false" outlineLevel="2" collapsed="false">
      <c r="A5" s="8" t="s">
        <v>76</v>
      </c>
      <c r="B5" s="9" t="s">
        <v>77</v>
      </c>
      <c r="C5" s="8" t="s">
        <v>69</v>
      </c>
      <c r="D5" s="12" t="s">
        <v>70</v>
      </c>
      <c r="E5" s="16"/>
      <c r="F5" s="9" t="str">
        <f aca="false">IF($E5="","",IFERROR(INDEX(担当者マスタ!$B$2:$B$101,MATCH($E5,担当者マスタ!$A$2:$A$101,0)),"※マスタ未登録"))</f>
        <v/>
      </c>
      <c r="G5" s="11" t="n">
        <v>0</v>
      </c>
      <c r="H5" s="11" t="n">
        <v>1.52</v>
      </c>
      <c r="I5" s="11" t="n">
        <v>7.25</v>
      </c>
      <c r="J5" s="11" t="n">
        <v>0</v>
      </c>
      <c r="K5" s="11" t="n">
        <v>0</v>
      </c>
      <c r="L5" s="11" t="n">
        <v>1.36</v>
      </c>
      <c r="M5" s="11" t="n">
        <f aca="false">SUM(G5:L5)</f>
        <v>10.13</v>
      </c>
      <c r="N5" s="11" t="n">
        <v>0</v>
      </c>
      <c r="O5" s="11" t="n">
        <v>0.852</v>
      </c>
      <c r="P5" s="11" t="n">
        <v>3.783</v>
      </c>
      <c r="Q5" s="11" t="n">
        <v>0</v>
      </c>
      <c r="R5" s="11" t="n">
        <v>0</v>
      </c>
      <c r="S5" s="11" t="n">
        <v>0.38</v>
      </c>
      <c r="T5" s="11" t="n">
        <f aca="false">SUM(N5:S5)</f>
        <v>5.015</v>
      </c>
      <c r="U5" s="11" t="n">
        <v>0</v>
      </c>
      <c r="V5" s="11" t="n">
        <v>0</v>
      </c>
      <c r="W5" s="11" t="n">
        <v>5.11</v>
      </c>
      <c r="X5" s="11" t="n">
        <v>0</v>
      </c>
      <c r="Y5" s="11" t="n">
        <v>0</v>
      </c>
      <c r="Z5" s="11" t="n">
        <v>0</v>
      </c>
      <c r="AA5" s="11" t="n">
        <f aca="false">SUM(U5:Z5)</f>
        <v>5.11</v>
      </c>
      <c r="AB5" s="11" t="n">
        <v>0</v>
      </c>
      <c r="AC5" s="11" t="n">
        <v>0</v>
      </c>
      <c r="AD5" s="11" t="n">
        <v>2.757</v>
      </c>
      <c r="AE5" s="11" t="n">
        <v>0</v>
      </c>
      <c r="AF5" s="11" t="n">
        <v>0</v>
      </c>
      <c r="AG5" s="11" t="n">
        <v>0</v>
      </c>
      <c r="AH5" s="11" t="n">
        <f aca="false">SUM(AB5:AG5)</f>
        <v>2.757</v>
      </c>
    </row>
    <row r="6" customFormat="false" ht="15" hidden="false" customHeight="false" outlineLevel="2" collapsed="false">
      <c r="A6" s="8" t="s">
        <v>78</v>
      </c>
      <c r="B6" s="9" t="s">
        <v>79</v>
      </c>
      <c r="C6" s="8" t="s">
        <v>69</v>
      </c>
      <c r="D6" s="12" t="s">
        <v>70</v>
      </c>
      <c r="E6" s="16"/>
      <c r="F6" s="9" t="str">
        <f aca="false">IF($E6="","",IFERROR(INDEX(担当者マスタ!$B$2:$B$101,MATCH($E6,担当者マスタ!$A$2:$A$101,0)),"※マスタ未登録"))</f>
        <v/>
      </c>
      <c r="G6" s="11" t="n">
        <v>209.322</v>
      </c>
      <c r="H6" s="11" t="n">
        <v>83.69</v>
      </c>
      <c r="I6" s="11" t="n">
        <v>103.08</v>
      </c>
      <c r="J6" s="11" t="n">
        <v>3.621</v>
      </c>
      <c r="K6" s="11" t="n">
        <v>73.377</v>
      </c>
      <c r="L6" s="11" t="n">
        <v>62.471</v>
      </c>
      <c r="M6" s="11" t="n">
        <f aca="false">SUM(G6:L6)</f>
        <v>535.561</v>
      </c>
      <c r="N6" s="11" t="n">
        <v>82.094</v>
      </c>
      <c r="O6" s="11" t="n">
        <v>52.626</v>
      </c>
      <c r="P6" s="11" t="n">
        <v>54.96</v>
      </c>
      <c r="Q6" s="11" t="n">
        <v>1.926</v>
      </c>
      <c r="R6" s="11" t="n">
        <v>36.533</v>
      </c>
      <c r="S6" s="11" t="n">
        <v>36.068</v>
      </c>
      <c r="T6" s="11" t="n">
        <f aca="false">SUM(N6:S6)</f>
        <v>264.207</v>
      </c>
      <c r="U6" s="11" t="n">
        <v>40.799</v>
      </c>
      <c r="V6" s="11" t="n">
        <v>62.98</v>
      </c>
      <c r="W6" s="11" t="n">
        <v>83.153</v>
      </c>
      <c r="X6" s="11" t="n">
        <v>0</v>
      </c>
      <c r="Y6" s="11" t="n">
        <v>0</v>
      </c>
      <c r="Z6" s="11" t="n">
        <v>0</v>
      </c>
      <c r="AA6" s="11" t="n">
        <f aca="false">SUM(U6:Z6)</f>
        <v>186.932</v>
      </c>
      <c r="AB6" s="11" t="n">
        <v>23.037</v>
      </c>
      <c r="AC6" s="11" t="n">
        <v>38.526</v>
      </c>
      <c r="AD6" s="11" t="n">
        <v>50.38</v>
      </c>
      <c r="AE6" s="11" t="n">
        <v>0</v>
      </c>
      <c r="AF6" s="11" t="n">
        <v>0</v>
      </c>
      <c r="AG6" s="11" t="n">
        <v>0</v>
      </c>
      <c r="AH6" s="11" t="n">
        <f aca="false">SUM(AB6:AG6)</f>
        <v>111.943</v>
      </c>
    </row>
    <row r="7" customFormat="false" ht="15" hidden="false" customHeight="false" outlineLevel="2" collapsed="false">
      <c r="A7" s="8" t="s">
        <v>80</v>
      </c>
      <c r="B7" s="9" t="s">
        <v>81</v>
      </c>
      <c r="C7" s="8" t="s">
        <v>69</v>
      </c>
      <c r="D7" s="12" t="s">
        <v>70</v>
      </c>
      <c r="E7" s="16"/>
      <c r="F7" s="9" t="str">
        <f aca="false">IF($E7="","",IFERROR(INDEX(担当者マスタ!$B$2:$B$101,MATCH($E7,担当者マスタ!$A$2:$A$101,0)),"※マスタ未登録"))</f>
        <v/>
      </c>
      <c r="G7" s="11" t="n">
        <v>4.239</v>
      </c>
      <c r="H7" s="11" t="n">
        <v>6.693</v>
      </c>
      <c r="I7" s="11" t="n">
        <v>2.34</v>
      </c>
      <c r="J7" s="11" t="n">
        <v>0</v>
      </c>
      <c r="K7" s="11" t="n">
        <v>2.34</v>
      </c>
      <c r="L7" s="11" t="n">
        <v>6.693</v>
      </c>
      <c r="M7" s="11" t="n">
        <f aca="false">SUM(G7:L7)</f>
        <v>22.305</v>
      </c>
      <c r="N7" s="11" t="n">
        <v>2.392</v>
      </c>
      <c r="O7" s="11" t="n">
        <v>2.848</v>
      </c>
      <c r="P7" s="11" t="n">
        <v>1.273</v>
      </c>
      <c r="Q7" s="11" t="n">
        <v>0</v>
      </c>
      <c r="R7" s="11" t="n">
        <v>1.273</v>
      </c>
      <c r="S7" s="11" t="n">
        <v>2.848</v>
      </c>
      <c r="T7" s="11" t="n">
        <f aca="false">SUM(N7:S7)</f>
        <v>10.634</v>
      </c>
      <c r="U7" s="11" t="n">
        <v>1.128</v>
      </c>
      <c r="V7" s="11" t="n">
        <v>0</v>
      </c>
      <c r="W7" s="11" t="n">
        <v>11.332</v>
      </c>
      <c r="X7" s="11" t="n">
        <v>0</v>
      </c>
      <c r="Y7" s="11" t="n">
        <v>3.468</v>
      </c>
      <c r="Z7" s="11" t="n">
        <v>5.565</v>
      </c>
      <c r="AA7" s="11" t="n">
        <f aca="false">SUM(U7:Z7)</f>
        <v>21.493</v>
      </c>
      <c r="AB7" s="11" t="n">
        <v>0.733</v>
      </c>
      <c r="AC7" s="11" t="n">
        <v>0</v>
      </c>
      <c r="AD7" s="11" t="n">
        <v>5.413</v>
      </c>
      <c r="AE7" s="11" t="n">
        <v>0</v>
      </c>
      <c r="AF7" s="11" t="n">
        <v>2.006</v>
      </c>
      <c r="AG7" s="11" t="n">
        <v>2.115</v>
      </c>
      <c r="AH7" s="11" t="n">
        <f aca="false">SUM(AB7:AG7)</f>
        <v>10.267</v>
      </c>
    </row>
    <row r="8" customFormat="false" ht="15" hidden="false" customHeight="false" outlineLevel="2" collapsed="false">
      <c r="A8" s="8" t="s">
        <v>82</v>
      </c>
      <c r="B8" s="9" t="s">
        <v>83</v>
      </c>
      <c r="C8" s="8" t="s">
        <v>69</v>
      </c>
      <c r="D8" s="12" t="s">
        <v>70</v>
      </c>
      <c r="E8" s="16"/>
      <c r="F8" s="9" t="str">
        <f aca="false">IF($E8="","",IFERROR(INDEX(担当者マスタ!$B$2:$B$101,MATCH($E8,担当者マスタ!$A$2:$A$101,0)),"※マスタ未登録"))</f>
        <v/>
      </c>
      <c r="G8" s="11" t="n">
        <v>0</v>
      </c>
      <c r="H8" s="11" t="n">
        <v>0</v>
      </c>
      <c r="I8" s="11" t="n">
        <v>0</v>
      </c>
      <c r="J8" s="11" t="n">
        <v>5.565</v>
      </c>
      <c r="K8" s="11" t="n">
        <v>0</v>
      </c>
      <c r="L8" s="11" t="n">
        <v>1.36</v>
      </c>
      <c r="M8" s="11" t="n">
        <f aca="false">SUM(G8:L8)</f>
        <v>6.925</v>
      </c>
      <c r="N8" s="11" t="n">
        <v>0</v>
      </c>
      <c r="O8" s="11" t="n">
        <v>0</v>
      </c>
      <c r="P8" s="11" t="n">
        <v>0</v>
      </c>
      <c r="Q8" s="11" t="n">
        <v>2.115</v>
      </c>
      <c r="R8" s="11" t="n">
        <v>0</v>
      </c>
      <c r="S8" s="11" t="n">
        <v>0.38</v>
      </c>
      <c r="T8" s="11" t="n">
        <f aca="false">SUM(N8:S8)</f>
        <v>2.495</v>
      </c>
      <c r="U8" s="11" t="n">
        <v>12.3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f aca="false">SUM(U8:Z8)</f>
        <v>12.3</v>
      </c>
      <c r="AB8" s="11" t="n">
        <v>7.36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f aca="false">SUM(AB8:AG8)</f>
        <v>7.36</v>
      </c>
    </row>
    <row r="9" customFormat="false" ht="15" hidden="false" customHeight="false" outlineLevel="2" collapsed="false">
      <c r="A9" s="8" t="s">
        <v>84</v>
      </c>
      <c r="B9" s="9" t="s">
        <v>85</v>
      </c>
      <c r="C9" s="8" t="s">
        <v>69</v>
      </c>
      <c r="D9" s="12" t="s">
        <v>70</v>
      </c>
      <c r="E9" s="16"/>
      <c r="F9" s="9" t="str">
        <f aca="false">IF($E9="","",IFERROR(INDEX(担当者マスタ!$B$2:$B$101,MATCH($E9,担当者マスタ!$A$2:$A$101,0)),"※マスタ未登録"))</f>
        <v/>
      </c>
      <c r="G9" s="11" t="n">
        <v>12.138</v>
      </c>
      <c r="H9" s="11" t="n">
        <v>42.301</v>
      </c>
      <c r="I9" s="11" t="n">
        <v>203.145</v>
      </c>
      <c r="J9" s="11" t="n">
        <v>-30.188</v>
      </c>
      <c r="K9" s="11" t="n">
        <v>25.386</v>
      </c>
      <c r="L9" s="11" t="n">
        <v>84.022</v>
      </c>
      <c r="M9" s="11" t="n">
        <f aca="false">SUM(G9:L9)</f>
        <v>336.804</v>
      </c>
      <c r="N9" s="11" t="n">
        <v>6.817</v>
      </c>
      <c r="O9" s="11" t="n">
        <v>23.374</v>
      </c>
      <c r="P9" s="11" t="n">
        <v>102.421</v>
      </c>
      <c r="Q9" s="11" t="n">
        <v>-15.475</v>
      </c>
      <c r="R9" s="11" t="n">
        <v>12.409</v>
      </c>
      <c r="S9" s="11" t="n">
        <v>23.692</v>
      </c>
      <c r="T9" s="11" t="n">
        <f aca="false">SUM(N9:S9)</f>
        <v>153.238</v>
      </c>
      <c r="U9" s="11" t="n">
        <v>35.263</v>
      </c>
      <c r="V9" s="11" t="n">
        <v>24.819</v>
      </c>
      <c r="W9" s="11" t="n">
        <v>116.324</v>
      </c>
      <c r="X9" s="11" t="n">
        <v>5.615</v>
      </c>
      <c r="Y9" s="11" t="n">
        <v>101.697</v>
      </c>
      <c r="Z9" s="11" t="n">
        <v>21.525</v>
      </c>
      <c r="AA9" s="11" t="n">
        <f aca="false">SUM(U9:Z9)</f>
        <v>305.243</v>
      </c>
      <c r="AB9" s="11" t="n">
        <v>18.983</v>
      </c>
      <c r="AC9" s="11" t="n">
        <v>13.872</v>
      </c>
      <c r="AD9" s="11" t="n">
        <v>49.442</v>
      </c>
      <c r="AE9" s="11" t="n">
        <v>2.946</v>
      </c>
      <c r="AF9" s="11" t="n">
        <v>32.017</v>
      </c>
      <c r="AG9" s="11" t="n">
        <v>8.522</v>
      </c>
      <c r="AH9" s="11" t="n">
        <f aca="false">SUM(AB9:AG9)</f>
        <v>125.782</v>
      </c>
    </row>
    <row r="10" customFormat="false" ht="15" hidden="false" customHeight="false" outlineLevel="2" collapsed="false">
      <c r="A10" s="8" t="s">
        <v>86</v>
      </c>
      <c r="B10" s="9" t="s">
        <v>87</v>
      </c>
      <c r="C10" s="8" t="s">
        <v>69</v>
      </c>
      <c r="D10" s="12" t="s">
        <v>70</v>
      </c>
      <c r="E10" s="16"/>
      <c r="F10" s="9" t="str">
        <f aca="false">IF($E10="","",IFERROR(INDEX(担当者マスタ!$B$2:$B$101,MATCH($E10,担当者マスタ!$A$2:$A$101,0)),"※マスタ未登録"))</f>
        <v/>
      </c>
      <c r="G10" s="11" t="n">
        <v>199.66</v>
      </c>
      <c r="H10" s="11" t="n">
        <v>85.905</v>
      </c>
      <c r="I10" s="11" t="n">
        <v>106.962</v>
      </c>
      <c r="J10" s="11" t="n">
        <v>61.555</v>
      </c>
      <c r="K10" s="11" t="n">
        <v>72.31</v>
      </c>
      <c r="L10" s="11" t="n">
        <v>78.24</v>
      </c>
      <c r="M10" s="11" t="n">
        <f aca="false">SUM(G10:L10)</f>
        <v>604.632</v>
      </c>
      <c r="N10" s="11" t="n">
        <v>72.783</v>
      </c>
      <c r="O10" s="11" t="n">
        <v>29.191</v>
      </c>
      <c r="P10" s="11" t="n">
        <v>34.663</v>
      </c>
      <c r="Q10" s="11" t="n">
        <v>21.201</v>
      </c>
      <c r="R10" s="11" t="n">
        <v>22.532</v>
      </c>
      <c r="S10" s="11" t="n">
        <v>20.17</v>
      </c>
      <c r="T10" s="11" t="n">
        <f aca="false">SUM(N10:S10)</f>
        <v>200.54</v>
      </c>
      <c r="U10" s="11" t="n">
        <v>83.7</v>
      </c>
      <c r="V10" s="11" t="n">
        <v>41.17</v>
      </c>
      <c r="W10" s="11" t="n">
        <v>112.518</v>
      </c>
      <c r="X10" s="11" t="n">
        <v>52.6</v>
      </c>
      <c r="Y10" s="11" t="n">
        <v>75.59</v>
      </c>
      <c r="Z10" s="11" t="n">
        <v>115.225</v>
      </c>
      <c r="AA10" s="11" t="n">
        <f aca="false">SUM(U10:Z10)</f>
        <v>480.803</v>
      </c>
      <c r="AB10" s="11" t="n">
        <v>23.787</v>
      </c>
      <c r="AC10" s="11" t="n">
        <v>10.86</v>
      </c>
      <c r="AD10" s="11" t="n">
        <v>36.634</v>
      </c>
      <c r="AE10" s="11" t="n">
        <v>16.819</v>
      </c>
      <c r="AF10" s="11" t="n">
        <v>21.22</v>
      </c>
      <c r="AG10" s="11" t="n">
        <v>37.85</v>
      </c>
      <c r="AH10" s="11" t="n">
        <f aca="false">SUM(AB10:AG10)</f>
        <v>147.17</v>
      </c>
    </row>
    <row r="11" customFormat="false" ht="15" hidden="false" customHeight="false" outlineLevel="2" collapsed="false">
      <c r="A11" s="8" t="s">
        <v>88</v>
      </c>
      <c r="B11" s="12" t="s">
        <v>89</v>
      </c>
      <c r="C11" s="8" t="s">
        <v>69</v>
      </c>
      <c r="D11" s="12" t="s">
        <v>70</v>
      </c>
      <c r="E11" s="16"/>
      <c r="F11" s="9" t="str">
        <f aca="false">IF($E11="","",IFERROR(INDEX(担当者マスタ!$B$2:$B$101,MATCH($E11,担当者マスタ!$A$2:$A$101,0)),"※マスタ未登録"))</f>
        <v/>
      </c>
      <c r="G11" s="11" t="n">
        <v>0</v>
      </c>
      <c r="H11" s="11" t="n">
        <v>0</v>
      </c>
      <c r="I11" s="11" t="n">
        <v>23.1</v>
      </c>
      <c r="J11" s="11" t="n">
        <v>0</v>
      </c>
      <c r="K11" s="11" t="n">
        <v>0</v>
      </c>
      <c r="L11" s="11" t="n">
        <v>8.96</v>
      </c>
      <c r="M11" s="11" t="n">
        <f aca="false">SUM(G11:L11)</f>
        <v>32.06</v>
      </c>
      <c r="N11" s="11" t="n">
        <v>0</v>
      </c>
      <c r="O11" s="11" t="n">
        <v>0</v>
      </c>
      <c r="P11" s="11" t="n">
        <v>4.95</v>
      </c>
      <c r="Q11" s="11" t="n">
        <v>0</v>
      </c>
      <c r="R11" s="11" t="n">
        <v>0</v>
      </c>
      <c r="S11" s="11" t="n">
        <v>1.8</v>
      </c>
      <c r="T11" s="11" t="n">
        <f aca="false">SUM(N11:S11)</f>
        <v>6.75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f aca="false">SUM(U11:Z11)</f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f aca="false">SUM(AB11:AG11)</f>
        <v>0</v>
      </c>
    </row>
    <row r="12" customFormat="false" ht="15" hidden="false" customHeight="false" outlineLevel="2" collapsed="false">
      <c r="A12" s="8" t="s">
        <v>90</v>
      </c>
      <c r="B12" s="9" t="s">
        <v>91</v>
      </c>
      <c r="C12" s="8" t="s">
        <v>69</v>
      </c>
      <c r="D12" s="12" t="s">
        <v>70</v>
      </c>
      <c r="E12" s="16"/>
      <c r="F12" s="9" t="str">
        <f aca="false">IF($E12="","",IFERROR(INDEX(担当者マスタ!$B$2:$B$101,MATCH($E12,担当者マスタ!$A$2:$A$101,0)),"※マスタ未登録"))</f>
        <v/>
      </c>
      <c r="G12" s="11" t="n">
        <v>1150.858</v>
      </c>
      <c r="H12" s="11" t="n">
        <v>598</v>
      </c>
      <c r="I12" s="11" t="n">
        <v>0</v>
      </c>
      <c r="J12" s="11" t="n">
        <v>237.8</v>
      </c>
      <c r="K12" s="11" t="n">
        <v>479.33</v>
      </c>
      <c r="L12" s="11" t="n">
        <v>125.88</v>
      </c>
      <c r="M12" s="11" t="n">
        <f aca="false">SUM(G12:L12)</f>
        <v>2591.868</v>
      </c>
      <c r="N12" s="11" t="n">
        <v>228.633</v>
      </c>
      <c r="O12" s="11" t="n">
        <v>33</v>
      </c>
      <c r="P12" s="11" t="n">
        <v>0</v>
      </c>
      <c r="Q12" s="11" t="n">
        <v>38.1</v>
      </c>
      <c r="R12" s="11" t="n">
        <v>97.446</v>
      </c>
      <c r="S12" s="11" t="n">
        <v>19.84</v>
      </c>
      <c r="T12" s="11" t="n">
        <f aca="false">SUM(N12:S12)</f>
        <v>417.019</v>
      </c>
      <c r="U12" s="11" t="n">
        <v>4.2</v>
      </c>
      <c r="V12" s="11" t="n">
        <v>0</v>
      </c>
      <c r="W12" s="11" t="n">
        <v>8.4</v>
      </c>
      <c r="X12" s="11" t="n">
        <v>0</v>
      </c>
      <c r="Y12" s="11" t="n">
        <v>6.3</v>
      </c>
      <c r="Z12" s="11" t="n">
        <v>4.2</v>
      </c>
      <c r="AA12" s="11" t="n">
        <f aca="false">SUM(U12:Z12)</f>
        <v>23.1</v>
      </c>
      <c r="AB12" s="11" t="n">
        <v>0.6</v>
      </c>
      <c r="AC12" s="11" t="n">
        <v>0</v>
      </c>
      <c r="AD12" s="11" t="n">
        <v>1.2</v>
      </c>
      <c r="AE12" s="11" t="n">
        <v>0</v>
      </c>
      <c r="AF12" s="11" t="n">
        <v>0.9</v>
      </c>
      <c r="AG12" s="11" t="n">
        <v>0.6</v>
      </c>
      <c r="AH12" s="11" t="n">
        <f aca="false">SUM(AB12:AG12)</f>
        <v>3.3</v>
      </c>
    </row>
    <row r="13" customFormat="false" ht="15" hidden="false" customHeight="false" outlineLevel="2" collapsed="false">
      <c r="A13" s="8" t="s">
        <v>92</v>
      </c>
      <c r="B13" s="12" t="s">
        <v>93</v>
      </c>
      <c r="C13" s="8" t="s">
        <v>69</v>
      </c>
      <c r="D13" s="12" t="s">
        <v>70</v>
      </c>
      <c r="E13" s="16"/>
      <c r="F13" s="9" t="str">
        <f aca="false">IF($E13="","",IFERROR(INDEX(担当者マスタ!$B$2:$B$101,MATCH($E13,担当者マスタ!$A$2:$A$101,0)),"※マスタ未登録"))</f>
        <v/>
      </c>
      <c r="G13" s="11" t="n">
        <v>11.328</v>
      </c>
      <c r="H13" s="11" t="n">
        <v>10.152</v>
      </c>
      <c r="I13" s="11" t="n">
        <v>13.992</v>
      </c>
      <c r="J13" s="11" t="n">
        <v>10.896</v>
      </c>
      <c r="K13" s="11" t="n">
        <v>14.712</v>
      </c>
      <c r="L13" s="11" t="n">
        <v>10.896</v>
      </c>
      <c r="M13" s="11" t="n">
        <f aca="false">SUM(G13:L13)</f>
        <v>71.976</v>
      </c>
      <c r="N13" s="11" t="n">
        <v>2.376</v>
      </c>
      <c r="O13" s="11" t="n">
        <v>2.136</v>
      </c>
      <c r="P13" s="11" t="n">
        <v>3.048</v>
      </c>
      <c r="Q13" s="11" t="n">
        <v>2.352</v>
      </c>
      <c r="R13" s="11" t="n">
        <v>3.096</v>
      </c>
      <c r="S13" s="11" t="n">
        <v>2.352</v>
      </c>
      <c r="T13" s="11" t="n">
        <f aca="false">SUM(N13:S13)</f>
        <v>15.36</v>
      </c>
      <c r="U13" s="11" t="n">
        <v>9.912</v>
      </c>
      <c r="V13" s="11" t="n">
        <v>8.616</v>
      </c>
      <c r="W13" s="11" t="n">
        <v>6.48</v>
      </c>
      <c r="X13" s="11" t="n">
        <v>12.048</v>
      </c>
      <c r="Y13" s="11" t="n">
        <v>8.616</v>
      </c>
      <c r="Z13" s="11" t="n">
        <v>8.616</v>
      </c>
      <c r="AA13" s="11" t="n">
        <f aca="false">SUM(U13:Z13)</f>
        <v>54.288</v>
      </c>
      <c r="AB13" s="11" t="n">
        <v>2.832</v>
      </c>
      <c r="AC13" s="11" t="n">
        <v>2.472</v>
      </c>
      <c r="AD13" s="11" t="n">
        <v>1.8</v>
      </c>
      <c r="AE13" s="11" t="n">
        <v>2.928</v>
      </c>
      <c r="AF13" s="11" t="n">
        <v>1.992</v>
      </c>
      <c r="AG13" s="11" t="n">
        <v>1.992</v>
      </c>
      <c r="AH13" s="11" t="n">
        <f aca="false">SUM(AB13:AG13)</f>
        <v>14.016</v>
      </c>
    </row>
    <row r="14" customFormat="false" ht="15" hidden="false" customHeight="false" outlineLevel="2" collapsed="false">
      <c r="A14" s="8" t="s">
        <v>94</v>
      </c>
      <c r="B14" s="12" t="s">
        <v>95</v>
      </c>
      <c r="C14" s="8" t="s">
        <v>69</v>
      </c>
      <c r="D14" s="12" t="s">
        <v>70</v>
      </c>
      <c r="E14" s="16"/>
      <c r="F14" s="9" t="str">
        <f aca="false">IF($E14="","",IFERROR(INDEX(担当者マスタ!$B$2:$B$101,MATCH($E14,担当者マスタ!$A$2:$A$101,0)),"※マスタ未登録"))</f>
        <v/>
      </c>
      <c r="G14" s="11" t="n">
        <v>194.978</v>
      </c>
      <c r="H14" s="11" t="n">
        <v>271.234</v>
      </c>
      <c r="I14" s="11" t="n">
        <v>458.92</v>
      </c>
      <c r="J14" s="11" t="n">
        <v>174.512</v>
      </c>
      <c r="K14" s="11" t="n">
        <v>242.428</v>
      </c>
      <c r="L14" s="11" t="n">
        <v>287.871</v>
      </c>
      <c r="M14" s="11" t="n">
        <f aca="false">SUM(G14:L14)</f>
        <v>1629.943</v>
      </c>
      <c r="N14" s="11" t="n">
        <v>77.311</v>
      </c>
      <c r="O14" s="11" t="n">
        <v>94.519</v>
      </c>
      <c r="P14" s="11" t="n">
        <v>135.017</v>
      </c>
      <c r="Q14" s="11" t="n">
        <v>49.531</v>
      </c>
      <c r="R14" s="11" t="n">
        <v>82.871</v>
      </c>
      <c r="S14" s="11" t="n">
        <v>74.615</v>
      </c>
      <c r="T14" s="11" t="n">
        <f aca="false">SUM(N14:S14)</f>
        <v>513.864</v>
      </c>
      <c r="U14" s="11" t="n">
        <v>350.69</v>
      </c>
      <c r="V14" s="11" t="n">
        <v>171.46</v>
      </c>
      <c r="W14" s="11" t="n">
        <v>425.923</v>
      </c>
      <c r="X14" s="11" t="n">
        <v>266.668</v>
      </c>
      <c r="Y14" s="11" t="n">
        <v>312.111</v>
      </c>
      <c r="Z14" s="11" t="n">
        <v>242.54</v>
      </c>
      <c r="AA14" s="11" t="n">
        <f aca="false">SUM(U14:Z14)</f>
        <v>1769.392</v>
      </c>
      <c r="AB14" s="11" t="n">
        <v>115.343</v>
      </c>
      <c r="AC14" s="11" t="n">
        <v>52.855</v>
      </c>
      <c r="AD14" s="11" t="n">
        <v>119.493</v>
      </c>
      <c r="AE14" s="11" t="n">
        <v>82.149</v>
      </c>
      <c r="AF14" s="11" t="n">
        <v>90.802</v>
      </c>
      <c r="AG14" s="11" t="n">
        <v>74.657</v>
      </c>
      <c r="AH14" s="11" t="n">
        <f aca="false">SUM(AB14:AG14)</f>
        <v>535.299</v>
      </c>
    </row>
    <row r="15" customFormat="false" ht="15" hidden="false" customHeight="false" outlineLevel="2" collapsed="false">
      <c r="A15" s="8" t="s">
        <v>96</v>
      </c>
      <c r="B15" s="12" t="s">
        <v>97</v>
      </c>
      <c r="C15" s="8" t="s">
        <v>69</v>
      </c>
      <c r="D15" s="12" t="s">
        <v>70</v>
      </c>
      <c r="E15" s="16"/>
      <c r="F15" s="9" t="str">
        <f aca="false">IF($E15="","",IFERROR(INDEX(担当者マスタ!$B$2:$B$101,MATCH($E15,担当者マスタ!$A$2:$A$101,0)),"※マスタ未登録"))</f>
        <v/>
      </c>
      <c r="G15" s="11" t="n">
        <v>375.095</v>
      </c>
      <c r="H15" s="11" t="n">
        <v>300.763</v>
      </c>
      <c r="I15" s="11" t="n">
        <v>358.827</v>
      </c>
      <c r="J15" s="11" t="n">
        <v>168.396</v>
      </c>
      <c r="K15" s="11" t="n">
        <v>266.131</v>
      </c>
      <c r="L15" s="11" t="n">
        <v>292.713</v>
      </c>
      <c r="M15" s="11" t="n">
        <f aca="false">SUM(G15:L15)</f>
        <v>1761.925</v>
      </c>
      <c r="N15" s="11" t="n">
        <v>117.531</v>
      </c>
      <c r="O15" s="11" t="n">
        <v>96.673</v>
      </c>
      <c r="P15" s="11" t="n">
        <v>110.662</v>
      </c>
      <c r="Q15" s="11" t="n">
        <v>52.538</v>
      </c>
      <c r="R15" s="11" t="n">
        <v>85.24</v>
      </c>
      <c r="S15" s="11" t="n">
        <v>95.156</v>
      </c>
      <c r="T15" s="11" t="n">
        <f aca="false">SUM(N15:S15)</f>
        <v>557.8</v>
      </c>
      <c r="U15" s="11" t="n">
        <v>389.489</v>
      </c>
      <c r="V15" s="11" t="n">
        <v>320.151</v>
      </c>
      <c r="W15" s="11" t="n">
        <v>438.299</v>
      </c>
      <c r="X15" s="11" t="n">
        <v>287.297</v>
      </c>
      <c r="Y15" s="11" t="n">
        <v>268.709</v>
      </c>
      <c r="Z15" s="11" t="n">
        <v>331.839</v>
      </c>
      <c r="AA15" s="11" t="n">
        <f aca="false">SUM(U15:Z15)</f>
        <v>2035.784</v>
      </c>
      <c r="AB15" s="11" t="n">
        <v>121.989</v>
      </c>
      <c r="AC15" s="11" t="n">
        <v>102.214</v>
      </c>
      <c r="AD15" s="11" t="n">
        <v>140.126</v>
      </c>
      <c r="AE15" s="11" t="n">
        <v>93.285</v>
      </c>
      <c r="AF15" s="11" t="n">
        <v>84.583</v>
      </c>
      <c r="AG15" s="11" t="n">
        <v>105.34</v>
      </c>
      <c r="AH15" s="11" t="n">
        <f aca="false">SUM(AB15:AG15)</f>
        <v>647.537</v>
      </c>
    </row>
    <row r="16" customFormat="false" ht="15" hidden="false" customHeight="false" outlineLevel="2" collapsed="false">
      <c r="A16" s="8" t="s">
        <v>98</v>
      </c>
      <c r="B16" s="12" t="s">
        <v>99</v>
      </c>
      <c r="C16" s="8" t="s">
        <v>69</v>
      </c>
      <c r="D16" s="12" t="s">
        <v>70</v>
      </c>
      <c r="E16" s="16"/>
      <c r="F16" s="9" t="str">
        <f aca="false">IF($E16="","",IFERROR(INDEX(担当者マスタ!$B$2:$B$101,MATCH($E16,担当者マスタ!$A$2:$A$101,0)),"※マスタ未登録"))</f>
        <v/>
      </c>
      <c r="G16" s="11" t="n">
        <v>48.335</v>
      </c>
      <c r="H16" s="11" t="n">
        <v>54.516</v>
      </c>
      <c r="I16" s="11" t="n">
        <v>121.202</v>
      </c>
      <c r="J16" s="11" t="n">
        <v>0</v>
      </c>
      <c r="K16" s="11" t="n">
        <v>0</v>
      </c>
      <c r="L16" s="11" t="n">
        <v>0</v>
      </c>
      <c r="M16" s="11" t="n">
        <f aca="false">SUM(G16:L16)</f>
        <v>224.053</v>
      </c>
      <c r="N16" s="11" t="n">
        <v>17.99</v>
      </c>
      <c r="O16" s="11" t="n">
        <v>19.422</v>
      </c>
      <c r="P16" s="11" t="n">
        <v>44.878</v>
      </c>
      <c r="Q16" s="11" t="n">
        <v>0</v>
      </c>
      <c r="R16" s="11" t="n">
        <v>0</v>
      </c>
      <c r="S16" s="11" t="n">
        <v>0</v>
      </c>
      <c r="T16" s="11" t="n">
        <f aca="false">SUM(N16:S16)</f>
        <v>82.29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f aca="false">SUM(U16:Z16)</f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f aca="false">SUM(AB16:AG16)</f>
        <v>0</v>
      </c>
    </row>
    <row r="17" customFormat="false" ht="15" hidden="false" customHeight="false" outlineLevel="2" collapsed="false">
      <c r="A17" s="8" t="s">
        <v>100</v>
      </c>
      <c r="B17" s="12" t="s">
        <v>101</v>
      </c>
      <c r="C17" s="8" t="s">
        <v>69</v>
      </c>
      <c r="D17" s="12" t="s">
        <v>70</v>
      </c>
      <c r="E17" s="16"/>
      <c r="F17" s="9" t="str">
        <f aca="false">IF($E17="","",IFERROR(INDEX(担当者マスタ!$B$2:$B$101,MATCH($E17,担当者マスタ!$A$2:$A$101,0)),"※マスタ未登録"))</f>
        <v/>
      </c>
      <c r="G17" s="11" t="n">
        <v>61.64</v>
      </c>
      <c r="H17" s="11" t="n">
        <v>0</v>
      </c>
      <c r="I17" s="11" t="n">
        <v>0</v>
      </c>
      <c r="J17" s="11" t="n">
        <v>17.04</v>
      </c>
      <c r="K17" s="11" t="n">
        <v>44.6</v>
      </c>
      <c r="L17" s="11" t="n">
        <v>0</v>
      </c>
      <c r="M17" s="11" t="n">
        <f aca="false">SUM(G17:L17)</f>
        <v>123.28</v>
      </c>
      <c r="N17" s="11" t="n">
        <v>25.44</v>
      </c>
      <c r="O17" s="11" t="n">
        <v>0</v>
      </c>
      <c r="P17" s="11" t="n">
        <v>0</v>
      </c>
      <c r="Q17" s="11" t="n">
        <v>7.44</v>
      </c>
      <c r="R17" s="11" t="n">
        <v>18</v>
      </c>
      <c r="S17" s="11" t="n">
        <v>0</v>
      </c>
      <c r="T17" s="11" t="n">
        <f aca="false">SUM(N17:S17)</f>
        <v>50.88</v>
      </c>
      <c r="U17" s="11" t="n">
        <v>0</v>
      </c>
      <c r="V17" s="11" t="n">
        <v>17.04</v>
      </c>
      <c r="W17" s="11" t="n">
        <v>49.2</v>
      </c>
      <c r="X17" s="11" t="n">
        <v>0</v>
      </c>
      <c r="Y17" s="11" t="n">
        <v>0</v>
      </c>
      <c r="Z17" s="11" t="n">
        <v>76.375</v>
      </c>
      <c r="AA17" s="11" t="n">
        <f aca="false">SUM(U17:Z17)</f>
        <v>142.615</v>
      </c>
      <c r="AB17" s="11" t="n">
        <v>0</v>
      </c>
      <c r="AC17" s="11" t="n">
        <v>7.44</v>
      </c>
      <c r="AD17" s="11" t="n">
        <v>22.6</v>
      </c>
      <c r="AE17" s="11" t="n">
        <v>0</v>
      </c>
      <c r="AF17" s="11" t="n">
        <v>0</v>
      </c>
      <c r="AG17" s="11" t="n">
        <v>19.725</v>
      </c>
      <c r="AH17" s="11" t="n">
        <f aca="false">SUM(AB17:AG17)</f>
        <v>49.765</v>
      </c>
    </row>
    <row r="18" customFormat="false" ht="15" hidden="false" customHeight="false" outlineLevel="2" collapsed="false">
      <c r="A18" s="8" t="s">
        <v>102</v>
      </c>
      <c r="B18" s="12" t="s">
        <v>103</v>
      </c>
      <c r="C18" s="8" t="s">
        <v>69</v>
      </c>
      <c r="D18" s="12" t="s">
        <v>70</v>
      </c>
      <c r="E18" s="16"/>
      <c r="F18" s="9" t="str">
        <f aca="false">IF($E18="","",IFERROR(INDEX(担当者マスタ!$B$2:$B$101,MATCH($E18,担当者マスタ!$A$2:$A$101,0)),"※マスタ未登録"))</f>
        <v/>
      </c>
      <c r="G18" s="11" t="n">
        <v>0</v>
      </c>
      <c r="H18" s="11" t="n">
        <v>71.65</v>
      </c>
      <c r="I18" s="11" t="n">
        <v>0</v>
      </c>
      <c r="J18" s="11" t="n">
        <v>0</v>
      </c>
      <c r="K18" s="11" t="n">
        <v>25.5</v>
      </c>
      <c r="L18" s="11" t="n">
        <v>0</v>
      </c>
      <c r="M18" s="11" t="n">
        <f aca="false">SUM(G18:L18)</f>
        <v>97.15</v>
      </c>
      <c r="N18" s="11" t="n">
        <v>0</v>
      </c>
      <c r="O18" s="11" t="n">
        <v>32.5</v>
      </c>
      <c r="P18" s="11" t="n">
        <v>0</v>
      </c>
      <c r="Q18" s="11" t="n">
        <v>0</v>
      </c>
      <c r="R18" s="11" t="n">
        <v>12.96</v>
      </c>
      <c r="S18" s="11" t="n">
        <v>0</v>
      </c>
      <c r="T18" s="11" t="n">
        <f aca="false">SUM(N18:S18)</f>
        <v>45.46</v>
      </c>
      <c r="U18" s="11" t="n">
        <v>0</v>
      </c>
      <c r="V18" s="11" t="n">
        <v>54.65</v>
      </c>
      <c r="W18" s="11" t="n">
        <v>0</v>
      </c>
      <c r="X18" s="11" t="n">
        <v>0</v>
      </c>
      <c r="Y18" s="11" t="n">
        <v>0</v>
      </c>
      <c r="Z18" s="11" t="n">
        <v>264</v>
      </c>
      <c r="AA18" s="11" t="n">
        <f aca="false">SUM(U18:Z18)</f>
        <v>318.65</v>
      </c>
      <c r="AB18" s="11" t="n">
        <v>0</v>
      </c>
      <c r="AC18" s="11" t="n">
        <v>25.18</v>
      </c>
      <c r="AD18" s="11" t="n">
        <v>0</v>
      </c>
      <c r="AE18" s="11" t="n">
        <v>0</v>
      </c>
      <c r="AF18" s="11" t="n">
        <v>0</v>
      </c>
      <c r="AG18" s="11" t="n">
        <v>19.8</v>
      </c>
      <c r="AH18" s="11" t="n">
        <f aca="false">SUM(AB18:AG18)</f>
        <v>44.98</v>
      </c>
    </row>
    <row r="19" customFormat="false" ht="15" hidden="false" customHeight="false" outlineLevel="2" collapsed="false">
      <c r="A19" s="8" t="s">
        <v>104</v>
      </c>
      <c r="B19" s="12" t="s">
        <v>105</v>
      </c>
      <c r="C19" s="8" t="s">
        <v>69</v>
      </c>
      <c r="D19" s="12" t="s">
        <v>70</v>
      </c>
      <c r="E19" s="16"/>
      <c r="F19" s="9" t="str">
        <f aca="false">IF($E19="","",IFERROR(INDEX(担当者マスタ!$B$2:$B$101,MATCH($E19,担当者マスタ!$A$2:$A$101,0)),"※マスタ未登録"))</f>
        <v/>
      </c>
      <c r="G19" s="11" t="n">
        <v>37.557</v>
      </c>
      <c r="H19" s="11" t="n">
        <v>89.972</v>
      </c>
      <c r="I19" s="11" t="n">
        <v>17.389</v>
      </c>
      <c r="J19" s="11" t="n">
        <v>63.257</v>
      </c>
      <c r="K19" s="11" t="n">
        <v>17.566</v>
      </c>
      <c r="L19" s="11" t="n">
        <v>31.898</v>
      </c>
      <c r="M19" s="11" t="n">
        <f aca="false">SUM(G19:L19)</f>
        <v>257.639</v>
      </c>
      <c r="N19" s="11" t="n">
        <v>16.682</v>
      </c>
      <c r="O19" s="11" t="n">
        <v>39.907</v>
      </c>
      <c r="P19" s="11" t="n">
        <v>7.969</v>
      </c>
      <c r="Q19" s="11" t="n">
        <v>26.385</v>
      </c>
      <c r="R19" s="11" t="n">
        <v>8.294</v>
      </c>
      <c r="S19" s="11" t="n">
        <v>13.646</v>
      </c>
      <c r="T19" s="11" t="n">
        <f aca="false">SUM(N19:S19)</f>
        <v>112.883</v>
      </c>
      <c r="U19" s="11" t="n">
        <v>30.521</v>
      </c>
      <c r="V19" s="11" t="n">
        <v>0</v>
      </c>
      <c r="W19" s="11" t="n">
        <v>23.912</v>
      </c>
      <c r="X19" s="11" t="n">
        <v>0</v>
      </c>
      <c r="Y19" s="11" t="n">
        <v>0</v>
      </c>
      <c r="Z19" s="11" t="n">
        <v>0</v>
      </c>
      <c r="AA19" s="11" t="n">
        <f aca="false">SUM(U19:Z19)</f>
        <v>54.433</v>
      </c>
      <c r="AB19" s="11" t="n">
        <v>13.483</v>
      </c>
      <c r="AC19" s="11" t="n">
        <v>0</v>
      </c>
      <c r="AD19" s="11" t="n">
        <v>10.427</v>
      </c>
      <c r="AE19" s="11" t="n">
        <v>0</v>
      </c>
      <c r="AF19" s="11" t="n">
        <v>0</v>
      </c>
      <c r="AG19" s="11" t="n">
        <v>0</v>
      </c>
      <c r="AH19" s="11" t="n">
        <f aca="false">SUM(AB19:AG19)</f>
        <v>23.91</v>
      </c>
    </row>
    <row r="20" customFormat="false" ht="15" hidden="false" customHeight="false" outlineLevel="2" collapsed="false">
      <c r="A20" s="8" t="s">
        <v>106</v>
      </c>
      <c r="B20" s="9" t="s">
        <v>107</v>
      </c>
      <c r="C20" s="8" t="s">
        <v>69</v>
      </c>
      <c r="D20" s="12" t="s">
        <v>70</v>
      </c>
      <c r="E20" s="16"/>
      <c r="F20" s="9" t="str">
        <f aca="false">IF($E20="","",IFERROR(INDEX(担当者マスタ!$B$2:$B$101,MATCH($E20,担当者マスタ!$A$2:$A$101,0)),"※マスタ未登録"))</f>
        <v/>
      </c>
      <c r="G20" s="11" t="n">
        <v>3.6</v>
      </c>
      <c r="H20" s="11" t="n">
        <v>0</v>
      </c>
      <c r="I20" s="11" t="n">
        <v>0</v>
      </c>
      <c r="J20" s="11" t="n">
        <v>8.91</v>
      </c>
      <c r="K20" s="11" t="n">
        <v>0</v>
      </c>
      <c r="L20" s="11" t="n">
        <v>0</v>
      </c>
      <c r="M20" s="11" t="n">
        <f aca="false">SUM(G20:L20)</f>
        <v>12.51</v>
      </c>
      <c r="N20" s="11" t="n">
        <v>1.47</v>
      </c>
      <c r="O20" s="11" t="n">
        <v>0</v>
      </c>
      <c r="P20" s="11" t="n">
        <v>0</v>
      </c>
      <c r="Q20" s="11" t="n">
        <v>1.337</v>
      </c>
      <c r="R20" s="11" t="n">
        <v>0</v>
      </c>
      <c r="S20" s="11" t="n">
        <v>0</v>
      </c>
      <c r="T20" s="11" t="n">
        <f aca="false">SUM(N20:S20)</f>
        <v>2.807</v>
      </c>
      <c r="U20" s="11" t="n">
        <v>0</v>
      </c>
      <c r="V20" s="11" t="n">
        <v>7.7</v>
      </c>
      <c r="W20" s="11" t="n">
        <v>4.885</v>
      </c>
      <c r="X20" s="11" t="n">
        <v>75.87</v>
      </c>
      <c r="Y20" s="11" t="n">
        <v>0</v>
      </c>
      <c r="Z20" s="11" t="n">
        <v>0</v>
      </c>
      <c r="AA20" s="11" t="n">
        <f aca="false">SUM(U20:Z20)</f>
        <v>88.455</v>
      </c>
      <c r="AB20" s="11" t="n">
        <v>0</v>
      </c>
      <c r="AC20" s="11" t="n">
        <v>2.95</v>
      </c>
      <c r="AD20" s="11" t="n">
        <v>1.82</v>
      </c>
      <c r="AE20" s="11" t="n">
        <v>21.287</v>
      </c>
      <c r="AF20" s="11" t="n">
        <v>0</v>
      </c>
      <c r="AG20" s="11" t="n">
        <v>0</v>
      </c>
      <c r="AH20" s="11" t="n">
        <f aca="false">SUM(AB20:AG20)</f>
        <v>26.057</v>
      </c>
    </row>
    <row r="21" customFormat="false" ht="15" hidden="false" customHeight="false" outlineLevel="2" collapsed="false">
      <c r="A21" s="8" t="s">
        <v>108</v>
      </c>
      <c r="B21" s="12" t="s">
        <v>109</v>
      </c>
      <c r="C21" s="8" t="s">
        <v>69</v>
      </c>
      <c r="D21" s="12" t="s">
        <v>70</v>
      </c>
      <c r="E21" s="16"/>
      <c r="F21" s="9" t="str">
        <f aca="false">IF($E21="","",IFERROR(INDEX(担当者マスタ!$B$2:$B$101,MATCH($E21,担当者マスタ!$A$2:$A$101,0)),"※マスタ未登録"))</f>
        <v/>
      </c>
      <c r="G21" s="11" t="n">
        <v>415.146</v>
      </c>
      <c r="H21" s="11" t="n">
        <v>36.7</v>
      </c>
      <c r="I21" s="11" t="n">
        <v>0</v>
      </c>
      <c r="J21" s="11" t="n">
        <v>17.2</v>
      </c>
      <c r="K21" s="11" t="n">
        <v>0</v>
      </c>
      <c r="L21" s="11" t="n">
        <v>0</v>
      </c>
      <c r="M21" s="11" t="n">
        <f aca="false">SUM(G21:L21)</f>
        <v>469.046</v>
      </c>
      <c r="N21" s="11" t="n">
        <v>138.535</v>
      </c>
      <c r="O21" s="11" t="n">
        <v>13.918</v>
      </c>
      <c r="P21" s="11" t="n">
        <v>0</v>
      </c>
      <c r="Q21" s="11" t="n">
        <v>4.4</v>
      </c>
      <c r="R21" s="11" t="n">
        <v>0</v>
      </c>
      <c r="S21" s="11" t="n">
        <v>0</v>
      </c>
      <c r="T21" s="11" t="n">
        <f aca="false">SUM(N21:S21)</f>
        <v>156.853</v>
      </c>
      <c r="U21" s="11" t="n">
        <v>65.8</v>
      </c>
      <c r="V21" s="11" t="n">
        <v>301.35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f aca="false">SUM(U21:Z21)</f>
        <v>367.15</v>
      </c>
      <c r="AB21" s="11" t="n">
        <v>38.04</v>
      </c>
      <c r="AC21" s="11" t="n">
        <v>90.904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f aca="false">SUM(AB21:AG21)</f>
        <v>128.944</v>
      </c>
    </row>
    <row r="22" customFormat="false" ht="15" hidden="false" customHeight="false" outlineLevel="2" collapsed="false">
      <c r="A22" s="8" t="s">
        <v>110</v>
      </c>
      <c r="B22" s="12" t="s">
        <v>111</v>
      </c>
      <c r="C22" s="8" t="s">
        <v>69</v>
      </c>
      <c r="D22" s="12" t="s">
        <v>70</v>
      </c>
      <c r="E22" s="16"/>
      <c r="F22" s="9" t="str">
        <f aca="false">IF($E22="","",IFERROR(INDEX(担当者マスタ!$B$2:$B$101,MATCH($E22,担当者マスタ!$A$2:$A$101,0)),"※マスタ未登録"))</f>
        <v/>
      </c>
      <c r="G22" s="11" t="n">
        <v>61.198</v>
      </c>
      <c r="H22" s="11" t="n">
        <v>41.933</v>
      </c>
      <c r="I22" s="11" t="n">
        <v>36.788</v>
      </c>
      <c r="J22" s="11" t="n">
        <v>11.237</v>
      </c>
      <c r="K22" s="11" t="n">
        <v>12.466</v>
      </c>
      <c r="L22" s="11" t="n">
        <v>16.468</v>
      </c>
      <c r="M22" s="11" t="n">
        <f aca="false">SUM(G22:L22)</f>
        <v>180.09</v>
      </c>
      <c r="N22" s="11" t="n">
        <v>18.778</v>
      </c>
      <c r="O22" s="11" t="n">
        <v>13.409</v>
      </c>
      <c r="P22" s="11" t="n">
        <v>11.611</v>
      </c>
      <c r="Q22" s="11" t="n">
        <v>3.099</v>
      </c>
      <c r="R22" s="11" t="n">
        <v>3.768</v>
      </c>
      <c r="S22" s="11" t="n">
        <v>4.696</v>
      </c>
      <c r="T22" s="11" t="n">
        <f aca="false">SUM(N22:S22)</f>
        <v>55.361</v>
      </c>
      <c r="U22" s="11" t="n">
        <v>45.948</v>
      </c>
      <c r="V22" s="11" t="n">
        <v>44.112</v>
      </c>
      <c r="W22" s="11" t="n">
        <v>27.378</v>
      </c>
      <c r="X22" s="11" t="n">
        <v>17.512</v>
      </c>
      <c r="Y22" s="11" t="n">
        <v>19.022</v>
      </c>
      <c r="Z22" s="11" t="n">
        <v>29.266</v>
      </c>
      <c r="AA22" s="11" t="n">
        <f aca="false">SUM(U22:Z22)</f>
        <v>183.238</v>
      </c>
      <c r="AB22" s="11" t="n">
        <v>12.63</v>
      </c>
      <c r="AC22" s="11" t="n">
        <v>11.067</v>
      </c>
      <c r="AD22" s="11" t="n">
        <v>8.009</v>
      </c>
      <c r="AE22" s="11" t="n">
        <v>5.152</v>
      </c>
      <c r="AF22" s="11" t="n">
        <v>5.57</v>
      </c>
      <c r="AG22" s="11" t="n">
        <v>8.576</v>
      </c>
      <c r="AH22" s="11" t="n">
        <f aca="false">SUM(AB22:AG22)</f>
        <v>51.004</v>
      </c>
    </row>
    <row r="23" customFormat="false" ht="15" hidden="false" customHeight="false" outlineLevel="2" collapsed="false">
      <c r="A23" s="8" t="s">
        <v>112</v>
      </c>
      <c r="B23" s="12" t="s">
        <v>113</v>
      </c>
      <c r="C23" s="8" t="s">
        <v>69</v>
      </c>
      <c r="D23" s="12" t="s">
        <v>70</v>
      </c>
      <c r="E23" s="16"/>
      <c r="F23" s="9" t="str">
        <f aca="false">IF($E23="","",IFERROR(INDEX(担当者マスタ!$B$2:$B$101,MATCH($E23,担当者マスタ!$A$2:$A$101,0)),"※マスタ未登録"))</f>
        <v/>
      </c>
      <c r="G23" s="11" t="n">
        <v>0</v>
      </c>
      <c r="H23" s="11" t="n">
        <v>19.87</v>
      </c>
      <c r="I23" s="11" t="n">
        <v>39.515</v>
      </c>
      <c r="J23" s="11" t="n">
        <v>0</v>
      </c>
      <c r="K23" s="11" t="n">
        <v>1.671</v>
      </c>
      <c r="L23" s="11" t="n">
        <v>0</v>
      </c>
      <c r="M23" s="11" t="n">
        <f aca="false">SUM(G23:L23)</f>
        <v>61.056</v>
      </c>
      <c r="N23" s="11" t="n">
        <v>0</v>
      </c>
      <c r="O23" s="11" t="n">
        <v>7.493</v>
      </c>
      <c r="P23" s="11" t="n">
        <v>13.272</v>
      </c>
      <c r="Q23" s="11" t="n">
        <v>0</v>
      </c>
      <c r="R23" s="11" t="n">
        <v>0.39</v>
      </c>
      <c r="S23" s="11" t="n">
        <v>0</v>
      </c>
      <c r="T23" s="11" t="n">
        <f aca="false">SUM(N23:S23)</f>
        <v>21.155</v>
      </c>
      <c r="U23" s="11" t="n">
        <v>11.293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15.6</v>
      </c>
      <c r="AA23" s="11" t="n">
        <f aca="false">SUM(U23:Z23)</f>
        <v>26.893</v>
      </c>
      <c r="AB23" s="11" t="n">
        <v>4.609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5.61</v>
      </c>
      <c r="AH23" s="11" t="n">
        <f aca="false">SUM(AB23:AG23)</f>
        <v>10.219</v>
      </c>
    </row>
    <row r="24" customFormat="false" ht="15" hidden="false" customHeight="false" outlineLevel="2" collapsed="false">
      <c r="A24" s="8" t="s">
        <v>114</v>
      </c>
      <c r="B24" s="12" t="s">
        <v>115</v>
      </c>
      <c r="C24" s="8" t="s">
        <v>69</v>
      </c>
      <c r="D24" s="12" t="s">
        <v>70</v>
      </c>
      <c r="E24" s="16"/>
      <c r="F24" s="9" t="str">
        <f aca="false">IF($E24="","",IFERROR(INDEX(担当者マスタ!$B$2:$B$101,MATCH($E24,担当者マスタ!$A$2:$A$101,0)),"※マスタ未登録"))</f>
        <v/>
      </c>
      <c r="G24" s="11" t="n">
        <v>81.652</v>
      </c>
      <c r="H24" s="11" t="n">
        <v>103.142</v>
      </c>
      <c r="I24" s="11" t="n">
        <v>30.82</v>
      </c>
      <c r="J24" s="11" t="n">
        <v>69.002</v>
      </c>
      <c r="K24" s="11" t="n">
        <v>82.885</v>
      </c>
      <c r="L24" s="11" t="n">
        <v>40.212</v>
      </c>
      <c r="M24" s="11" t="n">
        <f aca="false">SUM(G24:L24)</f>
        <v>407.713</v>
      </c>
      <c r="N24" s="11" t="n">
        <v>29.529</v>
      </c>
      <c r="O24" s="11" t="n">
        <v>35.36</v>
      </c>
      <c r="P24" s="11" t="n">
        <v>10.842</v>
      </c>
      <c r="Q24" s="11" t="n">
        <v>24.805</v>
      </c>
      <c r="R24" s="11" t="n">
        <v>29.002</v>
      </c>
      <c r="S24" s="11" t="n">
        <v>14.18</v>
      </c>
      <c r="T24" s="11" t="n">
        <f aca="false">SUM(N24:S24)</f>
        <v>143.718</v>
      </c>
      <c r="U24" s="11" t="n">
        <v>76.857</v>
      </c>
      <c r="V24" s="11" t="n">
        <v>54.502</v>
      </c>
      <c r="W24" s="11" t="n">
        <v>94.697</v>
      </c>
      <c r="X24" s="11" t="n">
        <v>75.08</v>
      </c>
      <c r="Y24" s="11" t="n">
        <v>76.407</v>
      </c>
      <c r="Z24" s="11" t="n">
        <v>89.922</v>
      </c>
      <c r="AA24" s="11" t="n">
        <f aca="false">SUM(U24:Z24)</f>
        <v>467.465</v>
      </c>
      <c r="AB24" s="11" t="n">
        <v>26.82</v>
      </c>
      <c r="AC24" s="11" t="n">
        <v>19.548</v>
      </c>
      <c r="AD24" s="11" t="n">
        <v>32.864</v>
      </c>
      <c r="AE24" s="11" t="n">
        <v>25.952</v>
      </c>
      <c r="AF24" s="11" t="n">
        <v>27.279</v>
      </c>
      <c r="AG24" s="11" t="n">
        <v>31.358</v>
      </c>
      <c r="AH24" s="11" t="n">
        <f aca="false">SUM(AB24:AG24)</f>
        <v>163.821</v>
      </c>
    </row>
    <row r="25" customFormat="false" ht="15" hidden="false" customHeight="false" outlineLevel="2" collapsed="false">
      <c r="A25" s="8" t="s">
        <v>116</v>
      </c>
      <c r="B25" s="12" t="s">
        <v>117</v>
      </c>
      <c r="C25" s="8" t="s">
        <v>69</v>
      </c>
      <c r="D25" s="12" t="s">
        <v>70</v>
      </c>
      <c r="E25" s="16"/>
      <c r="F25" s="9" t="str">
        <f aca="false">IF($E25="","",IFERROR(INDEX(担当者マスタ!$B$2:$B$101,MATCH($E25,担当者マスタ!$A$2:$A$101,0)),"※マスタ未登録"))</f>
        <v/>
      </c>
      <c r="G25" s="11" t="n">
        <v>1.93</v>
      </c>
      <c r="H25" s="11" t="n">
        <v>50.802</v>
      </c>
      <c r="I25" s="11" t="n">
        <v>0</v>
      </c>
      <c r="J25" s="11" t="n">
        <v>0</v>
      </c>
      <c r="K25" s="11" t="n">
        <v>5.72</v>
      </c>
      <c r="L25" s="11" t="n">
        <v>0</v>
      </c>
      <c r="M25" s="11" t="n">
        <f aca="false">SUM(G25:L25)</f>
        <v>58.452</v>
      </c>
      <c r="N25" s="11" t="n">
        <v>0.67</v>
      </c>
      <c r="O25" s="11" t="n">
        <v>27.556</v>
      </c>
      <c r="P25" s="11" t="n">
        <v>0</v>
      </c>
      <c r="Q25" s="11" t="n">
        <v>0</v>
      </c>
      <c r="R25" s="11" t="n">
        <v>1.82</v>
      </c>
      <c r="S25" s="11" t="n">
        <v>0</v>
      </c>
      <c r="T25" s="11" t="n">
        <f aca="false">SUM(N25:S25)</f>
        <v>30.046</v>
      </c>
      <c r="U25" s="11" t="n">
        <v>4.03</v>
      </c>
      <c r="V25" s="11" t="n">
        <v>45.277</v>
      </c>
      <c r="W25" s="11" t="n">
        <v>1.98</v>
      </c>
      <c r="X25" s="11" t="n">
        <v>4.27</v>
      </c>
      <c r="Y25" s="11" t="n">
        <v>0</v>
      </c>
      <c r="Z25" s="11" t="n">
        <v>25.922</v>
      </c>
      <c r="AA25" s="11" t="n">
        <f aca="false">SUM(U25:Z25)</f>
        <v>81.479</v>
      </c>
      <c r="AB25" s="11" t="n">
        <v>1.58</v>
      </c>
      <c r="AC25" s="11" t="n">
        <v>24.542</v>
      </c>
      <c r="AD25" s="11" t="n">
        <v>0.63</v>
      </c>
      <c r="AE25" s="11" t="n">
        <v>1.36</v>
      </c>
      <c r="AF25" s="11" t="n">
        <v>0</v>
      </c>
      <c r="AG25" s="11" t="n">
        <v>12.746</v>
      </c>
      <c r="AH25" s="11" t="n">
        <f aca="false">SUM(AB25:AG25)</f>
        <v>40.858</v>
      </c>
    </row>
    <row r="26" customFormat="false" ht="15" hidden="false" customHeight="false" outlineLevel="2" collapsed="false">
      <c r="A26" s="8" t="s">
        <v>118</v>
      </c>
      <c r="B26" s="12" t="s">
        <v>119</v>
      </c>
      <c r="C26" s="8" t="s">
        <v>69</v>
      </c>
      <c r="D26" s="12" t="s">
        <v>70</v>
      </c>
      <c r="E26" s="16"/>
      <c r="F26" s="9" t="str">
        <f aca="false">IF($E26="","",IFERROR(INDEX(担当者マスタ!$B$2:$B$101,MATCH($E26,担当者マスタ!$A$2:$A$101,0)),"※マスタ未登録"))</f>
        <v/>
      </c>
      <c r="G26" s="11" t="n">
        <v>0</v>
      </c>
      <c r="H26" s="11" t="n">
        <v>4.715</v>
      </c>
      <c r="I26" s="11" t="n">
        <v>3.98</v>
      </c>
      <c r="J26" s="11" t="n">
        <v>1.16</v>
      </c>
      <c r="K26" s="11" t="n">
        <v>0</v>
      </c>
      <c r="L26" s="11" t="n">
        <v>5.517</v>
      </c>
      <c r="M26" s="11" t="n">
        <f aca="false">SUM(G26:L26)</f>
        <v>15.372</v>
      </c>
      <c r="N26" s="11" t="n">
        <v>0</v>
      </c>
      <c r="O26" s="11" t="n">
        <v>2.015</v>
      </c>
      <c r="P26" s="11" t="n">
        <v>1.28</v>
      </c>
      <c r="Q26" s="11" t="n">
        <v>0.35</v>
      </c>
      <c r="R26" s="11" t="n">
        <v>0</v>
      </c>
      <c r="S26" s="11" t="n">
        <v>1.79</v>
      </c>
      <c r="T26" s="11" t="n">
        <f aca="false">SUM(N26:S26)</f>
        <v>5.435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f aca="false">SUM(U26:Z26)</f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f aca="false">SUM(AB26:AG26)</f>
        <v>0</v>
      </c>
    </row>
    <row r="27" customFormat="false" ht="15" hidden="false" customHeight="false" outlineLevel="2" collapsed="false">
      <c r="A27" s="8" t="s">
        <v>120</v>
      </c>
      <c r="B27" s="9" t="s">
        <v>121</v>
      </c>
      <c r="C27" s="8" t="s">
        <v>69</v>
      </c>
      <c r="D27" s="12" t="s">
        <v>70</v>
      </c>
      <c r="E27" s="16"/>
      <c r="F27" s="9" t="str">
        <f aca="false">IF($E27="","",IFERROR(INDEX(担当者マスタ!$B$2:$B$101,MATCH($E27,担当者マスタ!$A$2:$A$101,0)),"※マスタ未登録"))</f>
        <v/>
      </c>
      <c r="G27" s="11" t="n">
        <v>51.541</v>
      </c>
      <c r="H27" s="11" t="n">
        <v>19.414</v>
      </c>
      <c r="I27" s="11" t="n">
        <v>275</v>
      </c>
      <c r="J27" s="11" t="n">
        <v>16.897</v>
      </c>
      <c r="K27" s="11" t="n">
        <v>1.15</v>
      </c>
      <c r="L27" s="11" t="n">
        <v>6.2</v>
      </c>
      <c r="M27" s="11" t="n">
        <f aca="false">SUM(G27:L27)</f>
        <v>370.202</v>
      </c>
      <c r="N27" s="11" t="n">
        <v>37.041</v>
      </c>
      <c r="O27" s="11" t="n">
        <v>12.891</v>
      </c>
      <c r="P27" s="11" t="n">
        <v>57.43</v>
      </c>
      <c r="Q27" s="11" t="n">
        <v>6.532</v>
      </c>
      <c r="R27" s="11" t="n">
        <v>1.15</v>
      </c>
      <c r="S27" s="11" t="n">
        <v>2.41</v>
      </c>
      <c r="T27" s="11" t="n">
        <f aca="false">SUM(N27:S27)</f>
        <v>117.454</v>
      </c>
      <c r="U27" s="11" t="n">
        <v>105.935</v>
      </c>
      <c r="V27" s="11" t="n">
        <v>59.463</v>
      </c>
      <c r="W27" s="11" t="n">
        <v>276.375</v>
      </c>
      <c r="X27" s="11" t="n">
        <v>23.947</v>
      </c>
      <c r="Y27" s="11" t="n">
        <v>10.24</v>
      </c>
      <c r="Z27" s="11" t="n">
        <v>95.137</v>
      </c>
      <c r="AA27" s="11" t="n">
        <f aca="false">SUM(U27:Z27)</f>
        <v>571.097</v>
      </c>
      <c r="AB27" s="11" t="n">
        <v>27.86</v>
      </c>
      <c r="AC27" s="11" t="n">
        <v>15.601</v>
      </c>
      <c r="AD27" s="11" t="n">
        <v>69.61</v>
      </c>
      <c r="AE27" s="11" t="n">
        <v>9.964</v>
      </c>
      <c r="AF27" s="11" t="n">
        <v>3.435</v>
      </c>
      <c r="AG27" s="11" t="n">
        <v>17.367</v>
      </c>
      <c r="AH27" s="11" t="n">
        <f aca="false">SUM(AB27:AG27)</f>
        <v>143.837</v>
      </c>
    </row>
    <row r="28" customFormat="false" ht="15" hidden="false" customHeight="false" outlineLevel="2" collapsed="false">
      <c r="A28" s="8" t="s">
        <v>122</v>
      </c>
      <c r="B28" s="12" t="s">
        <v>123</v>
      </c>
      <c r="C28" s="8" t="s">
        <v>69</v>
      </c>
      <c r="D28" s="12" t="s">
        <v>70</v>
      </c>
      <c r="E28" s="16"/>
      <c r="F28" s="9" t="str">
        <f aca="false">IF($E28="","",IFERROR(INDEX(担当者マスタ!$B$2:$B$101,MATCH($E28,担当者マスタ!$A$2:$A$101,0)),"※マスタ未登録"))</f>
        <v/>
      </c>
      <c r="G28" s="11" t="n">
        <v>209.108</v>
      </c>
      <c r="H28" s="11" t="n">
        <v>1825.732</v>
      </c>
      <c r="I28" s="11" t="n">
        <v>1054.732</v>
      </c>
      <c r="J28" s="11" t="n">
        <v>80.911</v>
      </c>
      <c r="K28" s="11" t="n">
        <v>0</v>
      </c>
      <c r="L28" s="11" t="n">
        <v>10.589</v>
      </c>
      <c r="M28" s="11" t="n">
        <f aca="false">SUM(G28:L28)</f>
        <v>3181.072</v>
      </c>
      <c r="N28" s="11" t="n">
        <v>63.022</v>
      </c>
      <c r="O28" s="11" t="n">
        <v>530.836</v>
      </c>
      <c r="P28" s="11" t="n">
        <v>355.696</v>
      </c>
      <c r="Q28" s="11" t="n">
        <v>34.94</v>
      </c>
      <c r="R28" s="11" t="n">
        <v>0</v>
      </c>
      <c r="S28" s="11" t="n">
        <v>3.555</v>
      </c>
      <c r="T28" s="11" t="n">
        <f aca="false">SUM(N28:S28)</f>
        <v>988.049</v>
      </c>
      <c r="U28" s="11" t="n">
        <v>477.003</v>
      </c>
      <c r="V28" s="11" t="n">
        <v>2585.131</v>
      </c>
      <c r="W28" s="11" t="n">
        <v>1389.822</v>
      </c>
      <c r="X28" s="11" t="n">
        <v>448.403</v>
      </c>
      <c r="Y28" s="11" t="n">
        <v>181.456</v>
      </c>
      <c r="Z28" s="11" t="n">
        <v>377.47</v>
      </c>
      <c r="AA28" s="11" t="n">
        <f aca="false">SUM(U28:Z28)</f>
        <v>5459.285</v>
      </c>
      <c r="AB28" s="11" t="n">
        <v>143.983</v>
      </c>
      <c r="AC28" s="11" t="n">
        <v>833.4654</v>
      </c>
      <c r="AD28" s="11" t="n">
        <v>450.231</v>
      </c>
      <c r="AE28" s="11" t="n">
        <v>121.664</v>
      </c>
      <c r="AF28" s="11" t="n">
        <v>54.475</v>
      </c>
      <c r="AG28" s="11" t="n">
        <v>130.96</v>
      </c>
      <c r="AH28" s="11" t="n">
        <f aca="false">SUM(AB28:AG28)</f>
        <v>1734.7784</v>
      </c>
    </row>
    <row r="29" customFormat="false" ht="15" hidden="false" customHeight="false" outlineLevel="2" collapsed="false">
      <c r="A29" s="8" t="s">
        <v>124</v>
      </c>
      <c r="B29" s="9" t="s">
        <v>125</v>
      </c>
      <c r="C29" s="8" t="s">
        <v>69</v>
      </c>
      <c r="D29" s="12" t="s">
        <v>70</v>
      </c>
      <c r="E29" s="16"/>
      <c r="F29" s="9" t="str">
        <f aca="false">IF($E29="","",IFERROR(INDEX(担当者マスタ!$B$2:$B$101,MATCH($E29,担当者マスタ!$A$2:$A$101,0)),"※マスタ未登録"))</f>
        <v/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39.18</v>
      </c>
      <c r="M29" s="11" t="n">
        <f aca="false">SUM(G29:L29)</f>
        <v>39.18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10.68</v>
      </c>
      <c r="T29" s="11" t="n">
        <f aca="false">SUM(N29:S29)</f>
        <v>10.68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42.36</v>
      </c>
      <c r="AA29" s="11" t="n">
        <f aca="false">SUM(U29:Z29)</f>
        <v>42.36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12.675</v>
      </c>
      <c r="AH29" s="11" t="n">
        <f aca="false">SUM(AB29:AG29)</f>
        <v>12.675</v>
      </c>
    </row>
    <row r="30" customFormat="false" ht="15" hidden="false" customHeight="false" outlineLevel="2" collapsed="false">
      <c r="A30" s="8" t="s">
        <v>126</v>
      </c>
      <c r="B30" s="12" t="s">
        <v>127</v>
      </c>
      <c r="C30" s="8" t="s">
        <v>69</v>
      </c>
      <c r="D30" s="12" t="s">
        <v>70</v>
      </c>
      <c r="E30" s="16"/>
      <c r="F30" s="9" t="str">
        <f aca="false">IF($E30="","",IFERROR(INDEX(担当者マスタ!$B$2:$B$101,MATCH($E30,担当者マスタ!$A$2:$A$101,0)),"※マスタ未登録"))</f>
        <v/>
      </c>
      <c r="G30" s="11" t="n">
        <v>39.002</v>
      </c>
      <c r="H30" s="11" t="n">
        <v>63.96</v>
      </c>
      <c r="I30" s="11" t="n">
        <v>0</v>
      </c>
      <c r="J30" s="11" t="n">
        <v>12.06</v>
      </c>
      <c r="K30" s="11" t="n">
        <v>1.8</v>
      </c>
      <c r="L30" s="11" t="n">
        <v>0</v>
      </c>
      <c r="M30" s="11" t="n">
        <f aca="false">SUM(G30:L30)</f>
        <v>116.822</v>
      </c>
      <c r="N30" s="11" t="n">
        <v>13.482</v>
      </c>
      <c r="O30" s="11" t="n">
        <v>23.28</v>
      </c>
      <c r="P30" s="11" t="n">
        <v>0</v>
      </c>
      <c r="Q30" s="11" t="n">
        <v>3.48</v>
      </c>
      <c r="R30" s="11" t="n">
        <v>0.48</v>
      </c>
      <c r="S30" s="11" t="n">
        <v>0</v>
      </c>
      <c r="T30" s="11" t="n">
        <f aca="false">SUM(N30:S30)</f>
        <v>40.722</v>
      </c>
      <c r="U30" s="11" t="n">
        <v>26.86</v>
      </c>
      <c r="V30" s="11" t="n">
        <v>58.4</v>
      </c>
      <c r="W30" s="11" t="n">
        <v>24.12</v>
      </c>
      <c r="X30" s="11" t="n">
        <v>3.34</v>
      </c>
      <c r="Y30" s="11" t="n">
        <v>0</v>
      </c>
      <c r="Z30" s="11" t="n">
        <v>1.8</v>
      </c>
      <c r="AA30" s="11" t="n">
        <f aca="false">SUM(U30:Z30)</f>
        <v>114.52</v>
      </c>
      <c r="AB30" s="11" t="n">
        <v>7.28</v>
      </c>
      <c r="AC30" s="11" t="n">
        <v>15.58</v>
      </c>
      <c r="AD30" s="11" t="n">
        <v>6.96</v>
      </c>
      <c r="AE30" s="11" t="n">
        <v>1.386</v>
      </c>
      <c r="AF30" s="11" t="n">
        <v>0</v>
      </c>
      <c r="AG30" s="11" t="n">
        <v>0.48</v>
      </c>
      <c r="AH30" s="11" t="n">
        <f aca="false">SUM(AB30:AG30)</f>
        <v>31.686</v>
      </c>
    </row>
    <row r="31" customFormat="false" ht="15" hidden="false" customHeight="false" outlineLevel="2" collapsed="false">
      <c r="A31" s="8" t="s">
        <v>128</v>
      </c>
      <c r="B31" s="12" t="s">
        <v>129</v>
      </c>
      <c r="C31" s="8" t="s">
        <v>69</v>
      </c>
      <c r="D31" s="12" t="s">
        <v>70</v>
      </c>
      <c r="E31" s="16"/>
      <c r="F31" s="9" t="str">
        <f aca="false">IF($E31="","",IFERROR(INDEX(担当者マスタ!$B$2:$B$101,MATCH($E31,担当者マスタ!$A$2:$A$101,0)),"※マスタ未登録"))</f>
        <v/>
      </c>
      <c r="G31" s="11" t="n">
        <v>0</v>
      </c>
      <c r="H31" s="11" t="n">
        <v>36.6</v>
      </c>
      <c r="I31" s="11" t="n">
        <v>0</v>
      </c>
      <c r="J31" s="11" t="n">
        <v>0</v>
      </c>
      <c r="K31" s="11" t="n">
        <v>36.6</v>
      </c>
      <c r="L31" s="11" t="n">
        <v>36.6</v>
      </c>
      <c r="M31" s="11" t="n">
        <f aca="false">SUM(G31:L31)</f>
        <v>109.8</v>
      </c>
      <c r="N31" s="11" t="n">
        <v>0</v>
      </c>
      <c r="O31" s="11" t="n">
        <v>2.7</v>
      </c>
      <c r="P31" s="11" t="n">
        <v>0</v>
      </c>
      <c r="Q31" s="11" t="n">
        <v>0</v>
      </c>
      <c r="R31" s="11" t="n">
        <v>2.7</v>
      </c>
      <c r="S31" s="11" t="n">
        <v>2.7</v>
      </c>
      <c r="T31" s="11" t="n">
        <f aca="false">SUM(N31:S31)</f>
        <v>8.1</v>
      </c>
      <c r="U31" s="11" t="n">
        <v>0</v>
      </c>
      <c r="V31" s="11" t="n">
        <v>48.84</v>
      </c>
      <c r="W31" s="11" t="n">
        <v>0</v>
      </c>
      <c r="X31" s="11" t="n">
        <v>0</v>
      </c>
      <c r="Y31" s="11" t="n">
        <v>48.84</v>
      </c>
      <c r="Z31" s="11" t="n">
        <v>0</v>
      </c>
      <c r="AA31" s="11" t="n">
        <f aca="false">SUM(U31:Z31)</f>
        <v>97.68</v>
      </c>
      <c r="AB31" s="11" t="n">
        <v>0</v>
      </c>
      <c r="AC31" s="11" t="n">
        <v>4.62</v>
      </c>
      <c r="AD31" s="11" t="n">
        <v>0</v>
      </c>
      <c r="AE31" s="11" t="n">
        <v>0</v>
      </c>
      <c r="AF31" s="11" t="n">
        <v>4.62</v>
      </c>
      <c r="AG31" s="11" t="n">
        <v>0</v>
      </c>
      <c r="AH31" s="11" t="n">
        <f aca="false">SUM(AB31:AG31)</f>
        <v>9.24</v>
      </c>
    </row>
    <row r="32" customFormat="false" ht="15" hidden="false" customHeight="false" outlineLevel="2" collapsed="false">
      <c r="A32" s="8" t="s">
        <v>130</v>
      </c>
      <c r="B32" s="12" t="s">
        <v>131</v>
      </c>
      <c r="C32" s="8" t="s">
        <v>69</v>
      </c>
      <c r="D32" s="12" t="s">
        <v>70</v>
      </c>
      <c r="E32" s="16"/>
      <c r="F32" s="9" t="str">
        <f aca="false">IF($E32="","",IFERROR(INDEX(担当者マスタ!$B$2:$B$101,MATCH($E32,担当者マスタ!$A$2:$A$101,0)),"※マスタ未登録"))</f>
        <v/>
      </c>
      <c r="G32" s="11" t="n">
        <v>36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f aca="false">SUM(G32:L32)</f>
        <v>36</v>
      </c>
      <c r="N32" s="11" t="n">
        <v>10.1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f aca="false">SUM(N32:S32)</f>
        <v>10.1</v>
      </c>
      <c r="U32" s="11" t="n">
        <v>0</v>
      </c>
      <c r="V32" s="11" t="n">
        <v>0</v>
      </c>
      <c r="W32" s="11" t="n">
        <v>0</v>
      </c>
      <c r="X32" s="11" t="n">
        <v>61</v>
      </c>
      <c r="Y32" s="11" t="n">
        <v>0</v>
      </c>
      <c r="Z32" s="11" t="n">
        <v>0</v>
      </c>
      <c r="AA32" s="11" t="n">
        <f aca="false">SUM(U32:Z32)</f>
        <v>61</v>
      </c>
      <c r="AB32" s="11" t="n">
        <v>0</v>
      </c>
      <c r="AC32" s="11" t="n">
        <v>0</v>
      </c>
      <c r="AD32" s="11" t="n">
        <v>0</v>
      </c>
      <c r="AE32" s="11" t="n">
        <v>13.65</v>
      </c>
      <c r="AF32" s="11" t="n">
        <v>0</v>
      </c>
      <c r="AG32" s="11" t="n">
        <v>0</v>
      </c>
      <c r="AH32" s="11" t="n">
        <f aca="false">SUM(AB32:AG32)</f>
        <v>13.65</v>
      </c>
    </row>
    <row r="33" customFormat="false" ht="15" hidden="false" customHeight="false" outlineLevel="2" collapsed="false">
      <c r="A33" s="8" t="s">
        <v>132</v>
      </c>
      <c r="B33" s="12" t="s">
        <v>133</v>
      </c>
      <c r="C33" s="8" t="s">
        <v>69</v>
      </c>
      <c r="D33" s="12" t="s">
        <v>70</v>
      </c>
      <c r="E33" s="16"/>
      <c r="F33" s="9" t="str">
        <f aca="false">IF($E33="","",IFERROR(INDEX(担当者マスタ!$B$2:$B$101,MATCH($E33,担当者マスタ!$A$2:$A$101,0)),"※マスタ未登録"))</f>
        <v/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f aca="false">SUM(G33:L33)</f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f aca="false">SUM(N33:S33)</f>
        <v>0</v>
      </c>
      <c r="U33" s="11" t="n">
        <v>0</v>
      </c>
      <c r="V33" s="11" t="n">
        <v>0</v>
      </c>
      <c r="W33" s="11" t="n">
        <v>38</v>
      </c>
      <c r="X33" s="11" t="n">
        <v>319.3</v>
      </c>
      <c r="Y33" s="11" t="n">
        <v>1.53</v>
      </c>
      <c r="Z33" s="11" t="n">
        <v>0</v>
      </c>
      <c r="AA33" s="11" t="n">
        <f aca="false">SUM(U33:Z33)</f>
        <v>358.83</v>
      </c>
      <c r="AB33" s="11" t="n">
        <v>0</v>
      </c>
      <c r="AC33" s="11" t="n">
        <v>0</v>
      </c>
      <c r="AD33" s="11" t="n">
        <v>5.455</v>
      </c>
      <c r="AE33" s="11" t="n">
        <v>67.85</v>
      </c>
      <c r="AF33" s="11" t="n">
        <v>0.234</v>
      </c>
      <c r="AG33" s="11" t="n">
        <v>0</v>
      </c>
      <c r="AH33" s="11" t="n">
        <f aca="false">SUM(AB33:AG33)</f>
        <v>73.539</v>
      </c>
    </row>
    <row r="34" customFormat="false" ht="15" hidden="false" customHeight="false" outlineLevel="2" collapsed="false">
      <c r="A34" s="8" t="s">
        <v>134</v>
      </c>
      <c r="B34" s="12" t="s">
        <v>135</v>
      </c>
      <c r="C34" s="8" t="s">
        <v>69</v>
      </c>
      <c r="D34" s="12" t="s">
        <v>70</v>
      </c>
      <c r="E34" s="16"/>
      <c r="F34" s="9" t="str">
        <f aca="false">IF($E34="","",IFERROR(INDEX(担当者マスタ!$B$2:$B$101,MATCH($E34,担当者マスタ!$A$2:$A$101,0)),"※マスタ未登録"))</f>
        <v/>
      </c>
      <c r="G34" s="11" t="n">
        <v>1.52</v>
      </c>
      <c r="H34" s="11" t="n">
        <v>0</v>
      </c>
      <c r="I34" s="11" t="n">
        <v>31.096</v>
      </c>
      <c r="J34" s="11" t="n">
        <v>0</v>
      </c>
      <c r="K34" s="11" t="n">
        <v>0</v>
      </c>
      <c r="L34" s="11" t="n">
        <v>1.52</v>
      </c>
      <c r="M34" s="11" t="n">
        <f aca="false">SUM(G34:L34)</f>
        <v>34.136</v>
      </c>
      <c r="N34" s="11" t="n">
        <v>0.576</v>
      </c>
      <c r="O34" s="11" t="n">
        <v>0</v>
      </c>
      <c r="P34" s="11" t="n">
        <v>6.448</v>
      </c>
      <c r="Q34" s="11" t="n">
        <v>0</v>
      </c>
      <c r="R34" s="11" t="n">
        <v>0</v>
      </c>
      <c r="S34" s="11" t="n">
        <v>0.576</v>
      </c>
      <c r="T34" s="11" t="n">
        <f aca="false">SUM(N34:S34)</f>
        <v>7.6</v>
      </c>
      <c r="U34" s="11" t="n">
        <v>0</v>
      </c>
      <c r="V34" s="11" t="n">
        <v>0</v>
      </c>
      <c r="W34" s="11" t="n">
        <v>22.86</v>
      </c>
      <c r="X34" s="11" t="n">
        <v>0</v>
      </c>
      <c r="Y34" s="11" t="n">
        <v>0</v>
      </c>
      <c r="Z34" s="11" t="n">
        <v>1.52</v>
      </c>
      <c r="AA34" s="11" t="n">
        <f aca="false">SUM(U34:Z34)</f>
        <v>24.38</v>
      </c>
      <c r="AB34" s="11" t="n">
        <v>0</v>
      </c>
      <c r="AC34" s="11" t="n">
        <v>0</v>
      </c>
      <c r="AD34" s="11" t="n">
        <v>6.12</v>
      </c>
      <c r="AE34" s="11" t="n">
        <v>0</v>
      </c>
      <c r="AF34" s="11" t="n">
        <v>0</v>
      </c>
      <c r="AG34" s="11" t="n">
        <v>0.62</v>
      </c>
      <c r="AH34" s="11" t="n">
        <f aca="false">SUM(AB34:AG34)</f>
        <v>6.74</v>
      </c>
    </row>
    <row r="35" customFormat="false" ht="15" hidden="false" customHeight="false" outlineLevel="2" collapsed="false">
      <c r="A35" s="8" t="s">
        <v>136</v>
      </c>
      <c r="B35" s="12" t="s">
        <v>137</v>
      </c>
      <c r="C35" s="8" t="s">
        <v>69</v>
      </c>
      <c r="D35" s="12" t="s">
        <v>70</v>
      </c>
      <c r="E35" s="16"/>
      <c r="F35" s="9" t="str">
        <f aca="false">IF($E35="","",IFERROR(INDEX(担当者マスタ!$B$2:$B$101,MATCH($E35,担当者マスタ!$A$2:$A$101,0)),"※マスタ未登録"))</f>
        <v/>
      </c>
      <c r="G35" s="11" t="n">
        <v>29.52</v>
      </c>
      <c r="H35" s="11" t="n">
        <v>62.08</v>
      </c>
      <c r="I35" s="11" t="n">
        <v>147.9</v>
      </c>
      <c r="J35" s="11" t="n">
        <v>33.52</v>
      </c>
      <c r="K35" s="11" t="n">
        <v>7.8</v>
      </c>
      <c r="L35" s="11" t="n">
        <v>37.32</v>
      </c>
      <c r="M35" s="11" t="n">
        <f aca="false">SUM(G35:L35)</f>
        <v>318.14</v>
      </c>
      <c r="N35" s="11" t="n">
        <v>9.888</v>
      </c>
      <c r="O35" s="11" t="n">
        <v>21.016</v>
      </c>
      <c r="P35" s="11" t="n">
        <v>57.876</v>
      </c>
      <c r="Q35" s="11" t="n">
        <v>11.936</v>
      </c>
      <c r="R35" s="11" t="n">
        <v>2.328</v>
      </c>
      <c r="S35" s="11" t="n">
        <v>12.216</v>
      </c>
      <c r="T35" s="11" t="n">
        <f aca="false">SUM(N35:S35)</f>
        <v>115.26</v>
      </c>
      <c r="U35" s="11" t="n">
        <v>37.32</v>
      </c>
      <c r="V35" s="11" t="n">
        <v>72.22</v>
      </c>
      <c r="W35" s="11" t="n">
        <v>143.68</v>
      </c>
      <c r="X35" s="11" t="n">
        <v>36.99</v>
      </c>
      <c r="Y35" s="11" t="n">
        <v>11.6</v>
      </c>
      <c r="Z35" s="11" t="n">
        <v>25.72</v>
      </c>
      <c r="AA35" s="11" t="n">
        <f aca="false">SUM(U35:Z35)</f>
        <v>327.53</v>
      </c>
      <c r="AB35" s="11" t="n">
        <v>12.136</v>
      </c>
      <c r="AC35" s="11" t="n">
        <v>26.628</v>
      </c>
      <c r="AD35" s="11" t="n">
        <v>54.504</v>
      </c>
      <c r="AE35" s="11" t="n">
        <v>12.836</v>
      </c>
      <c r="AF35" s="11" t="n">
        <v>2.528</v>
      </c>
      <c r="AG35" s="11" t="n">
        <v>9.608</v>
      </c>
      <c r="AH35" s="11" t="n">
        <f aca="false">SUM(AB35:AG35)</f>
        <v>118.24</v>
      </c>
    </row>
    <row r="36" customFormat="false" ht="15" hidden="false" customHeight="false" outlineLevel="2" collapsed="false">
      <c r="A36" s="8" t="s">
        <v>138</v>
      </c>
      <c r="B36" s="12" t="s">
        <v>139</v>
      </c>
      <c r="C36" s="8" t="s">
        <v>69</v>
      </c>
      <c r="D36" s="12" t="s">
        <v>70</v>
      </c>
      <c r="E36" s="16"/>
      <c r="F36" s="9" t="str">
        <f aca="false">IF($E36="","",IFERROR(INDEX(担当者マスタ!$B$2:$B$101,MATCH($E36,担当者マスタ!$A$2:$A$101,0)),"※マスタ未登録"))</f>
        <v/>
      </c>
      <c r="G36" s="11" t="n">
        <v>325.665</v>
      </c>
      <c r="H36" s="11" t="n">
        <v>552.33</v>
      </c>
      <c r="I36" s="11" t="n">
        <v>447.7</v>
      </c>
      <c r="J36" s="11" t="n">
        <v>203.604</v>
      </c>
      <c r="K36" s="11" t="n">
        <v>298.769</v>
      </c>
      <c r="L36" s="11" t="n">
        <v>980.425</v>
      </c>
      <c r="M36" s="11" t="n">
        <f aca="false">SUM(G36:L36)</f>
        <v>2808.493</v>
      </c>
      <c r="N36" s="11" t="n">
        <v>75.795</v>
      </c>
      <c r="O36" s="11" t="n">
        <v>132.754</v>
      </c>
      <c r="P36" s="11" t="n">
        <v>116.632</v>
      </c>
      <c r="Q36" s="11" t="n">
        <v>48.401</v>
      </c>
      <c r="R36" s="11" t="n">
        <v>74.083</v>
      </c>
      <c r="S36" s="11" t="n">
        <v>259.8</v>
      </c>
      <c r="T36" s="11" t="n">
        <f aca="false">SUM(N36:S36)</f>
        <v>707.465</v>
      </c>
      <c r="U36" s="11" t="n">
        <v>363.453</v>
      </c>
      <c r="V36" s="11" t="n">
        <v>719.397</v>
      </c>
      <c r="W36" s="11" t="n">
        <v>1789.922</v>
      </c>
      <c r="X36" s="11" t="n">
        <v>699.444</v>
      </c>
      <c r="Y36" s="11" t="n">
        <v>456.273</v>
      </c>
      <c r="Z36" s="11" t="n">
        <v>1207.754</v>
      </c>
      <c r="AA36" s="11" t="n">
        <f aca="false">SUM(U36:Z36)</f>
        <v>5236.243</v>
      </c>
      <c r="AB36" s="11" t="n">
        <v>83.206</v>
      </c>
      <c r="AC36" s="11" t="n">
        <v>142.988</v>
      </c>
      <c r="AD36" s="11" t="n">
        <v>476.776</v>
      </c>
      <c r="AE36" s="11" t="n">
        <v>161.184</v>
      </c>
      <c r="AF36" s="11" t="n">
        <v>91.764</v>
      </c>
      <c r="AG36" s="11" t="n">
        <v>285.128</v>
      </c>
      <c r="AH36" s="11" t="n">
        <f aca="false">SUM(AB36:AG36)</f>
        <v>1241.046</v>
      </c>
    </row>
    <row r="37" customFormat="false" ht="15" hidden="false" customHeight="false" outlineLevel="2" collapsed="false">
      <c r="A37" s="8" t="s">
        <v>140</v>
      </c>
      <c r="B37" s="12" t="s">
        <v>141</v>
      </c>
      <c r="C37" s="8" t="s">
        <v>69</v>
      </c>
      <c r="D37" s="12" t="s">
        <v>70</v>
      </c>
      <c r="E37" s="16"/>
      <c r="F37" s="9" t="str">
        <f aca="false">IF($E37="","",IFERROR(INDEX(担当者マスタ!$B$2:$B$101,MATCH($E37,担当者マスタ!$A$2:$A$101,0)),"※マスタ未登録"))</f>
        <v/>
      </c>
      <c r="G37" s="11" t="n">
        <v>93.66</v>
      </c>
      <c r="H37" s="11" t="n">
        <v>128.851</v>
      </c>
      <c r="I37" s="11" t="n">
        <v>71.838</v>
      </c>
      <c r="J37" s="11" t="n">
        <v>116.68</v>
      </c>
      <c r="K37" s="11" t="n">
        <v>0</v>
      </c>
      <c r="L37" s="11" t="n">
        <v>76.62</v>
      </c>
      <c r="M37" s="11" t="n">
        <f aca="false">SUM(G37:L37)</f>
        <v>487.649</v>
      </c>
      <c r="N37" s="11" t="n">
        <v>32.172</v>
      </c>
      <c r="O37" s="11" t="n">
        <v>40.239</v>
      </c>
      <c r="P37" s="11" t="n">
        <v>34.828</v>
      </c>
      <c r="Q37" s="11" t="n">
        <v>58.36</v>
      </c>
      <c r="R37" s="11" t="n">
        <v>0</v>
      </c>
      <c r="S37" s="11" t="n">
        <v>19.35</v>
      </c>
      <c r="T37" s="11" t="n">
        <f aca="false">SUM(N37:S37)</f>
        <v>184.949</v>
      </c>
      <c r="U37" s="11" t="n">
        <v>17.88</v>
      </c>
      <c r="V37" s="11" t="n">
        <v>80.32</v>
      </c>
      <c r="W37" s="11" t="n">
        <v>39.45</v>
      </c>
      <c r="X37" s="11" t="n">
        <v>105.68</v>
      </c>
      <c r="Y37" s="11" t="n">
        <v>51.9</v>
      </c>
      <c r="Z37" s="11" t="n">
        <v>17.88</v>
      </c>
      <c r="AA37" s="11" t="n">
        <f aca="false">SUM(U37:Z37)</f>
        <v>313.11</v>
      </c>
      <c r="AB37" s="11" t="n">
        <v>5.56</v>
      </c>
      <c r="AC37" s="11" t="n">
        <v>28.784</v>
      </c>
      <c r="AD37" s="11" t="n">
        <v>13.736</v>
      </c>
      <c r="AE37" s="11" t="n">
        <v>34.546</v>
      </c>
      <c r="AF37" s="11" t="n">
        <v>10.38</v>
      </c>
      <c r="AG37" s="11" t="n">
        <v>5.56</v>
      </c>
      <c r="AH37" s="11" t="n">
        <f aca="false">SUM(AB37:AG37)</f>
        <v>98.566</v>
      </c>
    </row>
    <row r="38" customFormat="false" ht="15" hidden="false" customHeight="false" outlineLevel="2" collapsed="false">
      <c r="A38" s="8" t="s">
        <v>142</v>
      </c>
      <c r="B38" s="12" t="s">
        <v>143</v>
      </c>
      <c r="C38" s="8" t="s">
        <v>69</v>
      </c>
      <c r="D38" s="12" t="s">
        <v>70</v>
      </c>
      <c r="E38" s="16"/>
      <c r="F38" s="9" t="str">
        <f aca="false">IF($E38="","",IFERROR(INDEX(担当者マスタ!$B$2:$B$101,MATCH($E38,担当者マスタ!$A$2:$A$101,0)),"※マスタ未登録"))</f>
        <v/>
      </c>
      <c r="G38" s="11" t="n">
        <v>81.205</v>
      </c>
      <c r="H38" s="11" t="n">
        <v>57.101</v>
      </c>
      <c r="I38" s="11" t="n">
        <v>31.6</v>
      </c>
      <c r="J38" s="11" t="n">
        <v>138.927</v>
      </c>
      <c r="K38" s="11" t="n">
        <v>41.032</v>
      </c>
      <c r="L38" s="11" t="n">
        <v>126.244</v>
      </c>
      <c r="M38" s="11" t="n">
        <f aca="false">SUM(G38:L38)</f>
        <v>476.109</v>
      </c>
      <c r="N38" s="11" t="n">
        <v>29.234</v>
      </c>
      <c r="O38" s="11" t="n">
        <v>21.41</v>
      </c>
      <c r="P38" s="11" t="n">
        <v>12.394</v>
      </c>
      <c r="Q38" s="11" t="n">
        <v>60.59</v>
      </c>
      <c r="R38" s="11" t="n">
        <v>15.196</v>
      </c>
      <c r="S38" s="11" t="n">
        <v>44.74</v>
      </c>
      <c r="T38" s="11" t="n">
        <f aca="false">SUM(N38:S38)</f>
        <v>183.564</v>
      </c>
      <c r="U38" s="11" t="n">
        <v>109.101</v>
      </c>
      <c r="V38" s="11" t="n">
        <v>109.781</v>
      </c>
      <c r="W38" s="11" t="n">
        <v>77.503</v>
      </c>
      <c r="X38" s="11" t="n">
        <v>52.526</v>
      </c>
      <c r="Y38" s="11" t="n">
        <v>47.675</v>
      </c>
      <c r="Z38" s="11" t="n">
        <v>1107.704</v>
      </c>
      <c r="AA38" s="11" t="n">
        <f aca="false">SUM(U38:Z38)</f>
        <v>1504.29</v>
      </c>
      <c r="AB38" s="11" t="n">
        <v>52.972</v>
      </c>
      <c r="AC38" s="11" t="n">
        <v>41.529</v>
      </c>
      <c r="AD38" s="11" t="n">
        <v>28.323</v>
      </c>
      <c r="AE38" s="11" t="n">
        <v>20.01</v>
      </c>
      <c r="AF38" s="11" t="n">
        <v>18.353</v>
      </c>
      <c r="AG38" s="11" t="n">
        <v>226.433</v>
      </c>
      <c r="AH38" s="11" t="n">
        <f aca="false">SUM(AB38:AG38)</f>
        <v>387.62</v>
      </c>
    </row>
    <row r="39" customFormat="false" ht="15" hidden="false" customHeight="false" outlineLevel="2" collapsed="false">
      <c r="A39" s="8" t="s">
        <v>144</v>
      </c>
      <c r="B39" s="12" t="s">
        <v>145</v>
      </c>
      <c r="C39" s="8" t="s">
        <v>69</v>
      </c>
      <c r="D39" s="12" t="s">
        <v>70</v>
      </c>
      <c r="E39" s="16"/>
      <c r="F39" s="9" t="str">
        <f aca="false">IF($E39="","",IFERROR(INDEX(担当者マスタ!$B$2:$B$101,MATCH($E39,担当者マスタ!$A$2:$A$101,0)),"※マスタ未登録"))</f>
        <v/>
      </c>
      <c r="G39" s="11" t="n">
        <v>31.42</v>
      </c>
      <c r="H39" s="11" t="n">
        <v>65.056</v>
      </c>
      <c r="I39" s="11" t="n">
        <v>157.853</v>
      </c>
      <c r="J39" s="11" t="n">
        <v>29.684</v>
      </c>
      <c r="K39" s="11" t="n">
        <v>11.517</v>
      </c>
      <c r="L39" s="11" t="n">
        <v>37.232</v>
      </c>
      <c r="M39" s="11" t="n">
        <f aca="false">SUM(G39:L39)</f>
        <v>332.762</v>
      </c>
      <c r="N39" s="11" t="n">
        <v>15.389</v>
      </c>
      <c r="O39" s="11" t="n">
        <v>30.909</v>
      </c>
      <c r="P39" s="11" t="n">
        <v>56.222</v>
      </c>
      <c r="Q39" s="11" t="n">
        <v>15.075</v>
      </c>
      <c r="R39" s="11" t="n">
        <v>5.453</v>
      </c>
      <c r="S39" s="11" t="n">
        <v>17.894</v>
      </c>
      <c r="T39" s="11" t="n">
        <f aca="false">SUM(N39:S39)</f>
        <v>140.942</v>
      </c>
      <c r="U39" s="11" t="n">
        <v>27.199</v>
      </c>
      <c r="V39" s="11" t="n">
        <v>54.519</v>
      </c>
      <c r="W39" s="11" t="n">
        <v>21.783</v>
      </c>
      <c r="X39" s="11" t="n">
        <v>22.964</v>
      </c>
      <c r="Y39" s="11" t="n">
        <v>58.147</v>
      </c>
      <c r="Z39" s="11" t="n">
        <v>13.731</v>
      </c>
      <c r="AA39" s="11" t="n">
        <f aca="false">SUM(U39:Z39)</f>
        <v>198.343</v>
      </c>
      <c r="AB39" s="11" t="n">
        <v>14.597</v>
      </c>
      <c r="AC39" s="11" t="n">
        <v>24.211</v>
      </c>
      <c r="AD39" s="11" t="n">
        <v>9.89</v>
      </c>
      <c r="AE39" s="11" t="n">
        <v>12.615</v>
      </c>
      <c r="AF39" s="11" t="n">
        <v>29.367</v>
      </c>
      <c r="AG39" s="11" t="n">
        <v>5.457</v>
      </c>
      <c r="AH39" s="11" t="n">
        <f aca="false">SUM(AB39:AG39)</f>
        <v>96.137</v>
      </c>
    </row>
    <row r="40" customFormat="false" ht="15" hidden="false" customHeight="false" outlineLevel="2" collapsed="false">
      <c r="A40" s="8" t="s">
        <v>146</v>
      </c>
      <c r="B40" s="12" t="s">
        <v>147</v>
      </c>
      <c r="C40" s="8" t="s">
        <v>69</v>
      </c>
      <c r="D40" s="12" t="s">
        <v>70</v>
      </c>
      <c r="E40" s="16"/>
      <c r="F40" s="9" t="str">
        <f aca="false">IF($E40="","",IFERROR(INDEX(担当者マスタ!$B$2:$B$101,MATCH($E40,担当者マスタ!$A$2:$A$101,0)),"※マスタ未登録"))</f>
        <v/>
      </c>
      <c r="G40" s="11" t="n">
        <v>198.7</v>
      </c>
      <c r="H40" s="11" t="n">
        <v>39.8</v>
      </c>
      <c r="I40" s="11" t="n">
        <v>46.89</v>
      </c>
      <c r="J40" s="11" t="n">
        <v>55.14</v>
      </c>
      <c r="K40" s="11" t="n">
        <v>0</v>
      </c>
      <c r="L40" s="11" t="n">
        <v>44.975</v>
      </c>
      <c r="M40" s="11" t="n">
        <f aca="false">SUM(G40:L40)</f>
        <v>385.505</v>
      </c>
      <c r="N40" s="11" t="n">
        <v>58.05</v>
      </c>
      <c r="O40" s="11" t="n">
        <v>10.36</v>
      </c>
      <c r="P40" s="11" t="n">
        <v>8.94</v>
      </c>
      <c r="Q40" s="11" t="n">
        <v>14.492</v>
      </c>
      <c r="R40" s="11" t="n">
        <v>0</v>
      </c>
      <c r="S40" s="11" t="n">
        <v>11.635</v>
      </c>
      <c r="T40" s="11" t="n">
        <f aca="false">SUM(N40:S40)</f>
        <v>103.477</v>
      </c>
      <c r="U40" s="11" t="n">
        <v>38.975</v>
      </c>
      <c r="V40" s="11" t="n">
        <v>19.9</v>
      </c>
      <c r="W40" s="11" t="n">
        <v>23.11</v>
      </c>
      <c r="X40" s="11" t="n">
        <v>55.9</v>
      </c>
      <c r="Y40" s="11" t="n">
        <v>0</v>
      </c>
      <c r="Z40" s="11" t="n">
        <v>8.2</v>
      </c>
      <c r="AA40" s="11" t="n">
        <f aca="false">SUM(U40:Z40)</f>
        <v>146.085</v>
      </c>
      <c r="AB40" s="11" t="n">
        <v>5.987</v>
      </c>
      <c r="AC40" s="11" t="n">
        <v>5.18</v>
      </c>
      <c r="AD40" s="11" t="n">
        <v>6.09</v>
      </c>
      <c r="AE40" s="11" t="n">
        <v>21.68</v>
      </c>
      <c r="AF40" s="11" t="n">
        <v>0</v>
      </c>
      <c r="AG40" s="11" t="n">
        <v>1.1</v>
      </c>
      <c r="AH40" s="11" t="n">
        <f aca="false">SUM(AB40:AG40)</f>
        <v>40.037</v>
      </c>
    </row>
    <row r="41" customFormat="false" ht="15" hidden="false" customHeight="false" outlineLevel="2" collapsed="false">
      <c r="A41" s="8" t="s">
        <v>148</v>
      </c>
      <c r="B41" s="12" t="s">
        <v>149</v>
      </c>
      <c r="C41" s="8" t="s">
        <v>69</v>
      </c>
      <c r="D41" s="12" t="s">
        <v>70</v>
      </c>
      <c r="E41" s="16"/>
      <c r="F41" s="9" t="str">
        <f aca="false">IF($E41="","",IFERROR(INDEX(担当者マスタ!$B$2:$B$101,MATCH($E41,担当者マスタ!$A$2:$A$101,0)),"※マスタ未登録"))</f>
        <v/>
      </c>
      <c r="G41" s="11" t="n">
        <v>1431.854</v>
      </c>
      <c r="H41" s="11" t="n">
        <v>3066.078</v>
      </c>
      <c r="I41" s="11" t="n">
        <v>1969.235</v>
      </c>
      <c r="J41" s="11" t="n">
        <v>1886.457</v>
      </c>
      <c r="K41" s="11" t="n">
        <v>2086.572</v>
      </c>
      <c r="L41" s="11" t="n">
        <v>1947.429</v>
      </c>
      <c r="M41" s="11" t="n">
        <f aca="false">SUM(G41:L41)</f>
        <v>12387.625</v>
      </c>
      <c r="N41" s="11" t="n">
        <v>313.657</v>
      </c>
      <c r="O41" s="11" t="n">
        <v>776.107</v>
      </c>
      <c r="P41" s="11" t="n">
        <v>469.327</v>
      </c>
      <c r="Q41" s="11" t="n">
        <v>462.238</v>
      </c>
      <c r="R41" s="11" t="n">
        <v>496.788</v>
      </c>
      <c r="S41" s="11" t="n">
        <v>382.482</v>
      </c>
      <c r="T41" s="11" t="n">
        <f aca="false">SUM(N41:S41)</f>
        <v>2900.599</v>
      </c>
      <c r="U41" s="11" t="n">
        <v>2802.998</v>
      </c>
      <c r="V41" s="11" t="n">
        <v>2036.358</v>
      </c>
      <c r="W41" s="11" t="n">
        <v>2509.646</v>
      </c>
      <c r="X41" s="11" t="n">
        <v>2241.829</v>
      </c>
      <c r="Y41" s="11" t="n">
        <v>1841.898</v>
      </c>
      <c r="Z41" s="11" t="n">
        <v>2126.826</v>
      </c>
      <c r="AA41" s="11" t="n">
        <f aca="false">SUM(U41:Z41)</f>
        <v>13559.555</v>
      </c>
      <c r="AB41" s="11" t="n">
        <v>631.608</v>
      </c>
      <c r="AC41" s="11" t="n">
        <v>468.848</v>
      </c>
      <c r="AD41" s="11" t="n">
        <v>576.055</v>
      </c>
      <c r="AE41" s="11" t="n">
        <v>520.029</v>
      </c>
      <c r="AF41" s="11" t="n">
        <v>406.203</v>
      </c>
      <c r="AG41" s="11" t="n">
        <v>479.139</v>
      </c>
      <c r="AH41" s="11" t="n">
        <f aca="false">SUM(AB41:AG41)</f>
        <v>3081.882</v>
      </c>
    </row>
    <row r="42" customFormat="false" ht="15" hidden="false" customHeight="false" outlineLevel="2" collapsed="false">
      <c r="A42" s="8" t="s">
        <v>150</v>
      </c>
      <c r="B42" s="12" t="s">
        <v>151</v>
      </c>
      <c r="C42" s="8" t="s">
        <v>69</v>
      </c>
      <c r="D42" s="12" t="s">
        <v>70</v>
      </c>
      <c r="E42" s="16"/>
      <c r="F42" s="9" t="str">
        <f aca="false">IF($E42="","",IFERROR(INDEX(担当者マスタ!$B$2:$B$101,MATCH($E42,担当者マスタ!$A$2:$A$101,0)),"※マスタ未登録"))</f>
        <v/>
      </c>
      <c r="G42" s="11" t="n">
        <v>3.28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f aca="false">SUM(G42:L42)</f>
        <v>3.28</v>
      </c>
      <c r="N42" s="11" t="n">
        <v>1.13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f aca="false">SUM(N42:S42)</f>
        <v>1.13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f aca="false">SUM(U42:Z42)</f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f aca="false">SUM(AB42:AG42)</f>
        <v>0</v>
      </c>
    </row>
    <row r="43" customFormat="false" ht="15" hidden="false" customHeight="false" outlineLevel="2" collapsed="false">
      <c r="A43" s="8" t="s">
        <v>152</v>
      </c>
      <c r="B43" s="12" t="s">
        <v>153</v>
      </c>
      <c r="C43" s="8" t="s">
        <v>69</v>
      </c>
      <c r="D43" s="12" t="s">
        <v>70</v>
      </c>
      <c r="E43" s="16"/>
      <c r="F43" s="9" t="str">
        <f aca="false">IF($E43="","",IFERROR(INDEX(担当者マスタ!$B$2:$B$101,MATCH($E43,担当者マスタ!$A$2:$A$101,0)),"※マスタ未登録"))</f>
        <v/>
      </c>
      <c r="G43" s="11" t="n">
        <v>0</v>
      </c>
      <c r="H43" s="11" t="n">
        <v>0</v>
      </c>
      <c r="I43" s="11" t="n">
        <v>34.6</v>
      </c>
      <c r="J43" s="11" t="n">
        <v>2</v>
      </c>
      <c r="K43" s="11" t="n">
        <v>0</v>
      </c>
      <c r="L43" s="11" t="n">
        <v>1.042</v>
      </c>
      <c r="M43" s="11" t="n">
        <f aca="false">SUM(G43:L43)</f>
        <v>37.642</v>
      </c>
      <c r="N43" s="11" t="n">
        <v>0</v>
      </c>
      <c r="O43" s="11" t="n">
        <v>0</v>
      </c>
      <c r="P43" s="11" t="n">
        <v>13</v>
      </c>
      <c r="Q43" s="11" t="n">
        <v>0.9</v>
      </c>
      <c r="R43" s="11" t="n">
        <v>0</v>
      </c>
      <c r="S43" s="11" t="n">
        <v>0.56</v>
      </c>
      <c r="T43" s="11" t="n">
        <f aca="false">SUM(N43:S43)</f>
        <v>14.46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f aca="false">SUM(U43:Z43)</f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f aca="false">SUM(AB43:AG43)</f>
        <v>0</v>
      </c>
    </row>
    <row r="44" customFormat="false" ht="15" hidden="false" customHeight="false" outlineLevel="2" collapsed="false">
      <c r="A44" s="8" t="s">
        <v>154</v>
      </c>
      <c r="B44" s="12" t="s">
        <v>155</v>
      </c>
      <c r="C44" s="8" t="s">
        <v>69</v>
      </c>
      <c r="D44" s="12" t="s">
        <v>70</v>
      </c>
      <c r="E44" s="16"/>
      <c r="F44" s="9" t="str">
        <f aca="false">IF($E44="","",IFERROR(INDEX(担当者マスタ!$B$2:$B$101,MATCH($E44,担当者マスタ!$A$2:$A$101,0)),"※マスタ未登録"))</f>
        <v/>
      </c>
      <c r="G44" s="11" t="n">
        <v>2599.985</v>
      </c>
      <c r="H44" s="11" t="n">
        <v>130.44</v>
      </c>
      <c r="I44" s="11" t="n">
        <v>53.224</v>
      </c>
      <c r="J44" s="11" t="n">
        <v>67.005</v>
      </c>
      <c r="K44" s="11" t="n">
        <v>12.04</v>
      </c>
      <c r="L44" s="11" t="n">
        <v>30.412</v>
      </c>
      <c r="M44" s="11" t="n">
        <f aca="false">SUM(G44:L44)</f>
        <v>2893.106</v>
      </c>
      <c r="N44" s="11" t="n">
        <v>360.61</v>
      </c>
      <c r="O44" s="11" t="n">
        <v>85.718</v>
      </c>
      <c r="P44" s="11" t="n">
        <v>12.818</v>
      </c>
      <c r="Q44" s="11" t="n">
        <v>43.06</v>
      </c>
      <c r="R44" s="11" t="n">
        <v>2.24</v>
      </c>
      <c r="S44" s="11" t="n">
        <v>7.592</v>
      </c>
      <c r="T44" s="11" t="n">
        <f aca="false">SUM(N44:S44)</f>
        <v>512.038</v>
      </c>
      <c r="U44" s="11" t="n">
        <v>83.72</v>
      </c>
      <c r="V44" s="11" t="n">
        <v>82.897</v>
      </c>
      <c r="W44" s="11" t="n">
        <v>230.382</v>
      </c>
      <c r="X44" s="11" t="n">
        <v>23.894</v>
      </c>
      <c r="Y44" s="11" t="n">
        <v>103.788</v>
      </c>
      <c r="Z44" s="11" t="n">
        <v>20.605</v>
      </c>
      <c r="AA44" s="11" t="n">
        <f aca="false">SUM(U44:Z44)</f>
        <v>545.286</v>
      </c>
      <c r="AB44" s="11" t="n">
        <v>19.36</v>
      </c>
      <c r="AC44" s="11" t="n">
        <v>20.102</v>
      </c>
      <c r="AD44" s="11" t="n">
        <v>106.142</v>
      </c>
      <c r="AE44" s="11" t="n">
        <v>13.288</v>
      </c>
      <c r="AF44" s="11" t="n">
        <v>51.576</v>
      </c>
      <c r="AG44" s="11" t="n">
        <v>5.24</v>
      </c>
      <c r="AH44" s="11" t="n">
        <f aca="false">SUM(AB44:AG44)</f>
        <v>215.708</v>
      </c>
    </row>
    <row r="45" customFormat="false" ht="15" hidden="false" customHeight="false" outlineLevel="2" collapsed="false">
      <c r="A45" s="8" t="s">
        <v>156</v>
      </c>
      <c r="B45" s="12" t="s">
        <v>157</v>
      </c>
      <c r="C45" s="8" t="s">
        <v>69</v>
      </c>
      <c r="D45" s="12" t="s">
        <v>70</v>
      </c>
      <c r="E45" s="16"/>
      <c r="F45" s="9" t="str">
        <f aca="false">IF($E45="","",IFERROR(INDEX(担当者マスタ!$B$2:$B$101,MATCH($E45,担当者マスタ!$A$2:$A$101,0)),"※マスタ未登録"))</f>
        <v/>
      </c>
      <c r="G45" s="11" t="n">
        <v>1191.656</v>
      </c>
      <c r="H45" s="11" t="n">
        <v>1366.181</v>
      </c>
      <c r="I45" s="11" t="n">
        <v>1227.292</v>
      </c>
      <c r="J45" s="11" t="n">
        <v>1227.3</v>
      </c>
      <c r="K45" s="11" t="n">
        <v>728.967</v>
      </c>
      <c r="L45" s="11" t="n">
        <v>843.926</v>
      </c>
      <c r="M45" s="11" t="n">
        <f aca="false">SUM(G45:L45)</f>
        <v>6585.322</v>
      </c>
      <c r="N45" s="11" t="n">
        <v>366.727</v>
      </c>
      <c r="O45" s="11" t="n">
        <v>416.167</v>
      </c>
      <c r="P45" s="11" t="n">
        <v>366.005</v>
      </c>
      <c r="Q45" s="11" t="n">
        <v>387.593</v>
      </c>
      <c r="R45" s="11" t="n">
        <v>230.057</v>
      </c>
      <c r="S45" s="11" t="n">
        <v>256.357</v>
      </c>
      <c r="T45" s="11" t="n">
        <f aca="false">SUM(N45:S45)</f>
        <v>2022.906</v>
      </c>
      <c r="U45" s="11" t="n">
        <v>792.717</v>
      </c>
      <c r="V45" s="11" t="n">
        <v>621.483</v>
      </c>
      <c r="W45" s="11" t="n">
        <v>766.906</v>
      </c>
      <c r="X45" s="11" t="n">
        <v>788.389</v>
      </c>
      <c r="Y45" s="11" t="n">
        <v>581.807</v>
      </c>
      <c r="Z45" s="11" t="n">
        <v>680.841</v>
      </c>
      <c r="AA45" s="11" t="n">
        <f aca="false">SUM(U45:Z45)</f>
        <v>4232.143</v>
      </c>
      <c r="AB45" s="11" t="n">
        <v>250.382</v>
      </c>
      <c r="AC45" s="11" t="n">
        <v>188.033</v>
      </c>
      <c r="AD45" s="11" t="n">
        <v>240.761</v>
      </c>
      <c r="AE45" s="11" t="n">
        <v>235.775</v>
      </c>
      <c r="AF45" s="11" t="n">
        <v>191.081</v>
      </c>
      <c r="AG45" s="11" t="n">
        <v>213.1</v>
      </c>
      <c r="AH45" s="11" t="n">
        <f aca="false">SUM(AB45:AG45)</f>
        <v>1319.132</v>
      </c>
    </row>
    <row r="46" customFormat="false" ht="15" hidden="false" customHeight="false" outlineLevel="2" collapsed="false">
      <c r="A46" s="8" t="s">
        <v>158</v>
      </c>
      <c r="B46" s="12" t="s">
        <v>159</v>
      </c>
      <c r="C46" s="8" t="s">
        <v>69</v>
      </c>
      <c r="D46" s="12" t="s">
        <v>70</v>
      </c>
      <c r="E46" s="16"/>
      <c r="F46" s="9" t="str">
        <f aca="false">IF($E46="","",IFERROR(INDEX(担当者マスタ!$B$2:$B$101,MATCH($E46,担当者マスタ!$A$2:$A$101,0)),"※マスタ未登録"))</f>
        <v/>
      </c>
      <c r="G46" s="11" t="n">
        <v>87.666</v>
      </c>
      <c r="H46" s="11" t="n">
        <v>150.505</v>
      </c>
      <c r="I46" s="11" t="n">
        <v>231.186</v>
      </c>
      <c r="J46" s="11" t="n">
        <v>87.522</v>
      </c>
      <c r="K46" s="11" t="n">
        <v>191.37</v>
      </c>
      <c r="L46" s="11" t="n">
        <v>145.228</v>
      </c>
      <c r="M46" s="11" t="n">
        <f aca="false">SUM(G46:L46)</f>
        <v>893.477</v>
      </c>
      <c r="N46" s="11" t="n">
        <v>28.858</v>
      </c>
      <c r="O46" s="11" t="n">
        <v>59.347</v>
      </c>
      <c r="P46" s="11" t="n">
        <v>75.818</v>
      </c>
      <c r="Q46" s="11" t="n">
        <v>31.085</v>
      </c>
      <c r="R46" s="11" t="n">
        <v>58.539</v>
      </c>
      <c r="S46" s="11" t="n">
        <v>54.169</v>
      </c>
      <c r="T46" s="11" t="n">
        <f aca="false">SUM(N46:S46)</f>
        <v>307.816</v>
      </c>
      <c r="U46" s="11" t="n">
        <v>77.927</v>
      </c>
      <c r="V46" s="11" t="n">
        <v>95.15</v>
      </c>
      <c r="W46" s="11" t="n">
        <v>88.816</v>
      </c>
      <c r="X46" s="11" t="n">
        <v>65.322</v>
      </c>
      <c r="Y46" s="11" t="n">
        <v>164.702</v>
      </c>
      <c r="Z46" s="11" t="n">
        <v>79.2</v>
      </c>
      <c r="AA46" s="11" t="n">
        <f aca="false">SUM(U46:Z46)</f>
        <v>571.117</v>
      </c>
      <c r="AB46" s="11" t="n">
        <v>26.288</v>
      </c>
      <c r="AC46" s="11" t="n">
        <v>35.164</v>
      </c>
      <c r="AD46" s="11" t="n">
        <v>29.857</v>
      </c>
      <c r="AE46" s="11" t="n">
        <v>22.661</v>
      </c>
      <c r="AF46" s="11" t="n">
        <v>56.725</v>
      </c>
      <c r="AG46" s="11" t="n">
        <v>27.456</v>
      </c>
      <c r="AH46" s="11" t="n">
        <f aca="false">SUM(AB46:AG46)</f>
        <v>198.151</v>
      </c>
    </row>
    <row r="47" customFormat="false" ht="15" hidden="false" customHeight="false" outlineLevel="2" collapsed="false">
      <c r="A47" s="8" t="s">
        <v>160</v>
      </c>
      <c r="B47" s="12" t="s">
        <v>161</v>
      </c>
      <c r="C47" s="8" t="s">
        <v>69</v>
      </c>
      <c r="D47" s="12" t="s">
        <v>70</v>
      </c>
      <c r="E47" s="16"/>
      <c r="F47" s="9" t="str">
        <f aca="false">IF($E47="","",IFERROR(INDEX(担当者マスタ!$B$2:$B$101,MATCH($E47,担当者マスタ!$A$2:$A$101,0)),"※マスタ未登録"))</f>
        <v/>
      </c>
      <c r="G47" s="11" t="n">
        <v>41.604</v>
      </c>
      <c r="H47" s="11" t="n">
        <v>7.6</v>
      </c>
      <c r="I47" s="11" t="n">
        <v>25.31</v>
      </c>
      <c r="J47" s="11" t="n">
        <v>15.15</v>
      </c>
      <c r="K47" s="11" t="n">
        <v>0</v>
      </c>
      <c r="L47" s="11" t="n">
        <v>5.624</v>
      </c>
      <c r="M47" s="11" t="n">
        <f aca="false">SUM(G47:L47)</f>
        <v>95.288</v>
      </c>
      <c r="N47" s="11" t="n">
        <v>14.194</v>
      </c>
      <c r="O47" s="11" t="n">
        <v>2.3</v>
      </c>
      <c r="P47" s="11" t="n">
        <v>10.92</v>
      </c>
      <c r="Q47" s="11" t="n">
        <v>5.15</v>
      </c>
      <c r="R47" s="11" t="n">
        <v>0</v>
      </c>
      <c r="S47" s="11" t="n">
        <v>1.774</v>
      </c>
      <c r="T47" s="11" t="n">
        <f aca="false">SUM(N47:S47)</f>
        <v>34.338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f aca="false">SUM(U47:Z47)</f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f aca="false">SUM(AB47:AG47)</f>
        <v>0</v>
      </c>
    </row>
    <row r="48" customFormat="false" ht="15" hidden="false" customHeight="false" outlineLevel="2" collapsed="false">
      <c r="A48" s="8" t="s">
        <v>162</v>
      </c>
      <c r="B48" s="9" t="s">
        <v>163</v>
      </c>
      <c r="C48" s="8" t="s">
        <v>69</v>
      </c>
      <c r="D48" s="12" t="s">
        <v>70</v>
      </c>
      <c r="E48" s="16"/>
      <c r="F48" s="9" t="str">
        <f aca="false">IF($E48="","",IFERROR(INDEX(担当者マスタ!$B$2:$B$101,MATCH($E48,担当者マスタ!$A$2:$A$101,0)),"※マスタ未登録"))</f>
        <v/>
      </c>
      <c r="G48" s="11" t="n">
        <v>1304.335</v>
      </c>
      <c r="H48" s="11" t="n">
        <v>846.11</v>
      </c>
      <c r="I48" s="11" t="n">
        <v>1108.62</v>
      </c>
      <c r="J48" s="11" t="n">
        <v>760.81</v>
      </c>
      <c r="K48" s="11" t="n">
        <v>746.59</v>
      </c>
      <c r="L48" s="11" t="n">
        <v>851.11</v>
      </c>
      <c r="M48" s="11" t="n">
        <f aca="false">SUM(G48:L48)</f>
        <v>5617.575</v>
      </c>
      <c r="N48" s="11" t="n">
        <v>374.698</v>
      </c>
      <c r="O48" s="11" t="n">
        <v>233.334</v>
      </c>
      <c r="P48" s="11" t="n">
        <v>310.895</v>
      </c>
      <c r="Q48" s="11" t="n">
        <v>174.88</v>
      </c>
      <c r="R48" s="11" t="n">
        <v>165.405</v>
      </c>
      <c r="S48" s="11" t="n">
        <v>183.062</v>
      </c>
      <c r="T48" s="11" t="n">
        <f aca="false">SUM(N48:S48)</f>
        <v>1442.274</v>
      </c>
      <c r="U48" s="11" t="n">
        <v>1222.235</v>
      </c>
      <c r="V48" s="11" t="n">
        <v>654.93</v>
      </c>
      <c r="W48" s="11" t="n">
        <v>1192.085</v>
      </c>
      <c r="X48" s="11" t="n">
        <v>583.895</v>
      </c>
      <c r="Y48" s="11" t="n">
        <v>869.19</v>
      </c>
      <c r="Z48" s="11" t="n">
        <v>1020.8</v>
      </c>
      <c r="AA48" s="11" t="n">
        <f aca="false">SUM(U48:Z48)</f>
        <v>5543.135</v>
      </c>
      <c r="AB48" s="11" t="n">
        <v>340.712</v>
      </c>
      <c r="AC48" s="11" t="n">
        <v>193.62</v>
      </c>
      <c r="AD48" s="11" t="n">
        <v>330.595</v>
      </c>
      <c r="AE48" s="11" t="n">
        <v>146.311</v>
      </c>
      <c r="AF48" s="11" t="n">
        <v>214.002</v>
      </c>
      <c r="AG48" s="11" t="n">
        <v>239.4</v>
      </c>
      <c r="AH48" s="11" t="n">
        <f aca="false">SUM(AB48:AG48)</f>
        <v>1464.64</v>
      </c>
    </row>
    <row r="49" customFormat="false" ht="15" hidden="false" customHeight="false" outlineLevel="2" collapsed="false">
      <c r="A49" s="8" t="s">
        <v>164</v>
      </c>
      <c r="B49" s="9" t="s">
        <v>165</v>
      </c>
      <c r="C49" s="8" t="s">
        <v>69</v>
      </c>
      <c r="D49" s="12" t="s">
        <v>70</v>
      </c>
      <c r="E49" s="16"/>
      <c r="F49" s="9" t="str">
        <f aca="false">IF($E49="","",IFERROR(INDEX(担当者マスタ!$B$2:$B$101,MATCH($E49,担当者マスタ!$A$2:$A$101,0)),"※マスタ未登録"))</f>
        <v/>
      </c>
      <c r="G49" s="11" t="n">
        <v>62.766</v>
      </c>
      <c r="H49" s="11" t="n">
        <v>170.382</v>
      </c>
      <c r="I49" s="11" t="n">
        <v>231.82</v>
      </c>
      <c r="J49" s="11" t="n">
        <v>12.32</v>
      </c>
      <c r="K49" s="11" t="n">
        <v>134.467</v>
      </c>
      <c r="L49" s="11" t="n">
        <v>62.196</v>
      </c>
      <c r="M49" s="11" t="n">
        <f aca="false">SUM(G49:L49)</f>
        <v>673.951</v>
      </c>
      <c r="N49" s="11" t="n">
        <v>23.351</v>
      </c>
      <c r="O49" s="11" t="n">
        <v>50.294</v>
      </c>
      <c r="P49" s="11" t="n">
        <v>64.375</v>
      </c>
      <c r="Q49" s="11" t="n">
        <v>2.72</v>
      </c>
      <c r="R49" s="11" t="n">
        <v>61.32</v>
      </c>
      <c r="S49" s="11" t="n">
        <v>13.939</v>
      </c>
      <c r="T49" s="11" t="n">
        <f aca="false">SUM(N49:S49)</f>
        <v>215.999</v>
      </c>
      <c r="U49" s="11" t="n">
        <v>188.786</v>
      </c>
      <c r="V49" s="11" t="n">
        <v>155.92</v>
      </c>
      <c r="W49" s="11" t="n">
        <v>124.93</v>
      </c>
      <c r="X49" s="11" t="n">
        <v>189.74</v>
      </c>
      <c r="Y49" s="11" t="n">
        <v>277.496</v>
      </c>
      <c r="Z49" s="11" t="n">
        <v>283.278</v>
      </c>
      <c r="AA49" s="11" t="n">
        <f aca="false">SUM(U49:Z49)</f>
        <v>1220.15</v>
      </c>
      <c r="AB49" s="11" t="n">
        <v>63.971</v>
      </c>
      <c r="AC49" s="11" t="n">
        <v>32.12</v>
      </c>
      <c r="AD49" s="11" t="n">
        <v>41.545</v>
      </c>
      <c r="AE49" s="11" t="n">
        <v>42.758</v>
      </c>
      <c r="AF49" s="11" t="n">
        <v>60.291</v>
      </c>
      <c r="AG49" s="11" t="n">
        <v>66.046</v>
      </c>
      <c r="AH49" s="11" t="n">
        <f aca="false">SUM(AB49:AG49)</f>
        <v>306.731</v>
      </c>
    </row>
    <row r="50" customFormat="false" ht="15" hidden="false" customHeight="false" outlineLevel="2" collapsed="false">
      <c r="A50" s="8" t="s">
        <v>166</v>
      </c>
      <c r="B50" s="12" t="s">
        <v>167</v>
      </c>
      <c r="C50" s="8" t="s">
        <v>69</v>
      </c>
      <c r="D50" s="12" t="s">
        <v>70</v>
      </c>
      <c r="E50" s="16"/>
      <c r="F50" s="9" t="str">
        <f aca="false">IF($E50="","",IFERROR(INDEX(担当者マスタ!$B$2:$B$101,MATCH($E50,担当者マスタ!$A$2:$A$101,0)),"※マスタ未登録"))</f>
        <v/>
      </c>
      <c r="G50" s="11" t="n">
        <v>0</v>
      </c>
      <c r="H50" s="11" t="n">
        <v>0</v>
      </c>
      <c r="I50" s="11" t="n">
        <v>8.808</v>
      </c>
      <c r="J50" s="11" t="n">
        <v>0</v>
      </c>
      <c r="K50" s="11" t="n">
        <v>0</v>
      </c>
      <c r="L50" s="11" t="n">
        <v>0</v>
      </c>
      <c r="M50" s="11" t="n">
        <f aca="false">SUM(G50:L50)</f>
        <v>8.808</v>
      </c>
      <c r="N50" s="11" t="n">
        <v>0</v>
      </c>
      <c r="O50" s="11" t="n">
        <v>0</v>
      </c>
      <c r="P50" s="11" t="n">
        <v>3.036</v>
      </c>
      <c r="Q50" s="11" t="n">
        <v>0</v>
      </c>
      <c r="R50" s="11" t="n">
        <v>0</v>
      </c>
      <c r="S50" s="11" t="n">
        <v>0</v>
      </c>
      <c r="T50" s="11" t="n">
        <f aca="false">SUM(N50:S50)</f>
        <v>3.036</v>
      </c>
      <c r="U50" s="11" t="n">
        <v>0</v>
      </c>
      <c r="V50" s="11" t="n">
        <v>14.44</v>
      </c>
      <c r="W50" s="11" t="n">
        <v>0.365</v>
      </c>
      <c r="X50" s="11" t="n">
        <v>0</v>
      </c>
      <c r="Y50" s="11" t="n">
        <v>0</v>
      </c>
      <c r="Z50" s="11" t="n">
        <v>0</v>
      </c>
      <c r="AA50" s="11" t="n">
        <f aca="false">SUM(U50:Z50)</f>
        <v>14.805</v>
      </c>
      <c r="AB50" s="11" t="n">
        <v>0</v>
      </c>
      <c r="AC50" s="11" t="n">
        <v>4.908</v>
      </c>
      <c r="AD50" s="11" t="n">
        <v>0.122</v>
      </c>
      <c r="AE50" s="11" t="n">
        <v>0</v>
      </c>
      <c r="AF50" s="11" t="n">
        <v>0</v>
      </c>
      <c r="AG50" s="11" t="n">
        <v>0</v>
      </c>
      <c r="AH50" s="11" t="n">
        <f aca="false">SUM(AB50:AG50)</f>
        <v>5.03</v>
      </c>
    </row>
    <row r="51" customFormat="false" ht="15" hidden="false" customHeight="false" outlineLevel="2" collapsed="false">
      <c r="A51" s="8" t="s">
        <v>168</v>
      </c>
      <c r="B51" s="12" t="s">
        <v>169</v>
      </c>
      <c r="C51" s="8" t="s">
        <v>69</v>
      </c>
      <c r="D51" s="12" t="s">
        <v>70</v>
      </c>
      <c r="E51" s="16"/>
      <c r="F51" s="9" t="str">
        <f aca="false">IF($E51="","",IFERROR(INDEX(担当者マスタ!$B$2:$B$101,MATCH($E51,担当者マスタ!$A$2:$A$101,0)),"※マスタ未登録"))</f>
        <v/>
      </c>
      <c r="G51" s="11" t="n">
        <v>133.037</v>
      </c>
      <c r="H51" s="11" t="n">
        <v>108.653</v>
      </c>
      <c r="I51" s="11" t="n">
        <v>133.621</v>
      </c>
      <c r="J51" s="11" t="n">
        <v>85.489</v>
      </c>
      <c r="K51" s="11" t="n">
        <v>54.935</v>
      </c>
      <c r="L51" s="11" t="n">
        <v>112.343</v>
      </c>
      <c r="M51" s="11" t="n">
        <f aca="false">SUM(G51:L51)</f>
        <v>628.078</v>
      </c>
      <c r="N51" s="11" t="n">
        <v>54.604</v>
      </c>
      <c r="O51" s="11" t="n">
        <v>44.92</v>
      </c>
      <c r="P51" s="11" t="n">
        <v>54.24</v>
      </c>
      <c r="Q51" s="11" t="n">
        <v>36.677</v>
      </c>
      <c r="R51" s="11" t="n">
        <v>21.432</v>
      </c>
      <c r="S51" s="11" t="n">
        <v>46.776</v>
      </c>
      <c r="T51" s="11" t="n">
        <f aca="false">SUM(N51:S51)</f>
        <v>258.649</v>
      </c>
      <c r="U51" s="11" t="n">
        <v>94.245</v>
      </c>
      <c r="V51" s="11" t="n">
        <v>58.813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f aca="false">SUM(U51:Z51)</f>
        <v>153.058</v>
      </c>
      <c r="AB51" s="11" t="n">
        <v>38.821</v>
      </c>
      <c r="AC51" s="11" t="n">
        <v>17.348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f aca="false">SUM(AB51:AG51)</f>
        <v>56.169</v>
      </c>
    </row>
    <row r="52" customFormat="false" ht="15" hidden="false" customHeight="false" outlineLevel="2" collapsed="false">
      <c r="A52" s="8" t="s">
        <v>170</v>
      </c>
      <c r="B52" s="12" t="s">
        <v>171</v>
      </c>
      <c r="C52" s="8" t="s">
        <v>69</v>
      </c>
      <c r="D52" s="12" t="s">
        <v>70</v>
      </c>
      <c r="E52" s="16"/>
      <c r="F52" s="9" t="str">
        <f aca="false">IF($E52="","",IFERROR(INDEX(担当者マスタ!$B$2:$B$101,MATCH($E52,担当者マスタ!$A$2:$A$101,0)),"※マスタ未登録"))</f>
        <v/>
      </c>
      <c r="G52" s="11" t="n">
        <v>24.8</v>
      </c>
      <c r="H52" s="11" t="n">
        <v>0</v>
      </c>
      <c r="I52" s="11" t="n">
        <v>0</v>
      </c>
      <c r="J52" s="11" t="n">
        <v>0</v>
      </c>
      <c r="K52" s="11" t="n">
        <v>28.66</v>
      </c>
      <c r="L52" s="11" t="n">
        <v>25.6</v>
      </c>
      <c r="M52" s="11" t="n">
        <f aca="false">SUM(G52:L52)</f>
        <v>79.06</v>
      </c>
      <c r="N52" s="11" t="n">
        <v>12.8</v>
      </c>
      <c r="O52" s="11" t="n">
        <v>0</v>
      </c>
      <c r="P52" s="11" t="n">
        <v>0</v>
      </c>
      <c r="Q52" s="11" t="n">
        <v>0</v>
      </c>
      <c r="R52" s="11" t="n">
        <v>13.06</v>
      </c>
      <c r="S52" s="11" t="n">
        <v>5</v>
      </c>
      <c r="T52" s="11" t="n">
        <f aca="false">SUM(N52:S52)</f>
        <v>30.86</v>
      </c>
      <c r="U52" s="11" t="n">
        <v>0</v>
      </c>
      <c r="V52" s="11" t="n">
        <v>191.2</v>
      </c>
      <c r="W52" s="11" t="n">
        <v>0</v>
      </c>
      <c r="X52" s="11" t="n">
        <v>98</v>
      </c>
      <c r="Y52" s="11" t="n">
        <v>35.66</v>
      </c>
      <c r="Z52" s="11" t="n">
        <v>0</v>
      </c>
      <c r="AA52" s="11" t="n">
        <f aca="false">SUM(U52:Z52)</f>
        <v>324.86</v>
      </c>
      <c r="AB52" s="11" t="n">
        <v>0</v>
      </c>
      <c r="AC52" s="11" t="n">
        <v>66.8</v>
      </c>
      <c r="AD52" s="11" t="n">
        <v>0</v>
      </c>
      <c r="AE52" s="11" t="n">
        <v>24.88</v>
      </c>
      <c r="AF52" s="11" t="n">
        <v>20.06</v>
      </c>
      <c r="AG52" s="11" t="n">
        <v>0</v>
      </c>
      <c r="AH52" s="11" t="n">
        <f aca="false">SUM(AB52:AG52)</f>
        <v>111.74</v>
      </c>
    </row>
    <row r="53" customFormat="false" ht="15" hidden="false" customHeight="false" outlineLevel="2" collapsed="false">
      <c r="A53" s="8" t="s">
        <v>172</v>
      </c>
      <c r="B53" s="12" t="s">
        <v>173</v>
      </c>
      <c r="C53" s="8" t="s">
        <v>69</v>
      </c>
      <c r="D53" s="12" t="s">
        <v>70</v>
      </c>
      <c r="E53" s="16"/>
      <c r="F53" s="9" t="str">
        <f aca="false">IF($E53="","",IFERROR(INDEX(担当者マスタ!$B$2:$B$101,MATCH($E53,担当者マスタ!$A$2:$A$101,0)),"※マスタ未登録"))</f>
        <v/>
      </c>
      <c r="G53" s="11" t="n">
        <v>185.442</v>
      </c>
      <c r="H53" s="11" t="n">
        <v>106.736</v>
      </c>
      <c r="I53" s="11" t="n">
        <v>178.76</v>
      </c>
      <c r="J53" s="11" t="n">
        <v>89.002</v>
      </c>
      <c r="K53" s="11" t="n">
        <v>205.184</v>
      </c>
      <c r="L53" s="11" t="n">
        <v>271.086</v>
      </c>
      <c r="M53" s="11" t="n">
        <f aca="false">SUM(G53:L53)</f>
        <v>1036.21</v>
      </c>
      <c r="N53" s="11" t="n">
        <v>64.722</v>
      </c>
      <c r="O53" s="11" t="n">
        <v>35.13</v>
      </c>
      <c r="P53" s="11" t="n">
        <v>61.075</v>
      </c>
      <c r="Q53" s="11" t="n">
        <v>32.641</v>
      </c>
      <c r="R53" s="11" t="n">
        <v>62.307</v>
      </c>
      <c r="S53" s="11" t="n">
        <v>91.171</v>
      </c>
      <c r="T53" s="11" t="n">
        <f aca="false">SUM(N53:S53)</f>
        <v>347.046</v>
      </c>
      <c r="U53" s="11" t="n">
        <v>147.024</v>
      </c>
      <c r="V53" s="11" t="n">
        <v>195.04</v>
      </c>
      <c r="W53" s="11" t="n">
        <v>315.932</v>
      </c>
      <c r="X53" s="11" t="n">
        <v>229.084</v>
      </c>
      <c r="Y53" s="11" t="n">
        <v>141.044</v>
      </c>
      <c r="Z53" s="11" t="n">
        <v>186.131</v>
      </c>
      <c r="AA53" s="11" t="n">
        <f aca="false">SUM(U53:Z53)</f>
        <v>1214.255</v>
      </c>
      <c r="AB53" s="11" t="n">
        <v>56.083</v>
      </c>
      <c r="AC53" s="11" t="n">
        <v>72.064</v>
      </c>
      <c r="AD53" s="11" t="n">
        <v>113.593</v>
      </c>
      <c r="AE53" s="11" t="n">
        <v>62.953</v>
      </c>
      <c r="AF53" s="11" t="n">
        <v>43.455</v>
      </c>
      <c r="AG53" s="11" t="n">
        <v>55.955</v>
      </c>
      <c r="AH53" s="11" t="n">
        <f aca="false">SUM(AB53:AG53)</f>
        <v>404.103</v>
      </c>
    </row>
    <row r="54" customFormat="false" ht="15" hidden="false" customHeight="false" outlineLevel="2" collapsed="false">
      <c r="A54" s="8" t="s">
        <v>174</v>
      </c>
      <c r="B54" s="12" t="s">
        <v>175</v>
      </c>
      <c r="C54" s="8" t="s">
        <v>69</v>
      </c>
      <c r="D54" s="12" t="s">
        <v>70</v>
      </c>
      <c r="E54" s="16"/>
      <c r="F54" s="9" t="str">
        <f aca="false">IF($E54="","",IFERROR(INDEX(担当者マスタ!$B$2:$B$101,MATCH($E54,担当者マスタ!$A$2:$A$101,0)),"※マスタ未登録"))</f>
        <v/>
      </c>
      <c r="G54" s="11" t="n">
        <v>164.079</v>
      </c>
      <c r="H54" s="11" t="n">
        <v>157.778</v>
      </c>
      <c r="I54" s="11" t="n">
        <v>255.554</v>
      </c>
      <c r="J54" s="11" t="n">
        <v>60.508</v>
      </c>
      <c r="K54" s="11" t="n">
        <v>183.474</v>
      </c>
      <c r="L54" s="11" t="n">
        <v>230.286</v>
      </c>
      <c r="M54" s="11" t="n">
        <f aca="false">SUM(G54:L54)</f>
        <v>1051.679</v>
      </c>
      <c r="N54" s="11" t="n">
        <v>53.942</v>
      </c>
      <c r="O54" s="11" t="n">
        <v>51.261</v>
      </c>
      <c r="P54" s="11" t="n">
        <v>72.201</v>
      </c>
      <c r="Q54" s="11" t="n">
        <v>20.543</v>
      </c>
      <c r="R54" s="11" t="n">
        <v>48.652</v>
      </c>
      <c r="S54" s="11" t="n">
        <v>67.072</v>
      </c>
      <c r="T54" s="11" t="n">
        <f aca="false">SUM(N54:S54)</f>
        <v>313.671</v>
      </c>
      <c r="U54" s="11" t="n">
        <v>184.098</v>
      </c>
      <c r="V54" s="11" t="n">
        <v>248.384</v>
      </c>
      <c r="W54" s="11" t="n">
        <v>191.042</v>
      </c>
      <c r="X54" s="11" t="n">
        <v>177.06</v>
      </c>
      <c r="Y54" s="11" t="n">
        <v>209.615</v>
      </c>
      <c r="Z54" s="11" t="n">
        <v>167.09</v>
      </c>
      <c r="AA54" s="11" t="n">
        <f aca="false">SUM(U54:Z54)</f>
        <v>1177.289</v>
      </c>
      <c r="AB54" s="11" t="n">
        <v>58.32</v>
      </c>
      <c r="AC54" s="11" t="n">
        <v>65.867</v>
      </c>
      <c r="AD54" s="11" t="n">
        <v>58.868</v>
      </c>
      <c r="AE54" s="11" t="n">
        <v>49.201</v>
      </c>
      <c r="AF54" s="11" t="n">
        <v>70.129</v>
      </c>
      <c r="AG54" s="11" t="n">
        <v>47.792</v>
      </c>
      <c r="AH54" s="11" t="n">
        <f aca="false">SUM(AB54:AG54)</f>
        <v>350.177</v>
      </c>
    </row>
    <row r="55" customFormat="false" ht="15" hidden="false" customHeight="false" outlineLevel="2" collapsed="false">
      <c r="A55" s="8" t="s">
        <v>176</v>
      </c>
      <c r="B55" s="12" t="s">
        <v>177</v>
      </c>
      <c r="C55" s="8" t="s">
        <v>69</v>
      </c>
      <c r="D55" s="12" t="s">
        <v>70</v>
      </c>
      <c r="E55" s="16"/>
      <c r="F55" s="9" t="str">
        <f aca="false">IF($E55="","",IFERROR(INDEX(担当者マスタ!$B$2:$B$101,MATCH($E55,担当者マスタ!$A$2:$A$101,0)),"※マスタ未登録"))</f>
        <v/>
      </c>
      <c r="G55" s="11" t="n">
        <v>157.151</v>
      </c>
      <c r="H55" s="11" t="n">
        <v>49.6</v>
      </c>
      <c r="I55" s="11" t="n">
        <v>155.332</v>
      </c>
      <c r="J55" s="11" t="n">
        <v>50.58</v>
      </c>
      <c r="K55" s="11" t="n">
        <v>94.785</v>
      </c>
      <c r="L55" s="11" t="n">
        <v>44.278</v>
      </c>
      <c r="M55" s="11" t="n">
        <f aca="false">SUM(G55:L55)</f>
        <v>551.726</v>
      </c>
      <c r="N55" s="11" t="n">
        <v>67.121</v>
      </c>
      <c r="O55" s="11" t="n">
        <v>20.654</v>
      </c>
      <c r="P55" s="11" t="n">
        <v>62.431</v>
      </c>
      <c r="Q55" s="11" t="n">
        <v>19.24</v>
      </c>
      <c r="R55" s="11" t="n">
        <v>36.851</v>
      </c>
      <c r="S55" s="11" t="n">
        <v>18.497</v>
      </c>
      <c r="T55" s="11" t="n">
        <f aca="false">SUM(N55:S55)</f>
        <v>224.794</v>
      </c>
      <c r="U55" s="11" t="n">
        <v>25.69</v>
      </c>
      <c r="V55" s="11" t="n">
        <v>120.21</v>
      </c>
      <c r="W55" s="11" t="n">
        <v>89.86</v>
      </c>
      <c r="X55" s="11" t="n">
        <v>74.94</v>
      </c>
      <c r="Y55" s="11" t="n">
        <v>21.476</v>
      </c>
      <c r="Z55" s="11" t="n">
        <v>44.292</v>
      </c>
      <c r="AA55" s="11" t="n">
        <f aca="false">SUM(U55:Z55)</f>
        <v>376.468</v>
      </c>
      <c r="AB55" s="11" t="n">
        <v>8.298</v>
      </c>
      <c r="AC55" s="11" t="n">
        <v>48.396</v>
      </c>
      <c r="AD55" s="11" t="n">
        <v>34.3</v>
      </c>
      <c r="AE55" s="11" t="n">
        <v>26.596</v>
      </c>
      <c r="AF55" s="11" t="n">
        <v>8.948</v>
      </c>
      <c r="AG55" s="11" t="n">
        <v>15.575</v>
      </c>
      <c r="AH55" s="11" t="n">
        <f aca="false">SUM(AB55:AG55)</f>
        <v>142.113</v>
      </c>
    </row>
    <row r="56" customFormat="false" ht="15" hidden="false" customHeight="false" outlineLevel="2" collapsed="false">
      <c r="A56" s="8" t="s">
        <v>178</v>
      </c>
      <c r="B56" s="12" t="s">
        <v>179</v>
      </c>
      <c r="C56" s="8" t="s">
        <v>69</v>
      </c>
      <c r="D56" s="12" t="s">
        <v>70</v>
      </c>
      <c r="E56" s="16"/>
      <c r="F56" s="9" t="str">
        <f aca="false">IF($E56="","",IFERROR(INDEX(担当者マスタ!$B$2:$B$101,MATCH($E56,担当者マスタ!$A$2:$A$101,0)),"※マスタ未登録"))</f>
        <v/>
      </c>
      <c r="G56" s="11" t="n">
        <v>0</v>
      </c>
      <c r="H56" s="11" t="n">
        <v>0</v>
      </c>
      <c r="I56" s="11" t="n">
        <v>11.88</v>
      </c>
      <c r="J56" s="11" t="n">
        <v>0</v>
      </c>
      <c r="K56" s="11" t="n">
        <v>0</v>
      </c>
      <c r="L56" s="11" t="n">
        <v>0</v>
      </c>
      <c r="M56" s="11" t="n">
        <f aca="false">SUM(G56:L56)</f>
        <v>11.88</v>
      </c>
      <c r="N56" s="11" t="n">
        <v>0</v>
      </c>
      <c r="O56" s="11" t="n">
        <v>0</v>
      </c>
      <c r="P56" s="11" t="n">
        <v>3.57</v>
      </c>
      <c r="Q56" s="11" t="n">
        <v>0</v>
      </c>
      <c r="R56" s="11" t="n">
        <v>0</v>
      </c>
      <c r="S56" s="11" t="n">
        <v>0</v>
      </c>
      <c r="T56" s="11" t="n">
        <f aca="false">SUM(N56:S56)</f>
        <v>3.57</v>
      </c>
      <c r="U56" s="11" t="n">
        <v>0</v>
      </c>
      <c r="V56" s="11" t="n">
        <v>0</v>
      </c>
      <c r="W56" s="11" t="n">
        <v>16.3</v>
      </c>
      <c r="X56" s="11" t="n">
        <v>0</v>
      </c>
      <c r="Y56" s="11" t="n">
        <v>0</v>
      </c>
      <c r="Z56" s="11" t="n">
        <v>0</v>
      </c>
      <c r="AA56" s="11" t="n">
        <f aca="false">SUM(U56:Z56)</f>
        <v>16.3</v>
      </c>
      <c r="AB56" s="11" t="n">
        <v>0</v>
      </c>
      <c r="AC56" s="11" t="n">
        <v>0</v>
      </c>
      <c r="AD56" s="11" t="n">
        <v>5.865</v>
      </c>
      <c r="AE56" s="11" t="n">
        <v>0</v>
      </c>
      <c r="AF56" s="11" t="n">
        <v>0</v>
      </c>
      <c r="AG56" s="11" t="n">
        <v>0</v>
      </c>
      <c r="AH56" s="11" t="n">
        <f aca="false">SUM(AB56:AG56)</f>
        <v>5.865</v>
      </c>
    </row>
    <row r="57" customFormat="false" ht="15" hidden="false" customHeight="false" outlineLevel="2" collapsed="false">
      <c r="A57" s="8" t="s">
        <v>180</v>
      </c>
      <c r="B57" s="12" t="s">
        <v>181</v>
      </c>
      <c r="C57" s="8" t="s">
        <v>69</v>
      </c>
      <c r="D57" s="12" t="s">
        <v>70</v>
      </c>
      <c r="E57" s="16"/>
      <c r="F57" s="9" t="str">
        <f aca="false">IF($E57="","",IFERROR(INDEX(担当者マスタ!$B$2:$B$101,MATCH($E57,担当者マスタ!$A$2:$A$101,0)),"※マスタ未登録"))</f>
        <v/>
      </c>
      <c r="G57" s="11" t="n">
        <v>8.584</v>
      </c>
      <c r="H57" s="11" t="n">
        <v>0</v>
      </c>
      <c r="I57" s="11" t="n">
        <v>8.584</v>
      </c>
      <c r="J57" s="11" t="n">
        <v>0</v>
      </c>
      <c r="K57" s="11" t="n">
        <v>0</v>
      </c>
      <c r="L57" s="11" t="n">
        <v>0</v>
      </c>
      <c r="M57" s="11" t="n">
        <f aca="false">SUM(G57:L57)</f>
        <v>17.168</v>
      </c>
      <c r="N57" s="11" t="n">
        <v>5.292</v>
      </c>
      <c r="O57" s="11" t="n">
        <v>0</v>
      </c>
      <c r="P57" s="11" t="n">
        <v>5.292</v>
      </c>
      <c r="Q57" s="11" t="n">
        <v>0</v>
      </c>
      <c r="R57" s="11" t="n">
        <v>0</v>
      </c>
      <c r="S57" s="11" t="n">
        <v>0</v>
      </c>
      <c r="T57" s="11" t="n">
        <f aca="false">SUM(N57:S57)</f>
        <v>10.584</v>
      </c>
      <c r="U57" s="11" t="n">
        <v>0</v>
      </c>
      <c r="V57" s="11" t="n">
        <v>8.584</v>
      </c>
      <c r="W57" s="11" t="n">
        <v>0</v>
      </c>
      <c r="X57" s="11" t="n">
        <v>8.584</v>
      </c>
      <c r="Y57" s="11" t="n">
        <v>3.16</v>
      </c>
      <c r="Z57" s="11" t="n">
        <v>0</v>
      </c>
      <c r="AA57" s="11" t="n">
        <f aca="false">SUM(U57:Z57)</f>
        <v>20.328</v>
      </c>
      <c r="AB57" s="11" t="n">
        <v>0</v>
      </c>
      <c r="AC57" s="11" t="n">
        <v>5.292</v>
      </c>
      <c r="AD57" s="11" t="n">
        <v>0</v>
      </c>
      <c r="AE57" s="11" t="n">
        <v>5.292</v>
      </c>
      <c r="AF57" s="11" t="n">
        <v>1.565</v>
      </c>
      <c r="AG57" s="11" t="n">
        <v>0</v>
      </c>
      <c r="AH57" s="11" t="n">
        <f aca="false">SUM(AB57:AG57)</f>
        <v>12.149</v>
      </c>
    </row>
    <row r="58" customFormat="false" ht="15" hidden="false" customHeight="false" outlineLevel="2" collapsed="false">
      <c r="A58" s="8" t="s">
        <v>182</v>
      </c>
      <c r="B58" s="9" t="s">
        <v>183</v>
      </c>
      <c r="C58" s="8" t="s">
        <v>69</v>
      </c>
      <c r="D58" s="12" t="s">
        <v>70</v>
      </c>
      <c r="E58" s="16"/>
      <c r="F58" s="9" t="str">
        <f aca="false">IF($E58="","",IFERROR(INDEX(担当者マスタ!$B$2:$B$101,MATCH($E58,担当者マスタ!$A$2:$A$101,0)),"※マスタ未登録"))</f>
        <v/>
      </c>
      <c r="G58" s="11" t="n">
        <v>0</v>
      </c>
      <c r="H58" s="11" t="n">
        <v>71.28</v>
      </c>
      <c r="I58" s="11" t="n">
        <v>120</v>
      </c>
      <c r="J58" s="11" t="n">
        <v>0</v>
      </c>
      <c r="K58" s="11" t="n">
        <v>75</v>
      </c>
      <c r="L58" s="11" t="n">
        <v>135</v>
      </c>
      <c r="M58" s="11" t="n">
        <f aca="false">SUM(G58:L58)</f>
        <v>401.28</v>
      </c>
      <c r="N58" s="11" t="n">
        <v>0</v>
      </c>
      <c r="O58" s="11" t="n">
        <v>31.622</v>
      </c>
      <c r="P58" s="11" t="n">
        <v>47.9</v>
      </c>
      <c r="Q58" s="11" t="n">
        <v>0</v>
      </c>
      <c r="R58" s="11" t="n">
        <v>33.75</v>
      </c>
      <c r="S58" s="11" t="n">
        <v>59.15</v>
      </c>
      <c r="T58" s="11" t="n">
        <f aca="false">SUM(N58:S58)</f>
        <v>172.422</v>
      </c>
      <c r="U58" s="11" t="n">
        <v>87.4</v>
      </c>
      <c r="V58" s="11" t="n">
        <v>39</v>
      </c>
      <c r="W58" s="11" t="n">
        <v>75</v>
      </c>
      <c r="X58" s="11" t="n">
        <v>0</v>
      </c>
      <c r="Y58" s="11" t="n">
        <v>0</v>
      </c>
      <c r="Z58" s="11" t="n">
        <v>96</v>
      </c>
      <c r="AA58" s="11" t="n">
        <f aca="false">SUM(U58:Z58)</f>
        <v>297.4</v>
      </c>
      <c r="AB58" s="11" t="n">
        <v>39.35</v>
      </c>
      <c r="AC58" s="11" t="n">
        <v>19.4</v>
      </c>
      <c r="AD58" s="11" t="n">
        <v>33.75</v>
      </c>
      <c r="AE58" s="11" t="n">
        <v>0</v>
      </c>
      <c r="AF58" s="11" t="n">
        <v>0</v>
      </c>
      <c r="AG58" s="11" t="n">
        <v>42.75</v>
      </c>
      <c r="AH58" s="11" t="n">
        <f aca="false">SUM(AB58:AG58)</f>
        <v>135.25</v>
      </c>
    </row>
    <row r="59" customFormat="false" ht="15" hidden="false" customHeight="false" outlineLevel="2" collapsed="false">
      <c r="A59" s="8" t="s">
        <v>184</v>
      </c>
      <c r="B59" s="12" t="s">
        <v>185</v>
      </c>
      <c r="C59" s="8" t="s">
        <v>69</v>
      </c>
      <c r="D59" s="12" t="s">
        <v>70</v>
      </c>
      <c r="E59" s="16"/>
      <c r="F59" s="9" t="str">
        <f aca="false">IF($E59="","",IFERROR(INDEX(担当者マスタ!$B$2:$B$101,MATCH($E59,担当者マスタ!$A$2:$A$101,0)),"※マスタ未登録"))</f>
        <v/>
      </c>
      <c r="G59" s="11" t="n">
        <v>0</v>
      </c>
      <c r="H59" s="11" t="n">
        <v>0</v>
      </c>
      <c r="I59" s="11" t="n">
        <v>0</v>
      </c>
      <c r="J59" s="11" t="n">
        <v>20.26</v>
      </c>
      <c r="K59" s="11" t="n">
        <v>0</v>
      </c>
      <c r="L59" s="11" t="n">
        <v>0</v>
      </c>
      <c r="M59" s="11" t="n">
        <f aca="false">SUM(G59:L59)</f>
        <v>20.26</v>
      </c>
      <c r="N59" s="11" t="n">
        <v>0</v>
      </c>
      <c r="O59" s="11" t="n">
        <v>0</v>
      </c>
      <c r="P59" s="11" t="n">
        <v>0</v>
      </c>
      <c r="Q59" s="11" t="n">
        <v>6.034</v>
      </c>
      <c r="R59" s="11" t="n">
        <v>0</v>
      </c>
      <c r="S59" s="11" t="n">
        <v>0</v>
      </c>
      <c r="T59" s="11" t="n">
        <f aca="false">SUM(N59:S59)</f>
        <v>6.034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f aca="false">SUM(U59:Z59)</f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f aca="false">SUM(AB59:AG59)</f>
        <v>0</v>
      </c>
    </row>
    <row r="60" customFormat="false" ht="15" hidden="false" customHeight="false" outlineLevel="2" collapsed="false">
      <c r="A60" s="8" t="s">
        <v>186</v>
      </c>
      <c r="B60" s="12" t="s">
        <v>187</v>
      </c>
      <c r="C60" s="8" t="s">
        <v>69</v>
      </c>
      <c r="D60" s="12" t="s">
        <v>70</v>
      </c>
      <c r="E60" s="16"/>
      <c r="F60" s="9" t="str">
        <f aca="false">IF($E60="","",IFERROR(INDEX(担当者マスタ!$B$2:$B$101,MATCH($E60,担当者マスタ!$A$2:$A$101,0)),"※マスタ未登録"))</f>
        <v/>
      </c>
      <c r="G60" s="11" t="n">
        <v>2619.106</v>
      </c>
      <c r="H60" s="11" t="n">
        <v>2954.877</v>
      </c>
      <c r="I60" s="11" t="n">
        <v>1842.757</v>
      </c>
      <c r="J60" s="11" t="n">
        <v>2176.712</v>
      </c>
      <c r="K60" s="11" t="n">
        <v>1476.739</v>
      </c>
      <c r="L60" s="11" t="n">
        <v>1478.529</v>
      </c>
      <c r="M60" s="11" t="n">
        <f aca="false">SUM(G60:L60)</f>
        <v>12548.72</v>
      </c>
      <c r="N60" s="11" t="n">
        <v>516.032</v>
      </c>
      <c r="O60" s="11" t="n">
        <v>555.134</v>
      </c>
      <c r="P60" s="11" t="n">
        <v>360.457</v>
      </c>
      <c r="Q60" s="11" t="n">
        <v>360.022</v>
      </c>
      <c r="R60" s="11" t="n">
        <v>275.457</v>
      </c>
      <c r="S60" s="11" t="n">
        <v>295.829</v>
      </c>
      <c r="T60" s="11" t="n">
        <f aca="false">SUM(N60:S60)</f>
        <v>2362.931</v>
      </c>
      <c r="U60" s="11" t="n">
        <v>2784.895</v>
      </c>
      <c r="V60" s="11" t="n">
        <v>2464.182</v>
      </c>
      <c r="W60" s="11" t="n">
        <v>3910.947</v>
      </c>
      <c r="X60" s="11" t="n">
        <v>1712.022</v>
      </c>
      <c r="Y60" s="11" t="n">
        <v>1441.761</v>
      </c>
      <c r="Z60" s="11" t="n">
        <v>733.836</v>
      </c>
      <c r="AA60" s="11" t="n">
        <f aca="false">SUM(U60:Z60)</f>
        <v>13047.643</v>
      </c>
      <c r="AB60" s="11" t="n">
        <v>494.075</v>
      </c>
      <c r="AC60" s="11" t="n">
        <v>478.765</v>
      </c>
      <c r="AD60" s="11" t="n">
        <v>712.09</v>
      </c>
      <c r="AE60" s="11" t="n">
        <v>316.589</v>
      </c>
      <c r="AF60" s="11" t="n">
        <v>277.994</v>
      </c>
      <c r="AG60" s="11" t="n">
        <v>156.539</v>
      </c>
      <c r="AH60" s="11" t="n">
        <f aca="false">SUM(AB60:AG60)</f>
        <v>2436.052</v>
      </c>
    </row>
    <row r="61" customFormat="false" ht="15" hidden="false" customHeight="false" outlineLevel="2" collapsed="false">
      <c r="A61" s="8" t="s">
        <v>188</v>
      </c>
      <c r="B61" s="12" t="s">
        <v>189</v>
      </c>
      <c r="C61" s="8" t="s">
        <v>69</v>
      </c>
      <c r="D61" s="12" t="s">
        <v>70</v>
      </c>
      <c r="E61" s="16"/>
      <c r="F61" s="9" t="str">
        <f aca="false">IF($E61="","",IFERROR(INDEX(担当者マスタ!$B$2:$B$101,MATCH($E61,担当者マスタ!$A$2:$A$101,0)),"※マスタ未登録"))</f>
        <v/>
      </c>
      <c r="G61" s="11" t="n">
        <v>104.227</v>
      </c>
      <c r="H61" s="11" t="n">
        <v>83.518</v>
      </c>
      <c r="I61" s="11" t="n">
        <v>57.276</v>
      </c>
      <c r="J61" s="11" t="n">
        <v>159.266</v>
      </c>
      <c r="K61" s="11" t="n">
        <v>-1.326</v>
      </c>
      <c r="L61" s="11" t="n">
        <v>66.234</v>
      </c>
      <c r="M61" s="11" t="n">
        <f aca="false">SUM(G61:L61)</f>
        <v>469.195</v>
      </c>
      <c r="N61" s="11" t="n">
        <v>47.373</v>
      </c>
      <c r="O61" s="11" t="n">
        <v>34.615</v>
      </c>
      <c r="P61" s="11" t="n">
        <v>25.933</v>
      </c>
      <c r="Q61" s="11" t="n">
        <v>60.249</v>
      </c>
      <c r="R61" s="11" t="n">
        <v>-0.535</v>
      </c>
      <c r="S61" s="11" t="n">
        <v>27.64</v>
      </c>
      <c r="T61" s="11" t="n">
        <f aca="false">SUM(N61:S61)</f>
        <v>195.275</v>
      </c>
      <c r="U61" s="11" t="n">
        <v>74.179</v>
      </c>
      <c r="V61" s="11" t="n">
        <v>135.772</v>
      </c>
      <c r="W61" s="11" t="n">
        <v>83.681</v>
      </c>
      <c r="X61" s="11" t="n">
        <v>99.21</v>
      </c>
      <c r="Y61" s="11" t="n">
        <v>135.514</v>
      </c>
      <c r="Z61" s="11" t="n">
        <v>139.612</v>
      </c>
      <c r="AA61" s="11" t="n">
        <f aca="false">SUM(U61:Z61)</f>
        <v>667.968</v>
      </c>
      <c r="AB61" s="11" t="n">
        <v>34.232</v>
      </c>
      <c r="AC61" s="11" t="n">
        <v>53.103</v>
      </c>
      <c r="AD61" s="11" t="n">
        <v>37.929</v>
      </c>
      <c r="AE61" s="11" t="n">
        <v>44.861</v>
      </c>
      <c r="AF61" s="11" t="n">
        <v>58.35</v>
      </c>
      <c r="AG61" s="11" t="n">
        <v>52.185</v>
      </c>
      <c r="AH61" s="11" t="n">
        <f aca="false">SUM(AB61:AG61)</f>
        <v>280.66</v>
      </c>
    </row>
    <row r="62" customFormat="false" ht="15" hidden="false" customHeight="false" outlineLevel="2" collapsed="false">
      <c r="A62" s="8" t="s">
        <v>190</v>
      </c>
      <c r="B62" s="12" t="s">
        <v>191</v>
      </c>
      <c r="C62" s="8" t="s">
        <v>69</v>
      </c>
      <c r="D62" s="12" t="s">
        <v>70</v>
      </c>
      <c r="E62" s="16"/>
      <c r="F62" s="9" t="str">
        <f aca="false">IF($E62="","",IFERROR(INDEX(担当者マスタ!$B$2:$B$101,MATCH($E62,担当者マスタ!$A$2:$A$101,0)),"※マスタ未登録"))</f>
        <v/>
      </c>
      <c r="G62" s="11" t="n">
        <v>45.6</v>
      </c>
      <c r="H62" s="11" t="n">
        <v>0</v>
      </c>
      <c r="I62" s="11" t="n">
        <v>0</v>
      </c>
      <c r="J62" s="11" t="n">
        <v>0</v>
      </c>
      <c r="K62" s="11" t="n">
        <v>45.6</v>
      </c>
      <c r="L62" s="11" t="n">
        <v>0</v>
      </c>
      <c r="M62" s="11" t="n">
        <f aca="false">SUM(G62:L62)</f>
        <v>91.2</v>
      </c>
      <c r="N62" s="11" t="n">
        <v>14.2</v>
      </c>
      <c r="O62" s="11" t="n">
        <v>0</v>
      </c>
      <c r="P62" s="11" t="n">
        <v>0</v>
      </c>
      <c r="Q62" s="11" t="n">
        <v>0</v>
      </c>
      <c r="R62" s="11" t="n">
        <v>14.2</v>
      </c>
      <c r="S62" s="11" t="n">
        <v>0</v>
      </c>
      <c r="T62" s="11" t="n">
        <f aca="false">SUM(N62:S62)</f>
        <v>28.4</v>
      </c>
      <c r="U62" s="11" t="n">
        <v>0</v>
      </c>
      <c r="V62" s="11" t="n">
        <v>216.02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f aca="false">SUM(U62:Z62)</f>
        <v>216.02</v>
      </c>
      <c r="AB62" s="11" t="n">
        <v>0</v>
      </c>
      <c r="AC62" s="11" t="n">
        <v>103.594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f aca="false">SUM(AB62:AG62)</f>
        <v>103.594</v>
      </c>
    </row>
    <row r="63" customFormat="false" ht="15" hidden="false" customHeight="false" outlineLevel="2" collapsed="false">
      <c r="A63" s="8" t="s">
        <v>192</v>
      </c>
      <c r="B63" s="12" t="s">
        <v>193</v>
      </c>
      <c r="C63" s="8" t="s">
        <v>69</v>
      </c>
      <c r="D63" s="12" t="s">
        <v>70</v>
      </c>
      <c r="E63" s="16"/>
      <c r="F63" s="9" t="str">
        <f aca="false">IF($E63="","",IFERROR(INDEX(担当者マスタ!$B$2:$B$101,MATCH($E63,担当者マスタ!$A$2:$A$101,0)),"※マスタ未登録"))</f>
        <v/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f aca="false">SUM(G63:L63)</f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f aca="false">SUM(N63:S63)</f>
        <v>0</v>
      </c>
      <c r="U63" s="11" t="n">
        <v>75</v>
      </c>
      <c r="V63" s="11" t="n">
        <v>36</v>
      </c>
      <c r="W63" s="11" t="n">
        <v>425.8</v>
      </c>
      <c r="X63" s="11" t="n">
        <v>28.8</v>
      </c>
      <c r="Y63" s="11" t="n">
        <v>0</v>
      </c>
      <c r="Z63" s="11" t="n">
        <v>0</v>
      </c>
      <c r="AA63" s="11" t="n">
        <f aca="false">SUM(U63:Z63)</f>
        <v>565.6</v>
      </c>
      <c r="AB63" s="11" t="n">
        <v>31</v>
      </c>
      <c r="AC63" s="11" t="n">
        <v>12.35</v>
      </c>
      <c r="AD63" s="11" t="n">
        <v>113.3</v>
      </c>
      <c r="AE63" s="11" t="n">
        <v>9.369</v>
      </c>
      <c r="AF63" s="11" t="n">
        <v>0</v>
      </c>
      <c r="AG63" s="11" t="n">
        <v>0</v>
      </c>
      <c r="AH63" s="11" t="n">
        <f aca="false">SUM(AB63:AG63)</f>
        <v>166.019</v>
      </c>
    </row>
    <row r="64" customFormat="false" ht="15" hidden="false" customHeight="false" outlineLevel="2" collapsed="false">
      <c r="A64" s="8" t="s">
        <v>194</v>
      </c>
      <c r="B64" s="12" t="s">
        <v>195</v>
      </c>
      <c r="C64" s="8" t="s">
        <v>69</v>
      </c>
      <c r="D64" s="12" t="s">
        <v>70</v>
      </c>
      <c r="E64" s="16"/>
      <c r="F64" s="9" t="str">
        <f aca="false">IF($E64="","",IFERROR(INDEX(担当者マスタ!$B$2:$B$101,MATCH($E64,担当者マスタ!$A$2:$A$101,0)),"※マスタ未登録"))</f>
        <v/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f aca="false">SUM(G64:L64)</f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f aca="false">SUM(N64:S64)</f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76.5</v>
      </c>
      <c r="AA64" s="11" t="n">
        <f aca="false">SUM(U64:Z64)</f>
        <v>76.5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14.852</v>
      </c>
      <c r="AH64" s="11" t="n">
        <f aca="false">SUM(AB64:AG64)</f>
        <v>14.852</v>
      </c>
    </row>
    <row r="65" customFormat="false" ht="15" hidden="false" customHeight="false" outlineLevel="2" collapsed="false">
      <c r="A65" s="8" t="s">
        <v>196</v>
      </c>
      <c r="B65" s="12" t="s">
        <v>197</v>
      </c>
      <c r="C65" s="8" t="s">
        <v>69</v>
      </c>
      <c r="D65" s="12" t="s">
        <v>70</v>
      </c>
      <c r="E65" s="16"/>
      <c r="F65" s="9" t="str">
        <f aca="false">IF($E65="","",IFERROR(INDEX(担当者マスタ!$B$2:$B$101,MATCH($E65,担当者マスタ!$A$2:$A$101,0)),"※マスタ未登録"))</f>
        <v/>
      </c>
      <c r="G65" s="11" t="n">
        <v>17.352</v>
      </c>
      <c r="H65" s="11" t="n">
        <v>16.025</v>
      </c>
      <c r="I65" s="11" t="n">
        <v>20.392</v>
      </c>
      <c r="J65" s="11" t="n">
        <v>18.64</v>
      </c>
      <c r="K65" s="11" t="n">
        <v>12.639</v>
      </c>
      <c r="L65" s="11" t="n">
        <v>14.585</v>
      </c>
      <c r="M65" s="11" t="n">
        <f aca="false">SUM(G65:L65)</f>
        <v>99.633</v>
      </c>
      <c r="N65" s="11" t="n">
        <v>7.372</v>
      </c>
      <c r="O65" s="11" t="n">
        <v>6.525</v>
      </c>
      <c r="P65" s="11" t="n">
        <v>8.332</v>
      </c>
      <c r="Q65" s="11" t="n">
        <v>8.5</v>
      </c>
      <c r="R65" s="11" t="n">
        <v>5.205</v>
      </c>
      <c r="S65" s="11" t="n">
        <v>5.745</v>
      </c>
      <c r="T65" s="11" t="n">
        <f aca="false">SUM(N65:S65)</f>
        <v>41.679</v>
      </c>
      <c r="U65" s="11" t="n">
        <v>17.74</v>
      </c>
      <c r="V65" s="11" t="n">
        <v>20.687</v>
      </c>
      <c r="W65" s="11" t="n">
        <v>27.469</v>
      </c>
      <c r="X65" s="11" t="n">
        <v>8.46</v>
      </c>
      <c r="Y65" s="11" t="n">
        <v>8.46</v>
      </c>
      <c r="Z65" s="11" t="n">
        <v>22.14</v>
      </c>
      <c r="AA65" s="11" t="n">
        <f aca="false">SUM(U65:Z65)</f>
        <v>104.956</v>
      </c>
      <c r="AB65" s="11" t="n">
        <v>7.76</v>
      </c>
      <c r="AC65" s="11" t="n">
        <v>9.053</v>
      </c>
      <c r="AD65" s="11" t="n">
        <v>11.355</v>
      </c>
      <c r="AE65" s="11" t="n">
        <v>3.62</v>
      </c>
      <c r="AF65" s="11" t="n">
        <v>3.62</v>
      </c>
      <c r="AG65" s="11" t="n">
        <v>9.58</v>
      </c>
      <c r="AH65" s="11" t="n">
        <f aca="false">SUM(AB65:AG65)</f>
        <v>44.988</v>
      </c>
    </row>
    <row r="66" customFormat="false" ht="15" hidden="false" customHeight="false" outlineLevel="2" collapsed="false">
      <c r="A66" s="8" t="s">
        <v>198</v>
      </c>
      <c r="B66" s="12" t="s">
        <v>199</v>
      </c>
      <c r="C66" s="8" t="s">
        <v>69</v>
      </c>
      <c r="D66" s="12" t="s">
        <v>70</v>
      </c>
      <c r="E66" s="16"/>
      <c r="F66" s="9" t="str">
        <f aca="false">IF($E66="","",IFERROR(INDEX(担当者マスタ!$B$2:$B$101,MATCH($E66,担当者マスタ!$A$2:$A$101,0)),"※マスタ未登録"))</f>
        <v/>
      </c>
      <c r="G66" s="11" t="n">
        <v>28.2</v>
      </c>
      <c r="H66" s="11" t="n">
        <v>39.85</v>
      </c>
      <c r="I66" s="11" t="n">
        <v>42.5</v>
      </c>
      <c r="J66" s="11" t="n">
        <v>341.05</v>
      </c>
      <c r="K66" s="11" t="n">
        <v>168.8</v>
      </c>
      <c r="L66" s="11" t="n">
        <v>177.95</v>
      </c>
      <c r="M66" s="11" t="n">
        <f aca="false">SUM(G66:L66)</f>
        <v>798.35</v>
      </c>
      <c r="N66" s="11" t="n">
        <v>3.6</v>
      </c>
      <c r="O66" s="11" t="n">
        <v>4.25</v>
      </c>
      <c r="P66" s="11" t="n">
        <v>8.5</v>
      </c>
      <c r="Q66" s="11" t="n">
        <v>93.35</v>
      </c>
      <c r="R66" s="11" t="n">
        <v>42.4</v>
      </c>
      <c r="S66" s="11" t="n">
        <v>33.45</v>
      </c>
      <c r="T66" s="11" t="n">
        <f aca="false">SUM(N66:S66)</f>
        <v>185.55</v>
      </c>
      <c r="U66" s="11" t="n">
        <v>545.3</v>
      </c>
      <c r="V66" s="11" t="n">
        <v>42.5</v>
      </c>
      <c r="W66" s="11" t="n">
        <v>14.9</v>
      </c>
      <c r="X66" s="11" t="n">
        <v>33.6</v>
      </c>
      <c r="Y66" s="11" t="n">
        <v>185.6</v>
      </c>
      <c r="Z66" s="11" t="n">
        <v>140.2</v>
      </c>
      <c r="AA66" s="11" t="n">
        <f aca="false">SUM(U66:Z66)</f>
        <v>962.1</v>
      </c>
      <c r="AB66" s="11" t="n">
        <v>150.7</v>
      </c>
      <c r="AC66" s="11" t="n">
        <v>8.5</v>
      </c>
      <c r="AD66" s="11" t="n">
        <v>2.8</v>
      </c>
      <c r="AE66" s="11" t="n">
        <v>5.7</v>
      </c>
      <c r="AF66" s="11" t="n">
        <v>67.2</v>
      </c>
      <c r="AG66" s="11" t="n">
        <v>37.2</v>
      </c>
      <c r="AH66" s="11" t="n">
        <f aca="false">SUM(AB66:AG66)</f>
        <v>272.1</v>
      </c>
    </row>
    <row r="67" customFormat="false" ht="15" hidden="false" customHeight="false" outlineLevel="2" collapsed="false">
      <c r="A67" s="8" t="s">
        <v>200</v>
      </c>
      <c r="B67" s="12" t="s">
        <v>201</v>
      </c>
      <c r="C67" s="8" t="s">
        <v>69</v>
      </c>
      <c r="D67" s="12" t="s">
        <v>70</v>
      </c>
      <c r="E67" s="16"/>
      <c r="F67" s="9" t="str">
        <f aca="false">IF($E67="","",IFERROR(INDEX(担当者マスタ!$B$2:$B$101,MATCH($E67,担当者マスタ!$A$2:$A$101,0)),"※マスタ未登録"))</f>
        <v/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f aca="false">SUM(G67:L67)</f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f aca="false">SUM(N67:S67)</f>
        <v>0</v>
      </c>
      <c r="U67" s="11" t="n">
        <v>0</v>
      </c>
      <c r="V67" s="11" t="n">
        <v>0</v>
      </c>
      <c r="W67" s="11" t="n">
        <v>8.15</v>
      </c>
      <c r="X67" s="11" t="n">
        <v>0</v>
      </c>
      <c r="Y67" s="11" t="n">
        <v>0</v>
      </c>
      <c r="Z67" s="11" t="n">
        <v>0</v>
      </c>
      <c r="AA67" s="11" t="n">
        <f aca="false">SUM(U67:Z67)</f>
        <v>8.15</v>
      </c>
      <c r="AB67" s="11" t="n">
        <v>0</v>
      </c>
      <c r="AC67" s="11" t="n">
        <v>0</v>
      </c>
      <c r="AD67" s="11" t="n">
        <v>1.15</v>
      </c>
      <c r="AE67" s="11" t="n">
        <v>0</v>
      </c>
      <c r="AF67" s="11" t="n">
        <v>0</v>
      </c>
      <c r="AG67" s="11" t="n">
        <v>0</v>
      </c>
      <c r="AH67" s="11" t="n">
        <f aca="false">SUM(AB67:AG67)</f>
        <v>1.15</v>
      </c>
    </row>
    <row r="68" customFormat="false" ht="15" hidden="false" customHeight="false" outlineLevel="2" collapsed="false">
      <c r="A68" s="8" t="s">
        <v>202</v>
      </c>
      <c r="B68" s="12" t="s">
        <v>203</v>
      </c>
      <c r="C68" s="8" t="s">
        <v>69</v>
      </c>
      <c r="D68" s="12" t="s">
        <v>70</v>
      </c>
      <c r="E68" s="16"/>
      <c r="F68" s="9" t="str">
        <f aca="false">IF($E68="","",IFERROR(INDEX(担当者マスタ!$B$2:$B$101,MATCH($E68,担当者マスタ!$A$2:$A$101,0)),"※マスタ未登録"))</f>
        <v/>
      </c>
      <c r="G68" s="11" t="n">
        <v>67.83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f aca="false">SUM(G68:L68)</f>
        <v>67.83</v>
      </c>
      <c r="N68" s="11" t="n">
        <v>16.526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f aca="false">SUM(N68:S68)</f>
        <v>16.526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f aca="false">SUM(U68:Z68)</f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f aca="false">SUM(AB68:AG68)</f>
        <v>0</v>
      </c>
    </row>
    <row r="69" customFormat="false" ht="15" hidden="false" customHeight="false" outlineLevel="2" collapsed="false">
      <c r="A69" s="8" t="s">
        <v>204</v>
      </c>
      <c r="B69" s="12" t="s">
        <v>205</v>
      </c>
      <c r="C69" s="8" t="s">
        <v>69</v>
      </c>
      <c r="D69" s="12" t="s">
        <v>70</v>
      </c>
      <c r="E69" s="16"/>
      <c r="F69" s="9" t="str">
        <f aca="false">IF($E69="","",IFERROR(INDEX(担当者マスタ!$B$2:$B$101,MATCH($E69,担当者マスタ!$A$2:$A$101,0)),"※マスタ未登録"))</f>
        <v/>
      </c>
      <c r="G69" s="11" t="n">
        <v>152.328</v>
      </c>
      <c r="H69" s="11" t="n">
        <v>42.815</v>
      </c>
      <c r="I69" s="11" t="n">
        <v>41.74</v>
      </c>
      <c r="J69" s="11" t="n">
        <v>21.132</v>
      </c>
      <c r="K69" s="11" t="n">
        <v>67.31</v>
      </c>
      <c r="L69" s="11" t="n">
        <v>17.885</v>
      </c>
      <c r="M69" s="11" t="n">
        <f aca="false">SUM(G69:L69)</f>
        <v>343.21</v>
      </c>
      <c r="N69" s="11" t="n">
        <v>54.868</v>
      </c>
      <c r="O69" s="11" t="n">
        <v>19.232</v>
      </c>
      <c r="P69" s="11" t="n">
        <v>16.722</v>
      </c>
      <c r="Q69" s="11" t="n">
        <v>5.172</v>
      </c>
      <c r="R69" s="11" t="n">
        <v>21.67</v>
      </c>
      <c r="S69" s="11" t="n">
        <v>8.18</v>
      </c>
      <c r="T69" s="11" t="n">
        <f aca="false">SUM(N69:S69)</f>
        <v>125.844</v>
      </c>
      <c r="U69" s="11" t="n">
        <v>73.187</v>
      </c>
      <c r="V69" s="11" t="n">
        <v>24.93</v>
      </c>
      <c r="W69" s="11" t="n">
        <v>41.825</v>
      </c>
      <c r="X69" s="11" t="n">
        <v>28.715</v>
      </c>
      <c r="Y69" s="11" t="n">
        <v>29.537</v>
      </c>
      <c r="Z69" s="11" t="n">
        <v>1.514</v>
      </c>
      <c r="AA69" s="11" t="n">
        <f aca="false">SUM(U69:Z69)</f>
        <v>199.708</v>
      </c>
      <c r="AB69" s="11" t="n">
        <v>26.114</v>
      </c>
      <c r="AC69" s="11" t="n">
        <v>11.052</v>
      </c>
      <c r="AD69" s="11" t="n">
        <v>18.39</v>
      </c>
      <c r="AE69" s="11" t="n">
        <v>13.032</v>
      </c>
      <c r="AF69" s="11" t="n">
        <v>8.007</v>
      </c>
      <c r="AG69" s="11" t="n">
        <v>0.792</v>
      </c>
      <c r="AH69" s="11" t="n">
        <f aca="false">SUM(AB69:AG69)</f>
        <v>77.387</v>
      </c>
    </row>
    <row r="70" customFormat="false" ht="15" hidden="false" customHeight="false" outlineLevel="2" collapsed="false">
      <c r="A70" s="8" t="s">
        <v>206</v>
      </c>
      <c r="B70" s="12" t="s">
        <v>207</v>
      </c>
      <c r="C70" s="8" t="s">
        <v>69</v>
      </c>
      <c r="D70" s="12" t="s">
        <v>70</v>
      </c>
      <c r="E70" s="16"/>
      <c r="F70" s="9" t="str">
        <f aca="false">IF($E70="","",IFERROR(INDEX(担当者マスタ!$B$2:$B$101,MATCH($E70,担当者マスタ!$A$2:$A$101,0)),"※マスタ未登録"))</f>
        <v/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f aca="false">SUM(G70:L70)</f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f aca="false">SUM(N70:S70)</f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5.545</v>
      </c>
      <c r="Z70" s="11" t="n">
        <v>0</v>
      </c>
      <c r="AA70" s="11" t="n">
        <f aca="false">SUM(U70:Z70)</f>
        <v>5.545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2.47</v>
      </c>
      <c r="AG70" s="11" t="n">
        <v>0</v>
      </c>
      <c r="AH70" s="11" t="n">
        <f aca="false">SUM(AB70:AG70)</f>
        <v>2.47</v>
      </c>
    </row>
    <row r="71" customFormat="false" ht="15" hidden="false" customHeight="false" outlineLevel="2" collapsed="false">
      <c r="A71" s="8" t="s">
        <v>208</v>
      </c>
      <c r="B71" s="12" t="s">
        <v>209</v>
      </c>
      <c r="C71" s="8" t="s">
        <v>69</v>
      </c>
      <c r="D71" s="12" t="s">
        <v>70</v>
      </c>
      <c r="E71" s="16"/>
      <c r="F71" s="9" t="str">
        <f aca="false">IF($E71="","",IFERROR(INDEX(担当者マスタ!$B$2:$B$101,MATCH($E71,担当者マスタ!$A$2:$A$101,0)),"※マスタ未登録"))</f>
        <v/>
      </c>
      <c r="G71" s="11" t="n">
        <v>40.86</v>
      </c>
      <c r="H71" s="11" t="n">
        <v>11.7</v>
      </c>
      <c r="I71" s="11" t="n">
        <v>70.36</v>
      </c>
      <c r="J71" s="11" t="n">
        <v>30.1</v>
      </c>
      <c r="K71" s="11" t="n">
        <v>64.26</v>
      </c>
      <c r="L71" s="11" t="n">
        <v>58.63</v>
      </c>
      <c r="M71" s="11" t="n">
        <f aca="false">SUM(G71:L71)</f>
        <v>275.91</v>
      </c>
      <c r="N71" s="11" t="n">
        <v>10.66</v>
      </c>
      <c r="O71" s="11" t="n">
        <v>3.9</v>
      </c>
      <c r="P71" s="11" t="n">
        <v>20.16</v>
      </c>
      <c r="Q71" s="11" t="n">
        <v>10.1</v>
      </c>
      <c r="R71" s="11" t="n">
        <v>20.06</v>
      </c>
      <c r="S71" s="11" t="n">
        <v>23.43</v>
      </c>
      <c r="T71" s="11" t="n">
        <f aca="false">SUM(N71:S71)</f>
        <v>88.31</v>
      </c>
      <c r="U71" s="11" t="n">
        <v>62.7</v>
      </c>
      <c r="V71" s="11" t="n">
        <v>16.1</v>
      </c>
      <c r="W71" s="11" t="n">
        <v>86.7</v>
      </c>
      <c r="X71" s="11" t="n">
        <v>80.53</v>
      </c>
      <c r="Y71" s="11" t="n">
        <v>62.7</v>
      </c>
      <c r="Z71" s="11" t="n">
        <v>16.1</v>
      </c>
      <c r="AA71" s="11" t="n">
        <f aca="false">SUM(U71:Z71)</f>
        <v>324.83</v>
      </c>
      <c r="AB71" s="11" t="n">
        <v>17.7</v>
      </c>
      <c r="AC71" s="11" t="n">
        <v>4.6</v>
      </c>
      <c r="AD71" s="11" t="n">
        <v>34.7</v>
      </c>
      <c r="AE71" s="11" t="n">
        <v>31.83</v>
      </c>
      <c r="AF71" s="11" t="n">
        <v>17.7</v>
      </c>
      <c r="AG71" s="11" t="n">
        <v>4.6</v>
      </c>
      <c r="AH71" s="11" t="n">
        <f aca="false">SUM(AB71:AG71)</f>
        <v>111.13</v>
      </c>
    </row>
    <row r="72" customFormat="false" ht="15" hidden="false" customHeight="false" outlineLevel="2" collapsed="false">
      <c r="A72" s="8" t="s">
        <v>210</v>
      </c>
      <c r="B72" s="12" t="s">
        <v>211</v>
      </c>
      <c r="C72" s="8" t="s">
        <v>69</v>
      </c>
      <c r="D72" s="12" t="s">
        <v>70</v>
      </c>
      <c r="E72" s="16"/>
      <c r="F72" s="9" t="str">
        <f aca="false">IF($E72="","",IFERROR(INDEX(担当者マスタ!$B$2:$B$101,MATCH($E72,担当者マスタ!$A$2:$A$101,0)),"※マスタ未登録"))</f>
        <v/>
      </c>
      <c r="G72" s="11" t="n">
        <v>57.935</v>
      </c>
      <c r="H72" s="11" t="n">
        <v>0</v>
      </c>
      <c r="I72" s="11" t="n">
        <v>246.5</v>
      </c>
      <c r="J72" s="11" t="n">
        <v>0</v>
      </c>
      <c r="K72" s="11" t="n">
        <v>33.615</v>
      </c>
      <c r="L72" s="11" t="n">
        <v>0</v>
      </c>
      <c r="M72" s="11" t="n">
        <f aca="false">SUM(G72:L72)</f>
        <v>338.05</v>
      </c>
      <c r="N72" s="11" t="n">
        <v>18.405</v>
      </c>
      <c r="O72" s="11" t="n">
        <v>0</v>
      </c>
      <c r="P72" s="11" t="n">
        <v>59.5</v>
      </c>
      <c r="Q72" s="11" t="n">
        <v>0</v>
      </c>
      <c r="R72" s="11" t="n">
        <v>11.405</v>
      </c>
      <c r="S72" s="11" t="n">
        <v>0</v>
      </c>
      <c r="T72" s="11" t="n">
        <f aca="false">SUM(N72:S72)</f>
        <v>89.31</v>
      </c>
      <c r="U72" s="11" t="n">
        <v>0</v>
      </c>
      <c r="V72" s="11" t="n">
        <v>23.5</v>
      </c>
      <c r="W72" s="11" t="n">
        <v>0</v>
      </c>
      <c r="X72" s="11" t="n">
        <v>26.5</v>
      </c>
      <c r="Y72" s="11" t="n">
        <v>17.6</v>
      </c>
      <c r="Z72" s="11" t="n">
        <v>165.89</v>
      </c>
      <c r="AA72" s="11" t="n">
        <f aca="false">SUM(U72:Z72)</f>
        <v>233.49</v>
      </c>
      <c r="AB72" s="11" t="n">
        <v>0</v>
      </c>
      <c r="AC72" s="11" t="n">
        <v>7.4</v>
      </c>
      <c r="AD72" s="11" t="n">
        <v>0</v>
      </c>
      <c r="AE72" s="11" t="n">
        <v>5.725</v>
      </c>
      <c r="AF72" s="11" t="n">
        <v>5.84</v>
      </c>
      <c r="AG72" s="11" t="n">
        <v>40.3116</v>
      </c>
      <c r="AH72" s="11" t="n">
        <f aca="false">SUM(AB72:AG72)</f>
        <v>59.2766</v>
      </c>
    </row>
    <row r="73" customFormat="false" ht="15" hidden="false" customHeight="false" outlineLevel="2" collapsed="false">
      <c r="A73" s="8" t="s">
        <v>212</v>
      </c>
      <c r="B73" s="12" t="s">
        <v>213</v>
      </c>
      <c r="C73" s="8" t="s">
        <v>69</v>
      </c>
      <c r="D73" s="12" t="s">
        <v>70</v>
      </c>
      <c r="E73" s="16"/>
      <c r="F73" s="9" t="str">
        <f aca="false">IF($E73="","",IFERROR(INDEX(担当者マスタ!$B$2:$B$101,MATCH($E73,担当者マスタ!$A$2:$A$101,0)),"※マスタ未登録"))</f>
        <v/>
      </c>
      <c r="G73" s="11" t="n">
        <v>0</v>
      </c>
      <c r="H73" s="11" t="n">
        <v>0</v>
      </c>
      <c r="I73" s="11" t="n">
        <v>35.275</v>
      </c>
      <c r="J73" s="11" t="n">
        <v>0</v>
      </c>
      <c r="K73" s="11" t="n">
        <v>0</v>
      </c>
      <c r="L73" s="11" t="n">
        <v>0</v>
      </c>
      <c r="M73" s="11" t="n">
        <f aca="false">SUM(G73:L73)</f>
        <v>35.275</v>
      </c>
      <c r="N73" s="11" t="n">
        <v>0</v>
      </c>
      <c r="O73" s="11" t="n">
        <v>0</v>
      </c>
      <c r="P73" s="11" t="n">
        <v>30.66</v>
      </c>
      <c r="Q73" s="11" t="n">
        <v>0</v>
      </c>
      <c r="R73" s="11" t="n">
        <v>0</v>
      </c>
      <c r="S73" s="11" t="n">
        <v>0</v>
      </c>
      <c r="T73" s="11" t="n">
        <f aca="false">SUM(N73:S73)</f>
        <v>30.66</v>
      </c>
      <c r="U73" s="11" t="n">
        <v>0</v>
      </c>
      <c r="V73" s="11" t="n">
        <v>0</v>
      </c>
      <c r="W73" s="11" t="n">
        <v>18.55</v>
      </c>
      <c r="X73" s="11" t="n">
        <v>0</v>
      </c>
      <c r="Y73" s="11" t="n">
        <v>0</v>
      </c>
      <c r="Z73" s="11" t="n">
        <v>0</v>
      </c>
      <c r="AA73" s="11" t="n">
        <f aca="false">SUM(U73:Z73)</f>
        <v>18.55</v>
      </c>
      <c r="AB73" s="11" t="n">
        <v>0</v>
      </c>
      <c r="AC73" s="11" t="n">
        <v>0</v>
      </c>
      <c r="AD73" s="11" t="n">
        <v>9.32</v>
      </c>
      <c r="AE73" s="11" t="n">
        <v>0</v>
      </c>
      <c r="AF73" s="11" t="n">
        <v>0</v>
      </c>
      <c r="AG73" s="11" t="n">
        <v>0</v>
      </c>
      <c r="AH73" s="11" t="n">
        <f aca="false">SUM(AB73:AG73)</f>
        <v>9.32</v>
      </c>
    </row>
    <row r="74" customFormat="false" ht="15" hidden="false" customHeight="false" outlineLevel="2" collapsed="false">
      <c r="A74" s="8" t="s">
        <v>214</v>
      </c>
      <c r="B74" s="12" t="s">
        <v>215</v>
      </c>
      <c r="C74" s="8" t="s">
        <v>69</v>
      </c>
      <c r="D74" s="12" t="s">
        <v>70</v>
      </c>
      <c r="E74" s="16"/>
      <c r="F74" s="9" t="str">
        <f aca="false">IF($E74="","",IFERROR(INDEX(担当者マスタ!$B$2:$B$101,MATCH($E74,担当者マスタ!$A$2:$A$101,0)),"※マスタ未登録"))</f>
        <v/>
      </c>
      <c r="G74" s="11" t="n">
        <v>88.849</v>
      </c>
      <c r="H74" s="11" t="n">
        <v>384.291</v>
      </c>
      <c r="I74" s="11" t="n">
        <v>1094.554</v>
      </c>
      <c r="J74" s="11" t="n">
        <v>744.818</v>
      </c>
      <c r="K74" s="11" t="n">
        <v>51.653</v>
      </c>
      <c r="L74" s="11" t="n">
        <v>162.954</v>
      </c>
      <c r="M74" s="11" t="n">
        <f aca="false">SUM(G74:L74)</f>
        <v>2527.119</v>
      </c>
      <c r="N74" s="11" t="n">
        <v>32.043</v>
      </c>
      <c r="O74" s="11" t="n">
        <v>130.162</v>
      </c>
      <c r="P74" s="11" t="n">
        <v>366.316</v>
      </c>
      <c r="Q74" s="11" t="n">
        <v>173.803</v>
      </c>
      <c r="R74" s="11" t="n">
        <v>16.604</v>
      </c>
      <c r="S74" s="11" t="n">
        <v>60.27</v>
      </c>
      <c r="T74" s="11" t="n">
        <f aca="false">SUM(N74:S74)</f>
        <v>779.198</v>
      </c>
      <c r="U74" s="11" t="n">
        <v>72.45</v>
      </c>
      <c r="V74" s="11" t="n">
        <v>369.179</v>
      </c>
      <c r="W74" s="11" t="n">
        <v>753.443</v>
      </c>
      <c r="X74" s="11" t="n">
        <v>139.227</v>
      </c>
      <c r="Y74" s="11" t="n">
        <v>31.369</v>
      </c>
      <c r="Z74" s="11" t="n">
        <v>212.672</v>
      </c>
      <c r="AA74" s="11" t="n">
        <f aca="false">SUM(U74:Z74)</f>
        <v>1578.34</v>
      </c>
      <c r="AB74" s="11" t="n">
        <v>22.557</v>
      </c>
      <c r="AC74" s="11" t="n">
        <v>123.363</v>
      </c>
      <c r="AD74" s="11" t="n">
        <v>276.975</v>
      </c>
      <c r="AE74" s="11" t="n">
        <v>56.17</v>
      </c>
      <c r="AF74" s="11" t="n">
        <v>13.806</v>
      </c>
      <c r="AG74" s="11" t="n">
        <v>73.34</v>
      </c>
      <c r="AH74" s="11" t="n">
        <f aca="false">SUM(AB74:AG74)</f>
        <v>566.211</v>
      </c>
    </row>
    <row r="75" customFormat="false" ht="15" hidden="false" customHeight="false" outlineLevel="2" collapsed="false">
      <c r="A75" s="8" t="s">
        <v>216</v>
      </c>
      <c r="B75" s="12" t="s">
        <v>217</v>
      </c>
      <c r="C75" s="8" t="s">
        <v>69</v>
      </c>
      <c r="D75" s="12" t="s">
        <v>70</v>
      </c>
      <c r="E75" s="16"/>
      <c r="F75" s="9" t="str">
        <f aca="false">IF($E75="","",IFERROR(INDEX(担当者マスタ!$B$2:$B$101,MATCH($E75,担当者マスタ!$A$2:$A$101,0)),"※マスタ未登録"))</f>
        <v/>
      </c>
      <c r="G75" s="11" t="n">
        <v>156.353</v>
      </c>
      <c r="H75" s="11" t="n">
        <v>136.455</v>
      </c>
      <c r="I75" s="11" t="n">
        <v>96.308</v>
      </c>
      <c r="J75" s="11" t="n">
        <v>148.935</v>
      </c>
      <c r="K75" s="11" t="n">
        <v>84.125</v>
      </c>
      <c r="L75" s="11" t="n">
        <v>69.335</v>
      </c>
      <c r="M75" s="11" t="n">
        <f aca="false">SUM(G75:L75)</f>
        <v>691.511</v>
      </c>
      <c r="N75" s="11" t="n">
        <v>75.103</v>
      </c>
      <c r="O75" s="11" t="n">
        <v>66.907</v>
      </c>
      <c r="P75" s="11" t="n">
        <v>43.391</v>
      </c>
      <c r="Q75" s="11" t="n">
        <v>72.204</v>
      </c>
      <c r="R75" s="11" t="n">
        <v>40.846</v>
      </c>
      <c r="S75" s="11" t="n">
        <v>34.078</v>
      </c>
      <c r="T75" s="11" t="n">
        <f aca="false">SUM(N75:S75)</f>
        <v>332.529</v>
      </c>
      <c r="U75" s="11" t="n">
        <v>124.875</v>
      </c>
      <c r="V75" s="11" t="n">
        <v>75.235</v>
      </c>
      <c r="W75" s="11" t="n">
        <v>110.356</v>
      </c>
      <c r="X75" s="11" t="n">
        <v>0</v>
      </c>
      <c r="Y75" s="11" t="n">
        <v>123.958</v>
      </c>
      <c r="Z75" s="11" t="n">
        <v>84.623</v>
      </c>
      <c r="AA75" s="11" t="n">
        <f aca="false">SUM(U75:Z75)</f>
        <v>519.047</v>
      </c>
      <c r="AB75" s="11" t="n">
        <v>64.756</v>
      </c>
      <c r="AC75" s="11" t="n">
        <v>34.972</v>
      </c>
      <c r="AD75" s="11" t="n">
        <v>50.582</v>
      </c>
      <c r="AE75" s="11" t="n">
        <v>0</v>
      </c>
      <c r="AF75" s="11" t="n">
        <v>62.459</v>
      </c>
      <c r="AG75" s="11" t="n">
        <v>40.678</v>
      </c>
      <c r="AH75" s="11" t="n">
        <f aca="false">SUM(AB75:AG75)</f>
        <v>253.447</v>
      </c>
    </row>
    <row r="76" customFormat="false" ht="15" hidden="false" customHeight="false" outlineLevel="2" collapsed="false">
      <c r="A76" s="8" t="s">
        <v>218</v>
      </c>
      <c r="B76" s="12" t="s">
        <v>219</v>
      </c>
      <c r="C76" s="8" t="s">
        <v>69</v>
      </c>
      <c r="D76" s="12" t="s">
        <v>70</v>
      </c>
      <c r="E76" s="16"/>
      <c r="F76" s="9" t="str">
        <f aca="false">IF($E76="","",IFERROR(INDEX(担当者マスタ!$B$2:$B$101,MATCH($E76,担当者マスタ!$A$2:$A$101,0)),"※マスタ未登録"))</f>
        <v/>
      </c>
      <c r="G76" s="11" t="n">
        <v>463.978</v>
      </c>
      <c r="H76" s="11" t="n">
        <v>14.384</v>
      </c>
      <c r="I76" s="11" t="n">
        <v>206.658</v>
      </c>
      <c r="J76" s="11" t="n">
        <v>708.293</v>
      </c>
      <c r="K76" s="11" t="n">
        <v>249.828</v>
      </c>
      <c r="L76" s="11" t="n">
        <v>171.622</v>
      </c>
      <c r="M76" s="11" t="n">
        <f aca="false">SUM(G76:L76)</f>
        <v>1814.763</v>
      </c>
      <c r="N76" s="11" t="n">
        <v>110.157</v>
      </c>
      <c r="O76" s="11" t="n">
        <v>2.688</v>
      </c>
      <c r="P76" s="11" t="n">
        <v>49.693</v>
      </c>
      <c r="Q76" s="11" t="n">
        <v>151.806</v>
      </c>
      <c r="R76" s="11" t="n">
        <v>49.748</v>
      </c>
      <c r="S76" s="11" t="n">
        <v>45.809</v>
      </c>
      <c r="T76" s="11" t="n">
        <f aca="false">SUM(N76:S76)</f>
        <v>409.901</v>
      </c>
      <c r="U76" s="11" t="n">
        <v>98.329</v>
      </c>
      <c r="V76" s="11" t="n">
        <v>224.035</v>
      </c>
      <c r="W76" s="11" t="n">
        <v>185.662</v>
      </c>
      <c r="X76" s="11" t="n">
        <v>302.2</v>
      </c>
      <c r="Y76" s="11" t="n">
        <v>41.349</v>
      </c>
      <c r="Z76" s="11" t="n">
        <v>592.542</v>
      </c>
      <c r="AA76" s="11" t="n">
        <f aca="false">SUM(U76:Z76)</f>
        <v>1444.117</v>
      </c>
      <c r="AB76" s="11" t="n">
        <v>23.891</v>
      </c>
      <c r="AC76" s="11" t="n">
        <v>65.9376</v>
      </c>
      <c r="AD76" s="11" t="n">
        <v>39.494</v>
      </c>
      <c r="AE76" s="11" t="n">
        <v>60.8</v>
      </c>
      <c r="AF76" s="11" t="n">
        <v>8.915</v>
      </c>
      <c r="AG76" s="11" t="n">
        <v>144.056</v>
      </c>
      <c r="AH76" s="11" t="n">
        <f aca="false">SUM(AB76:AG76)</f>
        <v>343.0936</v>
      </c>
    </row>
    <row r="77" customFormat="false" ht="15" hidden="false" customHeight="false" outlineLevel="2" collapsed="false">
      <c r="A77" s="8" t="s">
        <v>220</v>
      </c>
      <c r="B77" s="12" t="s">
        <v>221</v>
      </c>
      <c r="C77" s="8" t="s">
        <v>69</v>
      </c>
      <c r="D77" s="12" t="s">
        <v>70</v>
      </c>
      <c r="E77" s="16"/>
      <c r="F77" s="9" t="str">
        <f aca="false">IF($E77="","",IFERROR(INDEX(担当者マスタ!$B$2:$B$101,MATCH($E77,担当者マスタ!$A$2:$A$101,0)),"※マスタ未登録"))</f>
        <v/>
      </c>
      <c r="G77" s="11" t="n">
        <v>0</v>
      </c>
      <c r="H77" s="11" t="n">
        <v>6.477</v>
      </c>
      <c r="I77" s="11" t="n">
        <v>0</v>
      </c>
      <c r="J77" s="11" t="n">
        <v>6.077</v>
      </c>
      <c r="K77" s="11" t="n">
        <v>0</v>
      </c>
      <c r="L77" s="11" t="n">
        <v>0</v>
      </c>
      <c r="M77" s="11" t="n">
        <f aca="false">SUM(G77:L77)</f>
        <v>12.554</v>
      </c>
      <c r="N77" s="11" t="n">
        <v>0</v>
      </c>
      <c r="O77" s="11" t="n">
        <v>4.694</v>
      </c>
      <c r="P77" s="11" t="n">
        <v>0</v>
      </c>
      <c r="Q77" s="11" t="n">
        <v>3.704</v>
      </c>
      <c r="R77" s="11" t="n">
        <v>0</v>
      </c>
      <c r="S77" s="11" t="n">
        <v>0</v>
      </c>
      <c r="T77" s="11" t="n">
        <f aca="false">SUM(N77:S77)</f>
        <v>8.398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f aca="false">SUM(U77:Z77)</f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f aca="false">SUM(AB77:AG77)</f>
        <v>0</v>
      </c>
    </row>
    <row r="78" customFormat="false" ht="15" hidden="false" customHeight="false" outlineLevel="2" collapsed="false">
      <c r="A78" s="8" t="s">
        <v>222</v>
      </c>
      <c r="B78" s="9" t="s">
        <v>223</v>
      </c>
      <c r="C78" s="8" t="s">
        <v>69</v>
      </c>
      <c r="D78" s="12" t="s">
        <v>70</v>
      </c>
      <c r="E78" s="16"/>
      <c r="F78" s="9" t="str">
        <f aca="false">IF($E78="","",IFERROR(INDEX(担当者マスタ!$B$2:$B$101,MATCH($E78,担当者マスタ!$A$2:$A$101,0)),"※マスタ未登録"))</f>
        <v/>
      </c>
      <c r="G78" s="11" t="n">
        <v>120.22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f aca="false">SUM(G78:L78)</f>
        <v>120.22</v>
      </c>
      <c r="N78" s="11" t="n">
        <v>14.62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f aca="false">SUM(N78:S78)</f>
        <v>14.62</v>
      </c>
      <c r="U78" s="11" t="n">
        <v>111.78</v>
      </c>
      <c r="V78" s="11" t="n">
        <v>60.7</v>
      </c>
      <c r="W78" s="11" t="n">
        <v>89.3</v>
      </c>
      <c r="X78" s="11" t="n">
        <v>0</v>
      </c>
      <c r="Y78" s="11" t="n">
        <v>0</v>
      </c>
      <c r="Z78" s="11" t="n">
        <v>0</v>
      </c>
      <c r="AA78" s="11" t="n">
        <f aca="false">SUM(U78:Z78)</f>
        <v>261.78</v>
      </c>
      <c r="AB78" s="11" t="n">
        <v>11.23</v>
      </c>
      <c r="AC78" s="11" t="n">
        <v>11.1</v>
      </c>
      <c r="AD78" s="11" t="n">
        <v>24.1</v>
      </c>
      <c r="AE78" s="11" t="n">
        <v>0</v>
      </c>
      <c r="AF78" s="11" t="n">
        <v>0</v>
      </c>
      <c r="AG78" s="11" t="n">
        <v>0</v>
      </c>
      <c r="AH78" s="11" t="n">
        <f aca="false">SUM(AB78:AG78)</f>
        <v>46.43</v>
      </c>
    </row>
    <row r="79" customFormat="false" ht="15" hidden="false" customHeight="false" outlineLevel="2" collapsed="false">
      <c r="A79" s="8" t="s">
        <v>224</v>
      </c>
      <c r="B79" s="12" t="s">
        <v>225</v>
      </c>
      <c r="C79" s="8" t="s">
        <v>69</v>
      </c>
      <c r="D79" s="12" t="s">
        <v>70</v>
      </c>
      <c r="E79" s="16"/>
      <c r="F79" s="9" t="str">
        <f aca="false">IF($E79="","",IFERROR(INDEX(担当者マスタ!$B$2:$B$101,MATCH($E79,担当者マスタ!$A$2:$A$101,0)),"※マスタ未登録"))</f>
        <v/>
      </c>
      <c r="G79" s="11" t="n">
        <v>0</v>
      </c>
      <c r="H79" s="11" t="n">
        <v>0</v>
      </c>
      <c r="I79" s="11" t="n">
        <v>26.553</v>
      </c>
      <c r="J79" s="11" t="n">
        <v>5.065</v>
      </c>
      <c r="K79" s="11" t="n">
        <v>0</v>
      </c>
      <c r="L79" s="11" t="n">
        <v>0</v>
      </c>
      <c r="M79" s="11" t="n">
        <f aca="false">SUM(G79:L79)</f>
        <v>31.618</v>
      </c>
      <c r="N79" s="11" t="n">
        <v>0</v>
      </c>
      <c r="O79" s="11" t="n">
        <v>0</v>
      </c>
      <c r="P79" s="11" t="n">
        <v>8.517</v>
      </c>
      <c r="Q79" s="11" t="n">
        <v>2.359</v>
      </c>
      <c r="R79" s="11" t="n">
        <v>0</v>
      </c>
      <c r="S79" s="11" t="n">
        <v>0</v>
      </c>
      <c r="T79" s="11" t="n">
        <f aca="false">SUM(N79:S79)</f>
        <v>10.876</v>
      </c>
      <c r="U79" s="11" t="n">
        <v>0</v>
      </c>
      <c r="V79" s="11" t="n">
        <v>0</v>
      </c>
      <c r="W79" s="11" t="n">
        <v>0</v>
      </c>
      <c r="X79" s="11" t="n">
        <v>6.204</v>
      </c>
      <c r="Y79" s="11" t="n">
        <v>0</v>
      </c>
      <c r="Z79" s="11" t="n">
        <v>0</v>
      </c>
      <c r="AA79" s="11" t="n">
        <f aca="false">SUM(U79:Z79)</f>
        <v>6.204</v>
      </c>
      <c r="AB79" s="11" t="n">
        <v>0</v>
      </c>
      <c r="AC79" s="11" t="n">
        <v>0</v>
      </c>
      <c r="AD79" s="11" t="n">
        <v>0</v>
      </c>
      <c r="AE79" s="11" t="n">
        <v>2.883</v>
      </c>
      <c r="AF79" s="11" t="n">
        <v>0</v>
      </c>
      <c r="AG79" s="11" t="n">
        <v>0</v>
      </c>
      <c r="AH79" s="11" t="n">
        <f aca="false">SUM(AB79:AG79)</f>
        <v>2.883</v>
      </c>
    </row>
    <row r="80" customFormat="false" ht="15" hidden="false" customHeight="false" outlineLevel="2" collapsed="false">
      <c r="A80" s="8" t="s">
        <v>226</v>
      </c>
      <c r="B80" s="12" t="s">
        <v>227</v>
      </c>
      <c r="C80" s="8" t="s">
        <v>69</v>
      </c>
      <c r="D80" s="12" t="s">
        <v>70</v>
      </c>
      <c r="E80" s="16"/>
      <c r="F80" s="9" t="str">
        <f aca="false">IF($E80="","",IFERROR(INDEX(担当者マスタ!$B$2:$B$101,MATCH($E80,担当者マスタ!$A$2:$A$101,0)),"※マスタ未登録"))</f>
        <v/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f aca="false">SUM(G80:L80)</f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1" t="n">
        <f aca="false">SUM(N80:S80)</f>
        <v>0</v>
      </c>
      <c r="U80" s="11" t="n">
        <v>0</v>
      </c>
      <c r="V80" s="11" t="n">
        <v>0</v>
      </c>
      <c r="W80" s="11" t="n">
        <v>8.8</v>
      </c>
      <c r="X80" s="11" t="n">
        <v>259.6</v>
      </c>
      <c r="Y80" s="11" t="n">
        <v>0</v>
      </c>
      <c r="Z80" s="11" t="n">
        <v>0</v>
      </c>
      <c r="AA80" s="11" t="n">
        <f aca="false">SUM(U80:Z80)</f>
        <v>268.4</v>
      </c>
      <c r="AB80" s="11" t="n">
        <v>0</v>
      </c>
      <c r="AC80" s="11" t="n">
        <v>0</v>
      </c>
      <c r="AD80" s="11" t="n">
        <v>2.1</v>
      </c>
      <c r="AE80" s="11" t="n">
        <v>53.81</v>
      </c>
      <c r="AF80" s="11" t="n">
        <v>0</v>
      </c>
      <c r="AG80" s="11" t="n">
        <v>0</v>
      </c>
      <c r="AH80" s="11" t="n">
        <f aca="false">SUM(AB80:AG80)</f>
        <v>55.91</v>
      </c>
    </row>
    <row r="81" customFormat="false" ht="15" hidden="false" customHeight="false" outlineLevel="2" collapsed="false">
      <c r="A81" s="8" t="s">
        <v>228</v>
      </c>
      <c r="B81" s="9" t="s">
        <v>229</v>
      </c>
      <c r="C81" s="8" t="s">
        <v>69</v>
      </c>
      <c r="D81" s="12" t="s">
        <v>70</v>
      </c>
      <c r="E81" s="16"/>
      <c r="F81" s="9" t="str">
        <f aca="false">IF($E81="","",IFERROR(INDEX(担当者マスタ!$B$2:$B$101,MATCH($E81,担当者マスタ!$A$2:$A$101,0)),"※マスタ未登録"))</f>
        <v/>
      </c>
      <c r="G81" s="11" t="n">
        <v>451.98</v>
      </c>
      <c r="H81" s="11" t="n">
        <v>206.68</v>
      </c>
      <c r="I81" s="11" t="n">
        <v>-15</v>
      </c>
      <c r="J81" s="11" t="n">
        <v>205.09</v>
      </c>
      <c r="K81" s="11" t="n">
        <v>0</v>
      </c>
      <c r="L81" s="11" t="n">
        <v>0</v>
      </c>
      <c r="M81" s="11" t="n">
        <f aca="false">SUM(G81:L81)</f>
        <v>848.75</v>
      </c>
      <c r="N81" s="11" t="n">
        <v>73.98</v>
      </c>
      <c r="O81" s="11" t="n">
        <v>36.88</v>
      </c>
      <c r="P81" s="11" t="n">
        <v>-2.4</v>
      </c>
      <c r="Q81" s="11" t="n">
        <v>36.55</v>
      </c>
      <c r="R81" s="11" t="n">
        <v>0</v>
      </c>
      <c r="S81" s="11" t="n">
        <v>0</v>
      </c>
      <c r="T81" s="11" t="n">
        <f aca="false">SUM(N81:S81)</f>
        <v>145.01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f aca="false">SUM(U81:Z81)</f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f aca="false">SUM(AB81:AG81)</f>
        <v>0</v>
      </c>
    </row>
    <row r="82" customFormat="false" ht="15" hidden="false" customHeight="false" outlineLevel="2" collapsed="false">
      <c r="A82" s="8" t="s">
        <v>230</v>
      </c>
      <c r="B82" s="12" t="s">
        <v>231</v>
      </c>
      <c r="C82" s="8" t="s">
        <v>69</v>
      </c>
      <c r="D82" s="12" t="s">
        <v>70</v>
      </c>
      <c r="E82" s="16"/>
      <c r="F82" s="9" t="str">
        <f aca="false">IF($E82="","",IFERROR(INDEX(担当者マスタ!$B$2:$B$101,MATCH($E82,担当者マスタ!$A$2:$A$101,0)),"※マスタ未登録"))</f>
        <v/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37.6</v>
      </c>
      <c r="L82" s="11" t="n">
        <v>0</v>
      </c>
      <c r="M82" s="11" t="n">
        <f aca="false">SUM(G82:L82)</f>
        <v>37.6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9.6</v>
      </c>
      <c r="S82" s="11" t="n">
        <v>0</v>
      </c>
      <c r="T82" s="11" t="n">
        <f aca="false">SUM(N82:S82)</f>
        <v>9.6</v>
      </c>
      <c r="U82" s="11" t="n">
        <v>37.6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f aca="false">SUM(U82:Z82)</f>
        <v>37.6</v>
      </c>
      <c r="AB82" s="11" t="n">
        <v>9.6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f aca="false">SUM(AB82:AG82)</f>
        <v>9.6</v>
      </c>
    </row>
    <row r="83" customFormat="false" ht="15" hidden="false" customHeight="false" outlineLevel="2" collapsed="false">
      <c r="A83" s="8" t="s">
        <v>232</v>
      </c>
      <c r="B83" s="9" t="s">
        <v>233</v>
      </c>
      <c r="C83" s="8" t="s">
        <v>69</v>
      </c>
      <c r="D83" s="12" t="s">
        <v>70</v>
      </c>
      <c r="E83" s="16"/>
      <c r="F83" s="9" t="str">
        <f aca="false">IF($E83="","",IFERROR(INDEX(担当者マスタ!$B$2:$B$101,MATCH($E83,担当者マスタ!$A$2:$A$101,0)),"※マスタ未登録"))</f>
        <v/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40</v>
      </c>
      <c r="L83" s="11" t="n">
        <v>-4</v>
      </c>
      <c r="M83" s="11" t="n">
        <f aca="false">SUM(G83:L83)</f>
        <v>36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12.8</v>
      </c>
      <c r="S83" s="11" t="n">
        <v>-4</v>
      </c>
      <c r="T83" s="11" t="n">
        <f aca="false">SUM(N83:S83)</f>
        <v>8.8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301.5</v>
      </c>
      <c r="Z83" s="11" t="n">
        <v>0</v>
      </c>
      <c r="AA83" s="11" t="n">
        <f aca="false">SUM(U83:Z83)</f>
        <v>301.5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116.4</v>
      </c>
      <c r="AG83" s="11" t="n">
        <v>0</v>
      </c>
      <c r="AH83" s="11" t="n">
        <f aca="false">SUM(AB83:AG83)</f>
        <v>116.4</v>
      </c>
    </row>
    <row r="84" customFormat="false" ht="15" hidden="false" customHeight="false" outlineLevel="2" collapsed="false">
      <c r="A84" s="8" t="s">
        <v>234</v>
      </c>
      <c r="B84" s="12" t="s">
        <v>235</v>
      </c>
      <c r="C84" s="8" t="s">
        <v>69</v>
      </c>
      <c r="D84" s="12" t="s">
        <v>70</v>
      </c>
      <c r="E84" s="16"/>
      <c r="F84" s="9" t="str">
        <f aca="false">IF($E84="","",IFERROR(INDEX(担当者マスタ!$B$2:$B$101,MATCH($E84,担当者マスタ!$A$2:$A$101,0)),"※マスタ未登録"))</f>
        <v/>
      </c>
      <c r="G84" s="11" t="n">
        <v>0</v>
      </c>
      <c r="H84" s="11" t="n">
        <v>0</v>
      </c>
      <c r="I84" s="11" t="n">
        <v>0</v>
      </c>
      <c r="J84" s="11" t="n">
        <v>37.6</v>
      </c>
      <c r="K84" s="11" t="n">
        <v>0</v>
      </c>
      <c r="L84" s="11" t="n">
        <v>0</v>
      </c>
      <c r="M84" s="11" t="n">
        <f aca="false">SUM(G84:L84)</f>
        <v>37.6</v>
      </c>
      <c r="N84" s="11" t="n">
        <v>0</v>
      </c>
      <c r="O84" s="11" t="n">
        <v>0</v>
      </c>
      <c r="P84" s="11" t="n">
        <v>0</v>
      </c>
      <c r="Q84" s="11" t="n">
        <v>9.6</v>
      </c>
      <c r="R84" s="11" t="n">
        <v>0</v>
      </c>
      <c r="S84" s="11" t="n">
        <v>0</v>
      </c>
      <c r="T84" s="11" t="n">
        <f aca="false">SUM(N84:S84)</f>
        <v>9.6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f aca="false">SUM(U84:Z84)</f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f aca="false">SUM(AB84:AG84)</f>
        <v>0</v>
      </c>
    </row>
    <row r="85" customFormat="false" ht="15" hidden="false" customHeight="false" outlineLevel="2" collapsed="false">
      <c r="A85" s="8" t="s">
        <v>236</v>
      </c>
      <c r="B85" s="12" t="s">
        <v>237</v>
      </c>
      <c r="C85" s="8" t="s">
        <v>69</v>
      </c>
      <c r="D85" s="12" t="s">
        <v>70</v>
      </c>
      <c r="E85" s="16"/>
      <c r="F85" s="9" t="str">
        <f aca="false">IF($E85="","",IFERROR(INDEX(担当者マスタ!$B$2:$B$101,MATCH($E85,担当者マスタ!$A$2:$A$101,0)),"※マスタ未登録"))</f>
        <v/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f aca="false">SUM(G85:L85)</f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f aca="false">SUM(N85:S85)</f>
        <v>0</v>
      </c>
      <c r="U85" s="11" t="n">
        <v>0</v>
      </c>
      <c r="V85" s="11" t="n">
        <v>0</v>
      </c>
      <c r="W85" s="11" t="n">
        <v>0</v>
      </c>
      <c r="X85" s="11" t="n">
        <v>8.2</v>
      </c>
      <c r="Y85" s="11" t="n">
        <v>-1.23</v>
      </c>
      <c r="Z85" s="11" t="n">
        <v>0</v>
      </c>
      <c r="AA85" s="11" t="n">
        <f aca="false">SUM(U85:Z85)</f>
        <v>6.97</v>
      </c>
      <c r="AB85" s="11" t="n">
        <v>0</v>
      </c>
      <c r="AC85" s="11" t="n">
        <v>0</v>
      </c>
      <c r="AD85" s="11" t="n">
        <v>0</v>
      </c>
      <c r="AE85" s="11" t="n">
        <v>2.36</v>
      </c>
      <c r="AF85" s="11" t="n">
        <v>-1.23</v>
      </c>
      <c r="AG85" s="11" t="n">
        <v>0</v>
      </c>
      <c r="AH85" s="11" t="n">
        <f aca="false">SUM(AB85:AG85)</f>
        <v>1.13</v>
      </c>
    </row>
    <row r="86" customFormat="false" ht="15" hidden="false" customHeight="false" outlineLevel="2" collapsed="false">
      <c r="A86" s="8" t="s">
        <v>238</v>
      </c>
      <c r="B86" s="12" t="s">
        <v>239</v>
      </c>
      <c r="C86" s="8" t="s">
        <v>69</v>
      </c>
      <c r="D86" s="12" t="s">
        <v>70</v>
      </c>
      <c r="E86" s="16"/>
      <c r="F86" s="9" t="str">
        <f aca="false">IF($E86="","",IFERROR(INDEX(担当者マスタ!$B$2:$B$101,MATCH($E86,担当者マスタ!$A$2:$A$101,0)),"※マスタ未登録"))</f>
        <v/>
      </c>
      <c r="G86" s="11" t="n">
        <v>5776.578</v>
      </c>
      <c r="H86" s="11" t="n">
        <v>6327.964</v>
      </c>
      <c r="I86" s="11" t="n">
        <v>6314.414</v>
      </c>
      <c r="J86" s="11" t="n">
        <v>4266.138</v>
      </c>
      <c r="K86" s="11" t="n">
        <v>5024.683</v>
      </c>
      <c r="L86" s="11" t="n">
        <v>6428.633</v>
      </c>
      <c r="M86" s="11" t="n">
        <f aca="false">SUM(G86:L86)</f>
        <v>34138.41</v>
      </c>
      <c r="N86" s="11" t="n">
        <v>1440.525</v>
      </c>
      <c r="O86" s="11" t="n">
        <v>1630.464</v>
      </c>
      <c r="P86" s="11" t="n">
        <v>1543.187</v>
      </c>
      <c r="Q86" s="11" t="n">
        <v>1075.99</v>
      </c>
      <c r="R86" s="11" t="n">
        <v>1294.011</v>
      </c>
      <c r="S86" s="11" t="n">
        <v>1427.213</v>
      </c>
      <c r="T86" s="11" t="n">
        <f aca="false">SUM(N86:S86)</f>
        <v>8411.39</v>
      </c>
      <c r="U86" s="11" t="n">
        <v>6871.336</v>
      </c>
      <c r="V86" s="11" t="n">
        <v>6237.87</v>
      </c>
      <c r="W86" s="11" t="n">
        <v>6749.951</v>
      </c>
      <c r="X86" s="11" t="n">
        <v>4028.505</v>
      </c>
      <c r="Y86" s="11" t="n">
        <v>4671.203</v>
      </c>
      <c r="Z86" s="11" t="n">
        <v>5212.589</v>
      </c>
      <c r="AA86" s="11" t="n">
        <f aca="false">SUM(U86:Z86)</f>
        <v>33771.454</v>
      </c>
      <c r="AB86" s="11" t="n">
        <v>1814.534</v>
      </c>
      <c r="AC86" s="11" t="n">
        <v>1625.324</v>
      </c>
      <c r="AD86" s="11" t="n">
        <v>1780.333</v>
      </c>
      <c r="AE86" s="11" t="n">
        <v>1072.106</v>
      </c>
      <c r="AF86" s="11" t="n">
        <v>1236.492</v>
      </c>
      <c r="AG86" s="11" t="n">
        <v>1391.321</v>
      </c>
      <c r="AH86" s="11" t="n">
        <f aca="false">SUM(AB86:AG86)</f>
        <v>8920.11</v>
      </c>
    </row>
    <row r="87" customFormat="false" ht="15" hidden="false" customHeight="false" outlineLevel="2" collapsed="false">
      <c r="A87" s="8" t="s">
        <v>240</v>
      </c>
      <c r="B87" s="12" t="s">
        <v>241</v>
      </c>
      <c r="C87" s="8" t="s">
        <v>69</v>
      </c>
      <c r="D87" s="12" t="s">
        <v>70</v>
      </c>
      <c r="E87" s="16"/>
      <c r="F87" s="9" t="str">
        <f aca="false">IF($E87="","",IFERROR(INDEX(担当者マスタ!$B$2:$B$101,MATCH($E87,担当者マスタ!$A$2:$A$101,0)),"※マスタ未登録"))</f>
        <v/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150.036</v>
      </c>
      <c r="M87" s="11" t="n">
        <f aca="false">SUM(G87:L87)</f>
        <v>150.036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48.501</v>
      </c>
      <c r="T87" s="11" t="n">
        <f aca="false">SUM(N87:S87)</f>
        <v>48.501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f aca="false">SUM(U87:Z87)</f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f aca="false">SUM(AB87:AG87)</f>
        <v>0</v>
      </c>
    </row>
    <row r="88" customFormat="false" ht="15" hidden="false" customHeight="false" outlineLevel="2" collapsed="false">
      <c r="A88" s="8" t="s">
        <v>242</v>
      </c>
      <c r="B88" s="12" t="s">
        <v>243</v>
      </c>
      <c r="C88" s="8" t="s">
        <v>69</v>
      </c>
      <c r="D88" s="12" t="s">
        <v>70</v>
      </c>
      <c r="E88" s="16"/>
      <c r="F88" s="9" t="str">
        <f aca="false">IF($E88="","",IFERROR(INDEX(担当者マスタ!$B$2:$B$101,MATCH($E88,担当者マスタ!$A$2:$A$101,0)),"※マスタ未登録"))</f>
        <v/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f aca="false">SUM(G88:L88)</f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f aca="false">SUM(N88:S88)</f>
        <v>0</v>
      </c>
      <c r="U88" s="11" t="n">
        <v>27</v>
      </c>
      <c r="V88" s="11" t="n">
        <v>0</v>
      </c>
      <c r="W88" s="11" t="n">
        <v>0</v>
      </c>
      <c r="X88" s="11" t="n">
        <v>0</v>
      </c>
      <c r="Y88" s="11" t="n">
        <v>0</v>
      </c>
      <c r="Z88" s="11" t="n">
        <v>0</v>
      </c>
      <c r="AA88" s="11" t="n">
        <f aca="false">SUM(U88:Z88)</f>
        <v>27</v>
      </c>
      <c r="AB88" s="11" t="n">
        <v>5.5</v>
      </c>
      <c r="AC88" s="11" t="n">
        <v>0</v>
      </c>
      <c r="AD88" s="11" t="n">
        <v>0</v>
      </c>
      <c r="AE88" s="11" t="n">
        <v>0</v>
      </c>
      <c r="AF88" s="11" t="n">
        <v>0</v>
      </c>
      <c r="AG88" s="11" t="n">
        <v>0</v>
      </c>
      <c r="AH88" s="11" t="n">
        <f aca="false">SUM(AB88:AG88)</f>
        <v>5.5</v>
      </c>
    </row>
    <row r="89" customFormat="false" ht="15" hidden="false" customHeight="false" outlineLevel="2" collapsed="false">
      <c r="A89" s="8" t="s">
        <v>244</v>
      </c>
      <c r="B89" s="12" t="s">
        <v>245</v>
      </c>
      <c r="C89" s="8" t="s">
        <v>69</v>
      </c>
      <c r="D89" s="12" t="s">
        <v>70</v>
      </c>
      <c r="E89" s="16"/>
      <c r="F89" s="9" t="str">
        <f aca="false">IF($E89="","",IFERROR(INDEX(担当者マスタ!$B$2:$B$101,MATCH($E89,担当者マスタ!$A$2:$A$101,0)),"※マスタ未登録"))</f>
        <v/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f aca="false">SUM(G89:L89)</f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1" t="n">
        <f aca="false">SUM(N89:S89)</f>
        <v>0</v>
      </c>
      <c r="U89" s="11" t="n">
        <v>3406.375</v>
      </c>
      <c r="V89" s="11" t="n">
        <v>3292.784</v>
      </c>
      <c r="W89" s="11" t="n">
        <v>3990.656</v>
      </c>
      <c r="X89" s="11" t="n">
        <v>3201.592</v>
      </c>
      <c r="Y89" s="11" t="n">
        <v>4098.481</v>
      </c>
      <c r="Z89" s="11" t="n">
        <v>1684.294</v>
      </c>
      <c r="AA89" s="11" t="n">
        <f aca="false">SUM(U89:Z89)</f>
        <v>19674.182</v>
      </c>
      <c r="AB89" s="11" t="n">
        <v>494.516</v>
      </c>
      <c r="AC89" s="11" t="n">
        <v>465.504</v>
      </c>
      <c r="AD89" s="11" t="n">
        <v>570.07</v>
      </c>
      <c r="AE89" s="11" t="n">
        <v>442.162</v>
      </c>
      <c r="AF89" s="11" t="n">
        <v>418.595</v>
      </c>
      <c r="AG89" s="11" t="n">
        <v>233.688</v>
      </c>
      <c r="AH89" s="11" t="n">
        <f aca="false">SUM(AB89:AG89)</f>
        <v>2624.535</v>
      </c>
    </row>
    <row r="90" customFormat="false" ht="15" hidden="false" customHeight="false" outlineLevel="2" collapsed="false">
      <c r="A90" s="8" t="s">
        <v>246</v>
      </c>
      <c r="B90" s="12" t="s">
        <v>247</v>
      </c>
      <c r="C90" s="8" t="s">
        <v>69</v>
      </c>
      <c r="D90" s="12" t="s">
        <v>70</v>
      </c>
      <c r="E90" s="16"/>
      <c r="F90" s="9" t="str">
        <f aca="false">IF($E90="","",IFERROR(INDEX(担当者マスタ!$B$2:$B$101,MATCH($E90,担当者マスタ!$A$2:$A$101,0)),"※マスタ未登録"))</f>
        <v/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f aca="false">SUM(G90:L90)</f>
        <v>0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1" t="n">
        <f aca="false">SUM(N90:S90)</f>
        <v>0</v>
      </c>
      <c r="U90" s="11" t="n">
        <v>0</v>
      </c>
      <c r="V90" s="11" t="n">
        <v>26.518</v>
      </c>
      <c r="W90" s="11" t="n">
        <v>0</v>
      </c>
      <c r="X90" s="11" t="n">
        <v>26.522</v>
      </c>
      <c r="Y90" s="11" t="n">
        <v>0</v>
      </c>
      <c r="Z90" s="11" t="n">
        <v>0</v>
      </c>
      <c r="AA90" s="11" t="n">
        <f aca="false">SUM(U90:Z90)</f>
        <v>53.04</v>
      </c>
      <c r="AB90" s="11" t="n">
        <v>0</v>
      </c>
      <c r="AC90" s="11" t="n">
        <v>5.513</v>
      </c>
      <c r="AD90" s="11" t="n">
        <v>0</v>
      </c>
      <c r="AE90" s="11" t="n">
        <v>5.515</v>
      </c>
      <c r="AF90" s="11" t="n">
        <v>0</v>
      </c>
      <c r="AG90" s="11" t="n">
        <v>0</v>
      </c>
      <c r="AH90" s="11" t="n">
        <f aca="false">SUM(AB90:AG90)</f>
        <v>11.028</v>
      </c>
    </row>
    <row r="91" customFormat="false" ht="15" hidden="false" customHeight="false" outlineLevel="2" collapsed="false">
      <c r="A91" s="8" t="s">
        <v>248</v>
      </c>
      <c r="B91" s="12" t="s">
        <v>249</v>
      </c>
      <c r="C91" s="8" t="s">
        <v>69</v>
      </c>
      <c r="D91" s="12" t="s">
        <v>70</v>
      </c>
      <c r="E91" s="16"/>
      <c r="F91" s="9" t="str">
        <f aca="false">IF($E91="","",IFERROR(INDEX(担当者マスタ!$B$2:$B$101,MATCH($E91,担当者マスタ!$A$2:$A$101,0)),"※マスタ未登録"))</f>
        <v/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f aca="false">SUM(G91:L91)</f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f aca="false">SUM(N91:S91)</f>
        <v>0</v>
      </c>
      <c r="U91" s="11" t="n">
        <v>0</v>
      </c>
      <c r="V91" s="11" t="n">
        <v>0</v>
      </c>
      <c r="W91" s="11" t="n">
        <v>0</v>
      </c>
      <c r="X91" s="11" t="n">
        <v>42.5</v>
      </c>
      <c r="Y91" s="11" t="n">
        <v>0</v>
      </c>
      <c r="Z91" s="11" t="n">
        <v>0</v>
      </c>
      <c r="AA91" s="11" t="n">
        <f aca="false">SUM(U91:Z91)</f>
        <v>42.5</v>
      </c>
      <c r="AB91" s="11" t="n">
        <v>0</v>
      </c>
      <c r="AC91" s="11" t="n">
        <v>0</v>
      </c>
      <c r="AD91" s="11" t="n">
        <v>0</v>
      </c>
      <c r="AE91" s="11" t="n">
        <v>13.2</v>
      </c>
      <c r="AF91" s="11" t="n">
        <v>0</v>
      </c>
      <c r="AG91" s="11" t="n">
        <v>0</v>
      </c>
      <c r="AH91" s="11" t="n">
        <f aca="false">SUM(AB91:AG91)</f>
        <v>13.2</v>
      </c>
    </row>
    <row r="92" customFormat="false" ht="15" hidden="false" customHeight="false" outlineLevel="2" collapsed="false">
      <c r="A92" s="8" t="s">
        <v>250</v>
      </c>
      <c r="B92" s="12" t="s">
        <v>251</v>
      </c>
      <c r="C92" s="8" t="s">
        <v>69</v>
      </c>
      <c r="D92" s="12" t="s">
        <v>70</v>
      </c>
      <c r="E92" s="16"/>
      <c r="F92" s="9" t="str">
        <f aca="false">IF($E92="","",IFERROR(INDEX(担当者マスタ!$B$2:$B$101,MATCH($E92,担当者マスタ!$A$2:$A$101,0)),"※マスタ未登録"))</f>
        <v/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f aca="false">SUM(G92:L92)</f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1" t="n">
        <f aca="false">SUM(N92:S92)</f>
        <v>0</v>
      </c>
      <c r="U92" s="11" t="n">
        <v>0</v>
      </c>
      <c r="V92" s="11" t="n">
        <v>1.42</v>
      </c>
      <c r="W92" s="11" t="n">
        <v>0</v>
      </c>
      <c r="X92" s="11" t="n">
        <v>2.84</v>
      </c>
      <c r="Y92" s="11" t="n">
        <v>0</v>
      </c>
      <c r="Z92" s="11" t="n">
        <v>0</v>
      </c>
      <c r="AA92" s="11" t="n">
        <f aca="false">SUM(U92:Z92)</f>
        <v>4.26</v>
      </c>
      <c r="AB92" s="11" t="n">
        <v>0</v>
      </c>
      <c r="AC92" s="11" t="n">
        <v>0.124</v>
      </c>
      <c r="AD92" s="11" t="n">
        <v>0</v>
      </c>
      <c r="AE92" s="11" t="n">
        <v>0.248</v>
      </c>
      <c r="AF92" s="11" t="n">
        <v>0</v>
      </c>
      <c r="AG92" s="11" t="n">
        <v>0</v>
      </c>
      <c r="AH92" s="11" t="n">
        <f aca="false">SUM(AB92:AG92)</f>
        <v>0.372</v>
      </c>
    </row>
    <row r="93" customFormat="false" ht="15" hidden="false" customHeight="false" outlineLevel="2" collapsed="false">
      <c r="A93" s="8" t="s">
        <v>252</v>
      </c>
      <c r="B93" s="12" t="s">
        <v>253</v>
      </c>
      <c r="C93" s="8" t="s">
        <v>69</v>
      </c>
      <c r="D93" s="12" t="s">
        <v>70</v>
      </c>
      <c r="E93" s="16"/>
      <c r="F93" s="9" t="str">
        <f aca="false">IF($E93="","",IFERROR(INDEX(担当者マスタ!$B$2:$B$101,MATCH($E93,担当者マスタ!$A$2:$A$101,0)),"※マスタ未登録"))</f>
        <v/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f aca="false">SUM(G93:L93)</f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f aca="false">SUM(N93:S93)</f>
        <v>0</v>
      </c>
      <c r="U93" s="11" t="n">
        <v>0</v>
      </c>
      <c r="V93" s="11" t="n">
        <v>0</v>
      </c>
      <c r="W93" s="11" t="n">
        <v>310.1</v>
      </c>
      <c r="X93" s="11" t="n">
        <v>0</v>
      </c>
      <c r="Y93" s="11" t="n">
        <v>0</v>
      </c>
      <c r="Z93" s="11" t="n">
        <v>0</v>
      </c>
      <c r="AA93" s="11" t="n">
        <f aca="false">SUM(U93:Z93)</f>
        <v>310.1</v>
      </c>
      <c r="AB93" s="11" t="n">
        <v>0</v>
      </c>
      <c r="AC93" s="11" t="n">
        <v>0</v>
      </c>
      <c r="AD93" s="11" t="n">
        <v>60.723</v>
      </c>
      <c r="AE93" s="11" t="n">
        <v>0</v>
      </c>
      <c r="AF93" s="11" t="n">
        <v>0</v>
      </c>
      <c r="AG93" s="11" t="n">
        <v>0</v>
      </c>
      <c r="AH93" s="11" t="n">
        <f aca="false">SUM(AB93:AG93)</f>
        <v>60.723</v>
      </c>
    </row>
    <row r="94" customFormat="false" ht="15" hidden="false" customHeight="false" outlineLevel="2" collapsed="false">
      <c r="A94" s="8" t="s">
        <v>254</v>
      </c>
      <c r="B94" s="12" t="s">
        <v>255</v>
      </c>
      <c r="C94" s="8" t="s">
        <v>69</v>
      </c>
      <c r="D94" s="12" t="s">
        <v>70</v>
      </c>
      <c r="E94" s="16"/>
      <c r="F94" s="9" t="str">
        <f aca="false">IF($E94="","",IFERROR(INDEX(担当者マスタ!$B$2:$B$101,MATCH($E94,担当者マスタ!$A$2:$A$101,0)),"※マスタ未登録"))</f>
        <v/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f aca="false">SUM(G94:L94)</f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f aca="false">SUM(N94:S94)</f>
        <v>0</v>
      </c>
      <c r="U94" s="11" t="n">
        <v>23.6</v>
      </c>
      <c r="V94" s="11" t="n">
        <v>0</v>
      </c>
      <c r="W94" s="11" t="n">
        <v>0</v>
      </c>
      <c r="X94" s="11" t="n">
        <v>0</v>
      </c>
      <c r="Y94" s="11" t="n">
        <v>11.8</v>
      </c>
      <c r="Z94" s="11" t="n">
        <v>0</v>
      </c>
      <c r="AA94" s="11" t="n">
        <f aca="false">SUM(U94:Z94)</f>
        <v>35.4</v>
      </c>
      <c r="AB94" s="11" t="n">
        <v>3.498</v>
      </c>
      <c r="AC94" s="11" t="n">
        <v>0</v>
      </c>
      <c r="AD94" s="11" t="n">
        <v>0</v>
      </c>
      <c r="AE94" s="11" t="n">
        <v>0</v>
      </c>
      <c r="AF94" s="11" t="n">
        <v>1.749</v>
      </c>
      <c r="AG94" s="11" t="n">
        <v>0</v>
      </c>
      <c r="AH94" s="11" t="n">
        <f aca="false">SUM(AB94:AG94)</f>
        <v>5.247</v>
      </c>
    </row>
    <row r="95" customFormat="false" ht="15" hidden="false" customHeight="false" outlineLevel="2" collapsed="false">
      <c r="A95" s="8" t="s">
        <v>256</v>
      </c>
      <c r="B95" s="12" t="s">
        <v>257</v>
      </c>
      <c r="C95" s="8" t="s">
        <v>69</v>
      </c>
      <c r="D95" s="12" t="s">
        <v>70</v>
      </c>
      <c r="E95" s="16"/>
      <c r="F95" s="9" t="str">
        <f aca="false">IF($E95="","",IFERROR(INDEX(担当者マスタ!$B$2:$B$101,MATCH($E95,担当者マスタ!$A$2:$A$101,0)),"※マスタ未登録"))</f>
        <v/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f aca="false">SUM(G95:L95)</f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f aca="false">SUM(N95:S95)</f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292.2</v>
      </c>
      <c r="Z95" s="11" t="n">
        <v>10</v>
      </c>
      <c r="AA95" s="11" t="n">
        <f aca="false">SUM(U95:Z95)</f>
        <v>302.2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59.2</v>
      </c>
      <c r="AG95" s="11" t="n">
        <v>1.6</v>
      </c>
      <c r="AH95" s="11" t="n">
        <f aca="false">SUM(AB95:AG95)</f>
        <v>60.8</v>
      </c>
    </row>
    <row r="96" customFormat="false" ht="15" hidden="false" customHeight="false" outlineLevel="2" collapsed="false">
      <c r="A96" s="8" t="s">
        <v>258</v>
      </c>
      <c r="B96" s="12" t="s">
        <v>259</v>
      </c>
      <c r="C96" s="8" t="s">
        <v>69</v>
      </c>
      <c r="D96" s="12" t="s">
        <v>70</v>
      </c>
      <c r="E96" s="16"/>
      <c r="F96" s="9" t="str">
        <f aca="false">IF($E96="","",IFERROR(INDEX(担当者マスタ!$B$2:$B$101,MATCH($E96,担当者マスタ!$A$2:$A$101,0)),"※マスタ未登録"))</f>
        <v/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f aca="false">SUM(G96:L96)</f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f aca="false">SUM(N96:S96)</f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1735.31</v>
      </c>
      <c r="Z96" s="11" t="n">
        <v>0</v>
      </c>
      <c r="AA96" s="11" t="n">
        <f aca="false">SUM(U96:Z96)</f>
        <v>1735.31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236.86</v>
      </c>
      <c r="AG96" s="11" t="n">
        <v>0</v>
      </c>
      <c r="AH96" s="11" t="n">
        <f aca="false">SUM(AB96:AG96)</f>
        <v>236.86</v>
      </c>
    </row>
    <row r="97" customFormat="false" ht="15" hidden="false" customHeight="false" outlineLevel="1" collapsed="false">
      <c r="A97" s="19"/>
      <c r="B97" s="19"/>
      <c r="C97" s="17" t="s">
        <v>1965</v>
      </c>
      <c r="D97" s="19" t="s">
        <v>70</v>
      </c>
      <c r="E97" s="19"/>
      <c r="F97" s="19"/>
      <c r="G97" s="18" t="n">
        <f aca="false">SUBTOTAL(9,G2:G96)</f>
        <v>21655.623</v>
      </c>
      <c r="H97" s="18" t="n">
        <f aca="false">SUBTOTAL(9,H2:H96)</f>
        <v>21306.833</v>
      </c>
      <c r="I97" s="18" t="n">
        <f aca="false">SUBTOTAL(9,I2:I96)</f>
        <v>19668.822</v>
      </c>
      <c r="J97" s="18" t="n">
        <f aca="false">SUBTOTAL(9,J2:J96)</f>
        <v>14847.869</v>
      </c>
      <c r="K97" s="18" t="n">
        <f aca="false">SUBTOTAL(9,K2:K96)</f>
        <v>13853.042</v>
      </c>
      <c r="L97" s="18" t="n">
        <f aca="false">SUBTOTAL(9,L2:L96)</f>
        <v>15970.831</v>
      </c>
      <c r="M97" s="18" t="n">
        <f aca="false">SUBTOTAL(9,M2:M96)</f>
        <v>107303.02</v>
      </c>
      <c r="N97" s="18" t="n">
        <f aca="false">SUBTOTAL(9,N2:N96)</f>
        <v>5422.683</v>
      </c>
      <c r="O97" s="18" t="n">
        <f aca="false">SUBTOTAL(9,O2:O96)</f>
        <v>5729.931</v>
      </c>
      <c r="P97" s="18" t="n">
        <f aca="false">SUBTOTAL(9,P2:P96)</f>
        <v>5443.028</v>
      </c>
      <c r="Q97" s="18" t="n">
        <f aca="false">SUBTOTAL(9,Q2:Q96)</f>
        <v>3817.878</v>
      </c>
      <c r="R97" s="18" t="n">
        <f aca="false">SUBTOTAL(9,R2:R96)</f>
        <v>3605.64</v>
      </c>
      <c r="S97" s="18" t="n">
        <f aca="false">SUBTOTAL(9,S2:S96)</f>
        <v>3901.102</v>
      </c>
      <c r="T97" s="18" t="n">
        <f aca="false">SUBTOTAL(9,T2:T96)</f>
        <v>27920.262</v>
      </c>
      <c r="U97" s="18" t="n">
        <f aca="false">SUBTOTAL(9,U2:U96)</f>
        <v>22605.927</v>
      </c>
      <c r="V97" s="18" t="n">
        <f aca="false">SUBTOTAL(9,V2:V96)</f>
        <v>22902.128</v>
      </c>
      <c r="W97" s="18" t="n">
        <f aca="false">SUBTOTAL(9,W2:W96)</f>
        <v>27699.175</v>
      </c>
      <c r="X97" s="18" t="n">
        <f aca="false">SUBTOTAL(9,X2:X96)</f>
        <v>17213.91</v>
      </c>
      <c r="Y97" s="18" t="n">
        <f aca="false">SUBTOTAL(9,Y2:Y96)</f>
        <v>19220.172</v>
      </c>
      <c r="Z97" s="18" t="n">
        <f aca="false">SUBTOTAL(9,Z2:Z96)</f>
        <v>17940.339</v>
      </c>
      <c r="AA97" s="18" t="n">
        <f aca="false">SUBTOTAL(9,AA2:AA96)</f>
        <v>127581.651</v>
      </c>
      <c r="AB97" s="18" t="n">
        <f aca="false">SUBTOTAL(9,AB2:AB96)</f>
        <v>5597.636</v>
      </c>
      <c r="AC97" s="18" t="n">
        <f aca="false">SUBTOTAL(9,AC2:AC96)</f>
        <v>5905.68</v>
      </c>
      <c r="AD97" s="18" t="n">
        <f aca="false">SUBTOTAL(9,AD2:AD96)</f>
        <v>6943.429</v>
      </c>
      <c r="AE97" s="18" t="n">
        <f aca="false">SUBTOTAL(9,AE2:AE96)</f>
        <v>4066.167</v>
      </c>
      <c r="AF97" s="18" t="n">
        <f aca="false">SUBTOTAL(9,AF2:AF96)</f>
        <v>4218.393</v>
      </c>
      <c r="AG97" s="18" t="n">
        <f aca="false">SUBTOTAL(9,AG2:AG96)</f>
        <v>4424.0016</v>
      </c>
      <c r="AH97" s="18" t="n">
        <f aca="false">SUBTOTAL(9,AH2:AH96)</f>
        <v>31155.3066</v>
      </c>
    </row>
    <row r="98" customFormat="false" ht="15" hidden="false" customHeight="false" outlineLevel="2" collapsed="false">
      <c r="A98" s="8" t="s">
        <v>260</v>
      </c>
      <c r="B98" s="12" t="s">
        <v>261</v>
      </c>
      <c r="C98" s="8" t="s">
        <v>262</v>
      </c>
      <c r="D98" s="12" t="s">
        <v>263</v>
      </c>
      <c r="E98" s="16"/>
      <c r="F98" s="9" t="str">
        <f aca="false">IF($E98="","",IFERROR(INDEX(担当者マスタ!$B$2:$B$101,MATCH($E98,担当者マスタ!$A$2:$A$101,0)),"※マスタ未登録"))</f>
        <v/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f aca="false">SUM(G98:L98)</f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f aca="false">SUM(N98:S98)</f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131.85</v>
      </c>
      <c r="AA98" s="11" t="n">
        <f aca="false">SUM(U98:Z98)</f>
        <v>131.85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37.8</v>
      </c>
      <c r="AH98" s="11" t="n">
        <f aca="false">SUM(AB98:AG98)</f>
        <v>37.8</v>
      </c>
    </row>
    <row r="99" customFormat="false" ht="15" hidden="false" customHeight="false" outlineLevel="2" collapsed="false">
      <c r="A99" s="8" t="s">
        <v>264</v>
      </c>
      <c r="B99" s="12" t="s">
        <v>265</v>
      </c>
      <c r="C99" s="8" t="s">
        <v>262</v>
      </c>
      <c r="D99" s="12" t="s">
        <v>263</v>
      </c>
      <c r="E99" s="16"/>
      <c r="F99" s="9" t="str">
        <f aca="false">IF($E99="","",IFERROR(INDEX(担当者マスタ!$B$2:$B$101,MATCH($E99,担当者マスタ!$A$2:$A$101,0)),"※マスタ未登録"))</f>
        <v/>
      </c>
      <c r="G99" s="11" t="n">
        <v>19.372</v>
      </c>
      <c r="H99" s="11" t="n">
        <v>3.6</v>
      </c>
      <c r="I99" s="11" t="n">
        <v>0</v>
      </c>
      <c r="J99" s="11" t="n">
        <v>0</v>
      </c>
      <c r="K99" s="11" t="n">
        <v>0</v>
      </c>
      <c r="L99" s="11" t="n">
        <v>1.98</v>
      </c>
      <c r="M99" s="11" t="n">
        <f aca="false">SUM(G99:L99)</f>
        <v>24.952</v>
      </c>
      <c r="N99" s="11" t="n">
        <v>7.039</v>
      </c>
      <c r="O99" s="11" t="n">
        <v>1.4</v>
      </c>
      <c r="P99" s="11" t="n">
        <v>0</v>
      </c>
      <c r="Q99" s="11" t="n">
        <v>0</v>
      </c>
      <c r="R99" s="11" t="n">
        <v>0</v>
      </c>
      <c r="S99" s="11" t="n">
        <v>0.737</v>
      </c>
      <c r="T99" s="11" t="n">
        <f aca="false">SUM(N99:S99)</f>
        <v>9.176</v>
      </c>
      <c r="U99" s="11" t="n">
        <v>0</v>
      </c>
      <c r="V99" s="11" t="n">
        <v>5.91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f aca="false">SUM(U99:Z99)</f>
        <v>5.91</v>
      </c>
      <c r="AB99" s="11" t="n">
        <v>0</v>
      </c>
      <c r="AC99" s="11" t="n">
        <v>1.564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f aca="false">SUM(AB99:AG99)</f>
        <v>1.564</v>
      </c>
    </row>
    <row r="100" customFormat="false" ht="15" hidden="false" customHeight="false" outlineLevel="2" collapsed="false">
      <c r="A100" s="8" t="s">
        <v>266</v>
      </c>
      <c r="B100" s="12" t="s">
        <v>267</v>
      </c>
      <c r="C100" s="8" t="s">
        <v>262</v>
      </c>
      <c r="D100" s="12" t="s">
        <v>263</v>
      </c>
      <c r="E100" s="16"/>
      <c r="F100" s="9" t="str">
        <f aca="false">IF($E100="","",IFERROR(INDEX(担当者マスタ!$B$2:$B$101,MATCH($E100,担当者マスタ!$A$2:$A$101,0)),"※マスタ未登録"))</f>
        <v/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f aca="false">SUM(G100:L100)</f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f aca="false">SUM(N100:S100)</f>
        <v>0</v>
      </c>
      <c r="U100" s="11" t="n">
        <v>0</v>
      </c>
      <c r="V100" s="11" t="n">
        <v>0</v>
      </c>
      <c r="W100" s="11" t="n">
        <v>250</v>
      </c>
      <c r="X100" s="11" t="n">
        <v>0</v>
      </c>
      <c r="Y100" s="11" t="n">
        <v>0</v>
      </c>
      <c r="Z100" s="11" t="n">
        <v>0</v>
      </c>
      <c r="AA100" s="11" t="n">
        <f aca="false">SUM(U100:Z100)</f>
        <v>250</v>
      </c>
      <c r="AB100" s="11" t="n">
        <v>0</v>
      </c>
      <c r="AC100" s="11" t="n">
        <v>0</v>
      </c>
      <c r="AD100" s="11" t="n">
        <v>63</v>
      </c>
      <c r="AE100" s="11" t="n">
        <v>0</v>
      </c>
      <c r="AF100" s="11" t="n">
        <v>0</v>
      </c>
      <c r="AG100" s="11" t="n">
        <v>0</v>
      </c>
      <c r="AH100" s="11" t="n">
        <f aca="false">SUM(AB100:AG100)</f>
        <v>63</v>
      </c>
    </row>
    <row r="101" customFormat="false" ht="15" hidden="false" customHeight="false" outlineLevel="2" collapsed="false">
      <c r="A101" s="8" t="s">
        <v>268</v>
      </c>
      <c r="B101" s="12" t="s">
        <v>269</v>
      </c>
      <c r="C101" s="8" t="s">
        <v>262</v>
      </c>
      <c r="D101" s="12" t="s">
        <v>263</v>
      </c>
      <c r="E101" s="16"/>
      <c r="F101" s="9" t="str">
        <f aca="false">IF($E101="","",IFERROR(INDEX(担当者マスタ!$B$2:$B$101,MATCH($E101,担当者マスタ!$A$2:$A$101,0)),"※マスタ未登録"))</f>
        <v/>
      </c>
      <c r="G101" s="11" t="n">
        <v>0</v>
      </c>
      <c r="H101" s="11" t="n">
        <v>68.22</v>
      </c>
      <c r="I101" s="11" t="n">
        <v>0</v>
      </c>
      <c r="J101" s="11" t="n">
        <v>38.4</v>
      </c>
      <c r="K101" s="11" t="n">
        <v>0</v>
      </c>
      <c r="L101" s="11" t="n">
        <v>0</v>
      </c>
      <c r="M101" s="11" t="n">
        <f aca="false">SUM(G101:L101)</f>
        <v>106.62</v>
      </c>
      <c r="N101" s="11" t="n">
        <v>0</v>
      </c>
      <c r="O101" s="11" t="n">
        <v>18.34</v>
      </c>
      <c r="P101" s="11" t="n">
        <v>0</v>
      </c>
      <c r="Q101" s="11" t="n">
        <v>14.24</v>
      </c>
      <c r="R101" s="11" t="n">
        <v>0</v>
      </c>
      <c r="S101" s="11" t="n">
        <v>0</v>
      </c>
      <c r="T101" s="11" t="n">
        <f aca="false">SUM(N101:S101)</f>
        <v>32.58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14.352</v>
      </c>
      <c r="Z101" s="11" t="n">
        <v>0</v>
      </c>
      <c r="AA101" s="11" t="n">
        <f aca="false">SUM(U101:Z101)</f>
        <v>14.352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6.864</v>
      </c>
      <c r="AG101" s="11" t="n">
        <v>0</v>
      </c>
      <c r="AH101" s="11" t="n">
        <f aca="false">SUM(AB101:AG101)</f>
        <v>6.864</v>
      </c>
    </row>
    <row r="102" customFormat="false" ht="15" hidden="false" customHeight="false" outlineLevel="2" collapsed="false">
      <c r="A102" s="8" t="s">
        <v>270</v>
      </c>
      <c r="B102" s="12" t="s">
        <v>271</v>
      </c>
      <c r="C102" s="8" t="s">
        <v>262</v>
      </c>
      <c r="D102" s="12" t="s">
        <v>263</v>
      </c>
      <c r="E102" s="16"/>
      <c r="F102" s="9" t="str">
        <f aca="false">IF($E102="","",IFERROR(INDEX(担当者マスタ!$B$2:$B$101,MATCH($E102,担当者マスタ!$A$2:$A$101,0)),"※マスタ未登録"))</f>
        <v/>
      </c>
      <c r="G102" s="11" t="n">
        <v>0</v>
      </c>
      <c r="H102" s="11" t="n">
        <v>0</v>
      </c>
      <c r="I102" s="11" t="n">
        <v>0</v>
      </c>
      <c r="J102" s="11" t="n">
        <v>25.6</v>
      </c>
      <c r="K102" s="11" t="n">
        <v>0</v>
      </c>
      <c r="L102" s="11" t="n">
        <v>0</v>
      </c>
      <c r="M102" s="11" t="n">
        <f aca="false">SUM(G102:L102)</f>
        <v>25.6</v>
      </c>
      <c r="N102" s="11" t="n">
        <v>0</v>
      </c>
      <c r="O102" s="11" t="n">
        <v>0</v>
      </c>
      <c r="P102" s="11" t="n">
        <v>0</v>
      </c>
      <c r="Q102" s="11" t="n">
        <v>6.4</v>
      </c>
      <c r="R102" s="11" t="n">
        <v>0</v>
      </c>
      <c r="S102" s="11" t="n">
        <v>0</v>
      </c>
      <c r="T102" s="11" t="n">
        <f aca="false">SUM(N102:S102)</f>
        <v>6.4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f aca="false">SUM(U102:Z102)</f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f aca="false">SUM(AB102:AG102)</f>
        <v>0</v>
      </c>
    </row>
    <row r="103" customFormat="false" ht="15" hidden="false" customHeight="false" outlineLevel="2" collapsed="false">
      <c r="A103" s="8" t="s">
        <v>272</v>
      </c>
      <c r="B103" s="12" t="s">
        <v>273</v>
      </c>
      <c r="C103" s="8" t="s">
        <v>262</v>
      </c>
      <c r="D103" s="12" t="s">
        <v>263</v>
      </c>
      <c r="E103" s="16"/>
      <c r="F103" s="9" t="str">
        <f aca="false">IF($E103="","",IFERROR(INDEX(担当者マスタ!$B$2:$B$101,MATCH($E103,担当者マスタ!$A$2:$A$101,0)),"※マスタ未登録"))</f>
        <v/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f aca="false">SUM(G103:L103)</f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f aca="false">SUM(N103:S103)</f>
        <v>0</v>
      </c>
      <c r="U103" s="11" t="n">
        <v>41.4</v>
      </c>
      <c r="V103" s="11" t="n">
        <v>27.48</v>
      </c>
      <c r="W103" s="11" t="n">
        <v>6.01</v>
      </c>
      <c r="X103" s="11" t="n">
        <v>192.357</v>
      </c>
      <c r="Y103" s="11" t="n">
        <v>0</v>
      </c>
      <c r="Z103" s="11" t="n">
        <v>16.8</v>
      </c>
      <c r="AA103" s="11" t="n">
        <f aca="false">SUM(U103:Z103)</f>
        <v>284.047</v>
      </c>
      <c r="AB103" s="11" t="n">
        <v>9.948</v>
      </c>
      <c r="AC103" s="11" t="n">
        <v>5.394</v>
      </c>
      <c r="AD103" s="11" t="n">
        <v>1.52</v>
      </c>
      <c r="AE103" s="11" t="n">
        <v>44.187</v>
      </c>
      <c r="AF103" s="11" t="n">
        <v>0</v>
      </c>
      <c r="AG103" s="11" t="n">
        <v>4.308</v>
      </c>
      <c r="AH103" s="11" t="n">
        <f aca="false">SUM(AB103:AG103)</f>
        <v>65.357</v>
      </c>
    </row>
    <row r="104" customFormat="false" ht="15" hidden="false" customHeight="false" outlineLevel="2" collapsed="false">
      <c r="A104" s="8" t="s">
        <v>274</v>
      </c>
      <c r="B104" s="12" t="s">
        <v>275</v>
      </c>
      <c r="C104" s="8" t="s">
        <v>262</v>
      </c>
      <c r="D104" s="12" t="s">
        <v>263</v>
      </c>
      <c r="E104" s="16"/>
      <c r="F104" s="9" t="str">
        <f aca="false">IF($E104="","",IFERROR(INDEX(担当者マスタ!$B$2:$B$101,MATCH($E104,担当者マスタ!$A$2:$A$101,0)),"※マスタ未登録"))</f>
        <v/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f aca="false">SUM(G104:L104)</f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f aca="false">SUM(N104:S104)</f>
        <v>0</v>
      </c>
      <c r="U104" s="11" t="n">
        <v>0</v>
      </c>
      <c r="V104" s="11" t="n">
        <v>18.85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f aca="false">SUM(U104:Z104)</f>
        <v>18.85</v>
      </c>
      <c r="AB104" s="11" t="n">
        <v>0</v>
      </c>
      <c r="AC104" s="11" t="n">
        <v>3.8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f aca="false">SUM(AB104:AG104)</f>
        <v>3.8</v>
      </c>
    </row>
    <row r="105" customFormat="false" ht="15" hidden="false" customHeight="false" outlineLevel="2" collapsed="false">
      <c r="A105" s="8" t="s">
        <v>276</v>
      </c>
      <c r="B105" s="12" t="s">
        <v>277</v>
      </c>
      <c r="C105" s="8" t="s">
        <v>262</v>
      </c>
      <c r="D105" s="12" t="s">
        <v>263</v>
      </c>
      <c r="E105" s="16"/>
      <c r="F105" s="9" t="str">
        <f aca="false">IF($E105="","",IFERROR(INDEX(担当者マスタ!$B$2:$B$101,MATCH($E105,担当者マスタ!$A$2:$A$101,0)),"※マスタ未登録"))</f>
        <v/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f aca="false">SUM(G105:L105)</f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f aca="false">SUM(N105:S105)</f>
        <v>0</v>
      </c>
      <c r="U105" s="11" t="n">
        <v>680.367</v>
      </c>
      <c r="V105" s="11" t="n">
        <v>111.7</v>
      </c>
      <c r="W105" s="11" t="n">
        <v>7</v>
      </c>
      <c r="X105" s="11" t="n">
        <v>0</v>
      </c>
      <c r="Y105" s="11" t="n">
        <v>28.312</v>
      </c>
      <c r="Z105" s="11" t="n">
        <v>3.05</v>
      </c>
      <c r="AA105" s="11" t="n">
        <f aca="false">SUM(U105:Z105)</f>
        <v>830.429</v>
      </c>
      <c r="AB105" s="11" t="n">
        <v>163.205</v>
      </c>
      <c r="AC105" s="11" t="n">
        <v>30.33</v>
      </c>
      <c r="AD105" s="11" t="n">
        <v>2.3</v>
      </c>
      <c r="AE105" s="11" t="n">
        <v>0</v>
      </c>
      <c r="AF105" s="11" t="n">
        <v>5.328</v>
      </c>
      <c r="AG105" s="11" t="n">
        <v>0.45</v>
      </c>
      <c r="AH105" s="11" t="n">
        <f aca="false">SUM(AB105:AG105)</f>
        <v>201.613</v>
      </c>
    </row>
    <row r="106" customFormat="false" ht="15" hidden="false" customHeight="false" outlineLevel="2" collapsed="false">
      <c r="A106" s="8" t="s">
        <v>278</v>
      </c>
      <c r="B106" s="12" t="s">
        <v>279</v>
      </c>
      <c r="C106" s="8" t="s">
        <v>262</v>
      </c>
      <c r="D106" s="12" t="s">
        <v>263</v>
      </c>
      <c r="E106" s="16"/>
      <c r="F106" s="9" t="str">
        <f aca="false">IF($E106="","",IFERROR(INDEX(担当者マスタ!$B$2:$B$101,MATCH($E106,担当者マスタ!$A$2:$A$101,0)),"※マスタ未登録"))</f>
        <v/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f aca="false">SUM(G106:L106)</f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f aca="false">SUM(N106:S106)</f>
        <v>0</v>
      </c>
      <c r="U106" s="11" t="n">
        <v>0</v>
      </c>
      <c r="V106" s="11" t="n">
        <v>17.28</v>
      </c>
      <c r="W106" s="11" t="n">
        <v>65.27</v>
      </c>
      <c r="X106" s="11" t="n">
        <v>1.94</v>
      </c>
      <c r="Y106" s="11" t="n">
        <v>7.7</v>
      </c>
      <c r="Z106" s="11" t="n">
        <v>10.78</v>
      </c>
      <c r="AA106" s="11" t="n">
        <f aca="false">SUM(U106:Z106)</f>
        <v>102.97</v>
      </c>
      <c r="AB106" s="11" t="n">
        <v>0</v>
      </c>
      <c r="AC106" s="11" t="n">
        <v>4.03</v>
      </c>
      <c r="AD106" s="11" t="n">
        <v>17.92</v>
      </c>
      <c r="AE106" s="11" t="n">
        <v>0.428</v>
      </c>
      <c r="AF106" s="11" t="n">
        <v>2.334</v>
      </c>
      <c r="AG106" s="11" t="n">
        <v>2.35</v>
      </c>
      <c r="AH106" s="11" t="n">
        <f aca="false">SUM(AB106:AG106)</f>
        <v>27.062</v>
      </c>
    </row>
    <row r="107" customFormat="false" ht="15" hidden="false" customHeight="false" outlineLevel="2" collapsed="false">
      <c r="A107" s="8" t="s">
        <v>280</v>
      </c>
      <c r="B107" s="12" t="s">
        <v>281</v>
      </c>
      <c r="C107" s="8" t="s">
        <v>262</v>
      </c>
      <c r="D107" s="12" t="s">
        <v>263</v>
      </c>
      <c r="E107" s="16"/>
      <c r="F107" s="9" t="str">
        <f aca="false">IF($E107="","",IFERROR(INDEX(担当者マスタ!$B$2:$B$101,MATCH($E107,担当者マスタ!$A$2:$A$101,0)),"※マスタ未登録"))</f>
        <v/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f aca="false">SUM(G107:L107)</f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f aca="false">SUM(N107:S107)</f>
        <v>0</v>
      </c>
      <c r="U107" s="11" t="n">
        <v>8.022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f aca="false">SUM(U107:Z107)</f>
        <v>8.022</v>
      </c>
      <c r="AB107" s="11" t="n">
        <v>1.578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f aca="false">SUM(AB107:AG107)</f>
        <v>1.578</v>
      </c>
    </row>
    <row r="108" customFormat="false" ht="15" hidden="false" customHeight="false" outlineLevel="2" collapsed="false">
      <c r="A108" s="8" t="s">
        <v>282</v>
      </c>
      <c r="B108" s="12" t="s">
        <v>283</v>
      </c>
      <c r="C108" s="8" t="s">
        <v>262</v>
      </c>
      <c r="D108" s="12" t="s">
        <v>263</v>
      </c>
      <c r="E108" s="16"/>
      <c r="F108" s="9" t="str">
        <f aca="false">IF($E108="","",IFERROR(INDEX(担当者マスタ!$B$2:$B$101,MATCH($E108,担当者マスタ!$A$2:$A$101,0)),"※マスタ未登録"))</f>
        <v/>
      </c>
      <c r="G108" s="11" t="n">
        <v>686.719</v>
      </c>
      <c r="H108" s="11" t="n">
        <v>902.871</v>
      </c>
      <c r="I108" s="11" t="n">
        <v>1069.355</v>
      </c>
      <c r="J108" s="11" t="n">
        <v>1018.71</v>
      </c>
      <c r="K108" s="11" t="n">
        <v>1325.287</v>
      </c>
      <c r="L108" s="11" t="n">
        <v>-63.3</v>
      </c>
      <c r="M108" s="11" t="n">
        <f aca="false">SUM(G108:L108)</f>
        <v>4939.642</v>
      </c>
      <c r="N108" s="11" t="n">
        <v>266.441</v>
      </c>
      <c r="O108" s="11" t="n">
        <v>395.355</v>
      </c>
      <c r="P108" s="11" t="n">
        <v>420.457</v>
      </c>
      <c r="Q108" s="11" t="n">
        <v>385.416</v>
      </c>
      <c r="R108" s="11" t="n">
        <v>561.058</v>
      </c>
      <c r="S108" s="11" t="n">
        <v>4.566</v>
      </c>
      <c r="T108" s="11" t="n">
        <f aca="false">SUM(N108:S108)</f>
        <v>2033.293</v>
      </c>
      <c r="U108" s="11" t="n">
        <v>1553.081</v>
      </c>
      <c r="V108" s="11" t="n">
        <v>825.104</v>
      </c>
      <c r="W108" s="11" t="n">
        <v>1300.432</v>
      </c>
      <c r="X108" s="11" t="n">
        <v>233.679</v>
      </c>
      <c r="Y108" s="11" t="n">
        <v>267.733</v>
      </c>
      <c r="Z108" s="11" t="n">
        <v>123.338</v>
      </c>
      <c r="AA108" s="11" t="n">
        <f aca="false">SUM(U108:Z108)</f>
        <v>4303.367</v>
      </c>
      <c r="AB108" s="11" t="n">
        <v>531.448</v>
      </c>
      <c r="AC108" s="11" t="n">
        <v>330.627</v>
      </c>
      <c r="AD108" s="11" t="n">
        <v>514.17</v>
      </c>
      <c r="AE108" s="11" t="n">
        <v>90.192</v>
      </c>
      <c r="AF108" s="11" t="n">
        <v>141.921</v>
      </c>
      <c r="AG108" s="11" t="n">
        <v>38.042</v>
      </c>
      <c r="AH108" s="11" t="n">
        <f aca="false">SUM(AB108:AG108)</f>
        <v>1646.4</v>
      </c>
    </row>
    <row r="109" customFormat="false" ht="15" hidden="false" customHeight="false" outlineLevel="2" collapsed="false">
      <c r="A109" s="8" t="s">
        <v>284</v>
      </c>
      <c r="B109" s="12" t="s">
        <v>285</v>
      </c>
      <c r="C109" s="8" t="s">
        <v>262</v>
      </c>
      <c r="D109" s="12" t="s">
        <v>263</v>
      </c>
      <c r="E109" s="16"/>
      <c r="F109" s="9" t="str">
        <f aca="false">IF($E109="","",IFERROR(INDEX(担当者マスタ!$B$2:$B$101,MATCH($E109,担当者マスタ!$A$2:$A$101,0)),"※マスタ未登録"))</f>
        <v/>
      </c>
      <c r="G109" s="11" t="n">
        <v>89.984</v>
      </c>
      <c r="H109" s="11" t="n">
        <v>14.19</v>
      </c>
      <c r="I109" s="11" t="n">
        <v>26.163</v>
      </c>
      <c r="J109" s="11" t="n">
        <v>61.994</v>
      </c>
      <c r="K109" s="11" t="n">
        <v>0</v>
      </c>
      <c r="L109" s="11" t="n">
        <v>5.31</v>
      </c>
      <c r="M109" s="11" t="n">
        <f aca="false">SUM(G109:L109)</f>
        <v>197.641</v>
      </c>
      <c r="N109" s="11" t="n">
        <v>48.294</v>
      </c>
      <c r="O109" s="11" t="n">
        <v>8.17</v>
      </c>
      <c r="P109" s="11" t="n">
        <v>11.844</v>
      </c>
      <c r="Q109" s="11" t="n">
        <v>30.827</v>
      </c>
      <c r="R109" s="11" t="n">
        <v>0</v>
      </c>
      <c r="S109" s="11" t="n">
        <v>2.785</v>
      </c>
      <c r="T109" s="11" t="n">
        <f aca="false">SUM(N109:S109)</f>
        <v>101.92</v>
      </c>
      <c r="U109" s="11" t="n">
        <v>8.77</v>
      </c>
      <c r="V109" s="11" t="n">
        <v>70.354</v>
      </c>
      <c r="W109" s="11" t="n">
        <v>40.31</v>
      </c>
      <c r="X109" s="11" t="n">
        <v>8.465</v>
      </c>
      <c r="Y109" s="11" t="n">
        <v>0</v>
      </c>
      <c r="Z109" s="11" t="n">
        <v>63.474</v>
      </c>
      <c r="AA109" s="11" t="n">
        <f aca="false">SUM(U109:Z109)</f>
        <v>191.373</v>
      </c>
      <c r="AB109" s="11" t="n">
        <v>4.415</v>
      </c>
      <c r="AC109" s="11" t="n">
        <v>34.586</v>
      </c>
      <c r="AD109" s="11" t="n">
        <v>18.592</v>
      </c>
      <c r="AE109" s="11" t="n">
        <v>4.27</v>
      </c>
      <c r="AF109" s="11" t="n">
        <v>0</v>
      </c>
      <c r="AG109" s="11" t="n">
        <v>31.161</v>
      </c>
      <c r="AH109" s="11" t="n">
        <f aca="false">SUM(AB109:AG109)</f>
        <v>93.024</v>
      </c>
    </row>
    <row r="110" customFormat="false" ht="15" hidden="false" customHeight="false" outlineLevel="2" collapsed="false">
      <c r="A110" s="8" t="s">
        <v>286</v>
      </c>
      <c r="B110" s="12" t="s">
        <v>287</v>
      </c>
      <c r="C110" s="8" t="s">
        <v>262</v>
      </c>
      <c r="D110" s="12" t="s">
        <v>263</v>
      </c>
      <c r="E110" s="16"/>
      <c r="F110" s="9" t="str">
        <f aca="false">IF($E110="","",IFERROR(INDEX(担当者マスタ!$B$2:$B$101,MATCH($E110,担当者マスタ!$A$2:$A$101,0)),"※マスタ未登録"))</f>
        <v/>
      </c>
      <c r="G110" s="11" t="n">
        <v>0</v>
      </c>
      <c r="H110" s="11" t="n">
        <v>127.5</v>
      </c>
      <c r="I110" s="11" t="n">
        <v>250.6</v>
      </c>
      <c r="J110" s="11" t="n">
        <v>0</v>
      </c>
      <c r="K110" s="11" t="n">
        <v>0</v>
      </c>
      <c r="L110" s="11" t="n">
        <v>0</v>
      </c>
      <c r="M110" s="11" t="n">
        <f aca="false">SUM(G110:L110)</f>
        <v>378.1</v>
      </c>
      <c r="N110" s="11" t="n">
        <v>0</v>
      </c>
      <c r="O110" s="11" t="n">
        <v>25.2</v>
      </c>
      <c r="P110" s="11" t="n">
        <v>95.84</v>
      </c>
      <c r="Q110" s="11" t="n">
        <v>0</v>
      </c>
      <c r="R110" s="11" t="n">
        <v>0</v>
      </c>
      <c r="S110" s="11" t="n">
        <v>0</v>
      </c>
      <c r="T110" s="11" t="n">
        <f aca="false">SUM(N110:S110)</f>
        <v>121.04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f aca="false">SUM(U110:Z110)</f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f aca="false">SUM(AB110:AG110)</f>
        <v>0</v>
      </c>
    </row>
    <row r="111" customFormat="false" ht="15" hidden="false" customHeight="false" outlineLevel="2" collapsed="false">
      <c r="A111" s="8" t="s">
        <v>288</v>
      </c>
      <c r="B111" s="12" t="s">
        <v>289</v>
      </c>
      <c r="C111" s="8" t="s">
        <v>262</v>
      </c>
      <c r="D111" s="12" t="s">
        <v>263</v>
      </c>
      <c r="E111" s="16"/>
      <c r="F111" s="9" t="str">
        <f aca="false">IF($E111="","",IFERROR(INDEX(担当者マスタ!$B$2:$B$101,MATCH($E111,担当者マスタ!$A$2:$A$101,0)),"※マスタ未登録"))</f>
        <v/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f aca="false">SUM(G111:L111)</f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f aca="false">SUM(N111:S111)</f>
        <v>0</v>
      </c>
      <c r="U111" s="11" t="n">
        <v>0</v>
      </c>
      <c r="V111" s="11" t="n">
        <v>25.008</v>
      </c>
      <c r="W111" s="11" t="n">
        <v>33.2</v>
      </c>
      <c r="X111" s="11" t="n">
        <v>0</v>
      </c>
      <c r="Y111" s="11" t="n">
        <v>0</v>
      </c>
      <c r="Z111" s="11" t="n">
        <v>0</v>
      </c>
      <c r="AA111" s="11" t="n">
        <f aca="false">SUM(U111:Z111)</f>
        <v>58.208</v>
      </c>
      <c r="AB111" s="11" t="n">
        <v>0</v>
      </c>
      <c r="AC111" s="11" t="n">
        <v>4.548</v>
      </c>
      <c r="AD111" s="11" t="n">
        <v>6.7</v>
      </c>
      <c r="AE111" s="11" t="n">
        <v>0</v>
      </c>
      <c r="AF111" s="11" t="n">
        <v>0</v>
      </c>
      <c r="AG111" s="11" t="n">
        <v>0</v>
      </c>
      <c r="AH111" s="11" t="n">
        <f aca="false">SUM(AB111:AG111)</f>
        <v>11.248</v>
      </c>
    </row>
    <row r="112" customFormat="false" ht="15" hidden="false" customHeight="false" outlineLevel="2" collapsed="false">
      <c r="A112" s="8" t="s">
        <v>290</v>
      </c>
      <c r="B112" s="12" t="s">
        <v>291</v>
      </c>
      <c r="C112" s="8" t="s">
        <v>262</v>
      </c>
      <c r="D112" s="12" t="s">
        <v>263</v>
      </c>
      <c r="E112" s="16"/>
      <c r="F112" s="9" t="str">
        <f aca="false">IF($E112="","",IFERROR(INDEX(担当者マスタ!$B$2:$B$101,MATCH($E112,担当者マスタ!$A$2:$A$101,0)),"※マスタ未登録"))</f>
        <v/>
      </c>
      <c r="G112" s="11" t="n">
        <v>0</v>
      </c>
      <c r="H112" s="11" t="n">
        <v>27.6</v>
      </c>
      <c r="I112" s="11" t="n">
        <v>8.96</v>
      </c>
      <c r="J112" s="11" t="n">
        <v>8.96</v>
      </c>
      <c r="K112" s="11" t="n">
        <v>10.302</v>
      </c>
      <c r="L112" s="11" t="n">
        <v>0</v>
      </c>
      <c r="M112" s="11" t="n">
        <f aca="false">SUM(G112:L112)</f>
        <v>55.822</v>
      </c>
      <c r="N112" s="11" t="n">
        <v>0</v>
      </c>
      <c r="O112" s="11" t="n">
        <v>5.46</v>
      </c>
      <c r="P112" s="11" t="n">
        <v>2.83</v>
      </c>
      <c r="Q112" s="11" t="n">
        <v>2.83</v>
      </c>
      <c r="R112" s="11" t="n">
        <v>3.12</v>
      </c>
      <c r="S112" s="11" t="n">
        <v>0</v>
      </c>
      <c r="T112" s="11" t="n">
        <f aca="false">SUM(N112:S112)</f>
        <v>14.24</v>
      </c>
      <c r="U112" s="11" t="n">
        <v>0</v>
      </c>
      <c r="V112" s="11" t="n">
        <v>0</v>
      </c>
      <c r="W112" s="11" t="n">
        <v>0</v>
      </c>
      <c r="X112" s="11" t="n">
        <v>15.3</v>
      </c>
      <c r="Y112" s="11" t="n">
        <v>0</v>
      </c>
      <c r="Z112" s="11" t="n">
        <v>0</v>
      </c>
      <c r="AA112" s="11" t="n">
        <f aca="false">SUM(U112:Z112)</f>
        <v>15.3</v>
      </c>
      <c r="AB112" s="11" t="n">
        <v>0</v>
      </c>
      <c r="AC112" s="11" t="n">
        <v>0</v>
      </c>
      <c r="AD112" s="11" t="n">
        <v>0</v>
      </c>
      <c r="AE112" s="11" t="n">
        <v>4</v>
      </c>
      <c r="AF112" s="11" t="n">
        <v>0</v>
      </c>
      <c r="AG112" s="11" t="n">
        <v>0</v>
      </c>
      <c r="AH112" s="11" t="n">
        <f aca="false">SUM(AB112:AG112)</f>
        <v>4</v>
      </c>
    </row>
    <row r="113" customFormat="false" ht="15" hidden="false" customHeight="false" outlineLevel="2" collapsed="false">
      <c r="A113" s="8" t="s">
        <v>292</v>
      </c>
      <c r="B113" s="12" t="s">
        <v>293</v>
      </c>
      <c r="C113" s="8" t="s">
        <v>262</v>
      </c>
      <c r="D113" s="12" t="s">
        <v>263</v>
      </c>
      <c r="E113" s="16"/>
      <c r="F113" s="9" t="str">
        <f aca="false">IF($E113="","",IFERROR(INDEX(担当者マスタ!$B$2:$B$101,MATCH($E113,担当者マスタ!$A$2:$A$101,0)),"※マスタ未登録"))</f>
        <v/>
      </c>
      <c r="G113" s="11" t="n">
        <v>51.936</v>
      </c>
      <c r="H113" s="11" t="n">
        <v>51.936</v>
      </c>
      <c r="I113" s="11" t="n">
        <v>39.59</v>
      </c>
      <c r="J113" s="11" t="n">
        <v>63.9</v>
      </c>
      <c r="K113" s="11" t="n">
        <v>82.673</v>
      </c>
      <c r="L113" s="11" t="n">
        <v>166.216</v>
      </c>
      <c r="M113" s="11" t="n">
        <f aca="false">SUM(G113:L113)</f>
        <v>456.251</v>
      </c>
      <c r="N113" s="11" t="n">
        <v>25.344</v>
      </c>
      <c r="O113" s="11" t="n">
        <v>25.344</v>
      </c>
      <c r="P113" s="11" t="n">
        <v>18.456</v>
      </c>
      <c r="Q113" s="11" t="n">
        <v>29.538</v>
      </c>
      <c r="R113" s="11" t="n">
        <v>38.031</v>
      </c>
      <c r="S113" s="11" t="n">
        <v>44.889</v>
      </c>
      <c r="T113" s="11" t="n">
        <f aca="false">SUM(N113:S113)</f>
        <v>181.602</v>
      </c>
      <c r="U113" s="11" t="n">
        <v>290</v>
      </c>
      <c r="V113" s="11" t="n">
        <v>348.09</v>
      </c>
      <c r="W113" s="11" t="n">
        <v>144.091</v>
      </c>
      <c r="X113" s="11" t="n">
        <v>161.856</v>
      </c>
      <c r="Y113" s="11" t="n">
        <v>0</v>
      </c>
      <c r="Z113" s="11" t="n">
        <v>322.898</v>
      </c>
      <c r="AA113" s="11" t="n">
        <f aca="false">SUM(U113:Z113)</f>
        <v>1266.935</v>
      </c>
      <c r="AB113" s="11" t="n">
        <v>75.956</v>
      </c>
      <c r="AC113" s="11" t="n">
        <v>63.82</v>
      </c>
      <c r="AD113" s="11" t="n">
        <v>33.815</v>
      </c>
      <c r="AE113" s="11" t="n">
        <v>39.204</v>
      </c>
      <c r="AF113" s="11" t="n">
        <v>0</v>
      </c>
      <c r="AG113" s="11" t="n">
        <v>96.69</v>
      </c>
      <c r="AH113" s="11" t="n">
        <f aca="false">SUM(AB113:AG113)</f>
        <v>309.485</v>
      </c>
    </row>
    <row r="114" customFormat="false" ht="15" hidden="false" customHeight="false" outlineLevel="2" collapsed="false">
      <c r="A114" s="8" t="s">
        <v>294</v>
      </c>
      <c r="B114" s="12" t="s">
        <v>295</v>
      </c>
      <c r="C114" s="8" t="s">
        <v>262</v>
      </c>
      <c r="D114" s="12" t="s">
        <v>263</v>
      </c>
      <c r="E114" s="16"/>
      <c r="F114" s="9" t="str">
        <f aca="false">IF($E114="","",IFERROR(INDEX(担当者マスタ!$B$2:$B$101,MATCH($E114,担当者マスタ!$A$2:$A$101,0)),"※マスタ未登録"))</f>
        <v/>
      </c>
      <c r="G114" s="11" t="n">
        <v>0</v>
      </c>
      <c r="H114" s="11" t="n">
        <v>0</v>
      </c>
      <c r="I114" s="11" t="n">
        <v>137.7</v>
      </c>
      <c r="J114" s="11" t="n">
        <v>61.82</v>
      </c>
      <c r="K114" s="11" t="n">
        <v>0</v>
      </c>
      <c r="L114" s="11" t="n">
        <v>0</v>
      </c>
      <c r="M114" s="11" t="n">
        <f aca="false">SUM(G114:L114)</f>
        <v>199.52</v>
      </c>
      <c r="N114" s="11" t="n">
        <v>0</v>
      </c>
      <c r="O114" s="11" t="n">
        <v>0</v>
      </c>
      <c r="P114" s="11" t="n">
        <v>61.32</v>
      </c>
      <c r="Q114" s="11" t="n">
        <v>27.88</v>
      </c>
      <c r="R114" s="11" t="n">
        <v>0</v>
      </c>
      <c r="S114" s="11" t="n">
        <v>0</v>
      </c>
      <c r="T114" s="11" t="n">
        <f aca="false">SUM(N114:S114)</f>
        <v>89.2</v>
      </c>
      <c r="U114" s="11" t="n">
        <v>0</v>
      </c>
      <c r="V114" s="11" t="n">
        <v>61.82</v>
      </c>
      <c r="W114" s="11" t="n">
        <v>123.64</v>
      </c>
      <c r="X114" s="11" t="n">
        <v>0</v>
      </c>
      <c r="Y114" s="11" t="n">
        <v>85.82</v>
      </c>
      <c r="Z114" s="11" t="n">
        <v>0</v>
      </c>
      <c r="AA114" s="11" t="n">
        <f aca="false">SUM(U114:Z114)</f>
        <v>271.28</v>
      </c>
      <c r="AB114" s="11" t="n">
        <v>0</v>
      </c>
      <c r="AC114" s="11" t="n">
        <v>27.88</v>
      </c>
      <c r="AD114" s="11" t="n">
        <v>55.76</v>
      </c>
      <c r="AE114" s="11" t="n">
        <v>0</v>
      </c>
      <c r="AF114" s="11" t="n">
        <v>37.88</v>
      </c>
      <c r="AG114" s="11" t="n">
        <v>0</v>
      </c>
      <c r="AH114" s="11" t="n">
        <f aca="false">SUM(AB114:AG114)</f>
        <v>121.52</v>
      </c>
    </row>
    <row r="115" customFormat="false" ht="15" hidden="false" customHeight="false" outlineLevel="2" collapsed="false">
      <c r="A115" s="8" t="s">
        <v>296</v>
      </c>
      <c r="B115" s="12" t="s">
        <v>297</v>
      </c>
      <c r="C115" s="8" t="s">
        <v>262</v>
      </c>
      <c r="D115" s="12" t="s">
        <v>263</v>
      </c>
      <c r="E115" s="16"/>
      <c r="F115" s="9" t="str">
        <f aca="false">IF($E115="","",IFERROR(INDEX(担当者マスタ!$B$2:$B$101,MATCH($E115,担当者マスタ!$A$2:$A$101,0)),"※マスタ未登録"))</f>
        <v/>
      </c>
      <c r="G115" s="11" t="n">
        <v>2.129</v>
      </c>
      <c r="H115" s="11" t="n">
        <v>10.727</v>
      </c>
      <c r="I115" s="11" t="n">
        <v>33.77</v>
      </c>
      <c r="J115" s="11" t="n">
        <v>31.927</v>
      </c>
      <c r="K115" s="11" t="n">
        <v>1.307</v>
      </c>
      <c r="L115" s="11" t="n">
        <v>29.338</v>
      </c>
      <c r="M115" s="11" t="n">
        <f aca="false">SUM(G115:L115)</f>
        <v>109.198</v>
      </c>
      <c r="N115" s="11" t="n">
        <v>0.569</v>
      </c>
      <c r="O115" s="11" t="n">
        <v>4.634</v>
      </c>
      <c r="P115" s="11" t="n">
        <v>13.859</v>
      </c>
      <c r="Q115" s="11" t="n">
        <v>12.162</v>
      </c>
      <c r="R115" s="11" t="n">
        <v>0.611</v>
      </c>
      <c r="S115" s="11" t="n">
        <v>11.905</v>
      </c>
      <c r="T115" s="11" t="n">
        <f aca="false">SUM(N115:S115)</f>
        <v>43.74</v>
      </c>
      <c r="U115" s="11" t="n">
        <v>11.666</v>
      </c>
      <c r="V115" s="11" t="n">
        <v>4.348</v>
      </c>
      <c r="W115" s="11" t="n">
        <v>45.875</v>
      </c>
      <c r="X115" s="11" t="n">
        <v>14.359</v>
      </c>
      <c r="Y115" s="11" t="n">
        <v>15.576</v>
      </c>
      <c r="Z115" s="11" t="n">
        <v>6.987</v>
      </c>
      <c r="AA115" s="11" t="n">
        <f aca="false">SUM(U115:Z115)</f>
        <v>98.811</v>
      </c>
      <c r="AB115" s="11" t="n">
        <v>5.855</v>
      </c>
      <c r="AC115" s="11" t="n">
        <v>1.527</v>
      </c>
      <c r="AD115" s="11" t="n">
        <v>15.563</v>
      </c>
      <c r="AE115" s="11" t="n">
        <v>5.156</v>
      </c>
      <c r="AF115" s="11" t="n">
        <v>6.379</v>
      </c>
      <c r="AG115" s="11" t="n">
        <v>2.918</v>
      </c>
      <c r="AH115" s="11" t="n">
        <f aca="false">SUM(AB115:AG115)</f>
        <v>37.398</v>
      </c>
    </row>
    <row r="116" customFormat="false" ht="15" hidden="false" customHeight="false" outlineLevel="2" collapsed="false">
      <c r="A116" s="8" t="s">
        <v>298</v>
      </c>
      <c r="B116" s="12" t="s">
        <v>299</v>
      </c>
      <c r="C116" s="8" t="s">
        <v>262</v>
      </c>
      <c r="D116" s="12" t="s">
        <v>263</v>
      </c>
      <c r="E116" s="16"/>
      <c r="F116" s="9" t="str">
        <f aca="false">IF($E116="","",IFERROR(INDEX(担当者マスタ!$B$2:$B$101,MATCH($E116,担当者マスタ!$A$2:$A$101,0)),"※マスタ未登録"))</f>
        <v/>
      </c>
      <c r="G116" s="11" t="n">
        <v>0</v>
      </c>
      <c r="H116" s="11" t="n">
        <v>82.5</v>
      </c>
      <c r="I116" s="11" t="n">
        <v>0</v>
      </c>
      <c r="J116" s="11" t="n">
        <v>0</v>
      </c>
      <c r="K116" s="11" t="n">
        <v>138.3</v>
      </c>
      <c r="L116" s="11" t="n">
        <v>0</v>
      </c>
      <c r="M116" s="11" t="n">
        <f aca="false">SUM(G116:L116)</f>
        <v>220.8</v>
      </c>
      <c r="N116" s="11" t="n">
        <v>0</v>
      </c>
      <c r="O116" s="11" t="n">
        <v>15</v>
      </c>
      <c r="P116" s="11" t="n">
        <v>0</v>
      </c>
      <c r="Q116" s="11" t="n">
        <v>0</v>
      </c>
      <c r="R116" s="11" t="n">
        <v>24.3</v>
      </c>
      <c r="S116" s="11" t="n">
        <v>0</v>
      </c>
      <c r="T116" s="11" t="n">
        <f aca="false">SUM(N116:S116)</f>
        <v>39.3</v>
      </c>
      <c r="U116" s="11" t="n">
        <v>0</v>
      </c>
      <c r="V116" s="11" t="n">
        <v>35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f aca="false">SUM(U116:Z116)</f>
        <v>35</v>
      </c>
      <c r="AB116" s="11" t="n">
        <v>0</v>
      </c>
      <c r="AC116" s="11" t="n">
        <v>9.1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f aca="false">SUM(AB116:AG116)</f>
        <v>9.1</v>
      </c>
    </row>
    <row r="117" customFormat="false" ht="15" hidden="false" customHeight="false" outlineLevel="2" collapsed="false">
      <c r="A117" s="8" t="s">
        <v>300</v>
      </c>
      <c r="B117" s="9" t="s">
        <v>301</v>
      </c>
      <c r="C117" s="8" t="s">
        <v>262</v>
      </c>
      <c r="D117" s="12" t="s">
        <v>263</v>
      </c>
      <c r="E117" s="16"/>
      <c r="F117" s="9" t="str">
        <f aca="false">IF($E117="","",IFERROR(INDEX(担当者マスタ!$B$2:$B$101,MATCH($E117,担当者マスタ!$A$2:$A$101,0)),"※マスタ未登録"))</f>
        <v/>
      </c>
      <c r="G117" s="11" t="n">
        <v>1286.233</v>
      </c>
      <c r="H117" s="11" t="n">
        <v>1172.967</v>
      </c>
      <c r="I117" s="11" t="n">
        <v>1625.549</v>
      </c>
      <c r="J117" s="11" t="n">
        <v>915.607</v>
      </c>
      <c r="K117" s="11" t="n">
        <v>903.667</v>
      </c>
      <c r="L117" s="11" t="n">
        <v>1059.244</v>
      </c>
      <c r="M117" s="11" t="n">
        <f aca="false">SUM(G117:L117)</f>
        <v>6963.267</v>
      </c>
      <c r="N117" s="11" t="n">
        <v>613.769</v>
      </c>
      <c r="O117" s="11" t="n">
        <v>536.701</v>
      </c>
      <c r="P117" s="11" t="n">
        <v>762.106</v>
      </c>
      <c r="Q117" s="11" t="n">
        <v>423.219</v>
      </c>
      <c r="R117" s="11" t="n">
        <v>418.542</v>
      </c>
      <c r="S117" s="11" t="n">
        <v>500.46</v>
      </c>
      <c r="T117" s="11" t="n">
        <f aca="false">SUM(N117:S117)</f>
        <v>3254.797</v>
      </c>
      <c r="U117" s="11" t="n">
        <v>841.008</v>
      </c>
      <c r="V117" s="11" t="n">
        <v>616.261</v>
      </c>
      <c r="W117" s="11" t="n">
        <v>1340.37</v>
      </c>
      <c r="X117" s="11" t="n">
        <v>629.336</v>
      </c>
      <c r="Y117" s="11" t="n">
        <v>812.392</v>
      </c>
      <c r="Z117" s="11" t="n">
        <v>970.903</v>
      </c>
      <c r="AA117" s="11" t="n">
        <f aca="false">SUM(U117:Z117)</f>
        <v>5210.27</v>
      </c>
      <c r="AB117" s="11" t="n">
        <v>398.145</v>
      </c>
      <c r="AC117" s="11" t="n">
        <v>285.608</v>
      </c>
      <c r="AD117" s="11" t="n">
        <v>627.918</v>
      </c>
      <c r="AE117" s="11" t="n">
        <v>292.865</v>
      </c>
      <c r="AF117" s="11" t="n">
        <v>390.635</v>
      </c>
      <c r="AG117" s="11" t="n">
        <v>452.69</v>
      </c>
      <c r="AH117" s="11" t="n">
        <f aca="false">SUM(AB117:AG117)</f>
        <v>2447.861</v>
      </c>
    </row>
    <row r="118" customFormat="false" ht="15" hidden="false" customHeight="false" outlineLevel="2" collapsed="false">
      <c r="A118" s="8" t="s">
        <v>302</v>
      </c>
      <c r="B118" s="12" t="s">
        <v>303</v>
      </c>
      <c r="C118" s="8" t="s">
        <v>262</v>
      </c>
      <c r="D118" s="12" t="s">
        <v>263</v>
      </c>
      <c r="E118" s="16"/>
      <c r="F118" s="9" t="str">
        <f aca="false">IF($E118="","",IFERROR(INDEX(担当者マスタ!$B$2:$B$101,MATCH($E118,担当者マスタ!$A$2:$A$101,0)),"※マスタ未登録"))</f>
        <v/>
      </c>
      <c r="G118" s="11" t="n">
        <v>0</v>
      </c>
      <c r="H118" s="11" t="n">
        <v>0</v>
      </c>
      <c r="I118" s="11" t="n">
        <v>0</v>
      </c>
      <c r="J118" s="11" t="n">
        <v>42</v>
      </c>
      <c r="K118" s="11" t="n">
        <v>0</v>
      </c>
      <c r="L118" s="11" t="n">
        <v>0</v>
      </c>
      <c r="M118" s="11" t="n">
        <f aca="false">SUM(G118:L118)</f>
        <v>42</v>
      </c>
      <c r="N118" s="11" t="n">
        <v>0</v>
      </c>
      <c r="O118" s="11" t="n">
        <v>0</v>
      </c>
      <c r="P118" s="11" t="n">
        <v>0</v>
      </c>
      <c r="Q118" s="11" t="n">
        <v>10.032</v>
      </c>
      <c r="R118" s="11" t="n">
        <v>0</v>
      </c>
      <c r="S118" s="11" t="n">
        <v>0</v>
      </c>
      <c r="T118" s="11" t="n">
        <f aca="false">SUM(N118:S118)</f>
        <v>10.032</v>
      </c>
      <c r="U118" s="11" t="n">
        <v>0</v>
      </c>
      <c r="V118" s="11" t="n">
        <v>14</v>
      </c>
      <c r="W118" s="11" t="n">
        <v>0</v>
      </c>
      <c r="X118" s="11" t="n">
        <v>0</v>
      </c>
      <c r="Y118" s="11" t="n">
        <v>56</v>
      </c>
      <c r="Z118" s="11" t="n">
        <v>9.1</v>
      </c>
      <c r="AA118" s="11" t="n">
        <f aca="false">SUM(U118:Z118)</f>
        <v>79.1</v>
      </c>
      <c r="AB118" s="11" t="n">
        <v>0</v>
      </c>
      <c r="AC118" s="11" t="n">
        <v>3.344</v>
      </c>
      <c r="AD118" s="11" t="n">
        <v>0</v>
      </c>
      <c r="AE118" s="11" t="n">
        <v>0</v>
      </c>
      <c r="AF118" s="11" t="n">
        <v>13.376</v>
      </c>
      <c r="AG118" s="11" t="n">
        <v>2.04</v>
      </c>
      <c r="AH118" s="11" t="n">
        <f aca="false">SUM(AB118:AG118)</f>
        <v>18.76</v>
      </c>
    </row>
    <row r="119" customFormat="false" ht="15" hidden="false" customHeight="false" outlineLevel="2" collapsed="false">
      <c r="A119" s="8" t="s">
        <v>304</v>
      </c>
      <c r="B119" s="9" t="s">
        <v>305</v>
      </c>
      <c r="C119" s="8" t="s">
        <v>262</v>
      </c>
      <c r="D119" s="12" t="s">
        <v>263</v>
      </c>
      <c r="E119" s="16"/>
      <c r="F119" s="9" t="str">
        <f aca="false">IF($E119="","",IFERROR(INDEX(担当者マスタ!$B$2:$B$101,MATCH($E119,担当者マスタ!$A$2:$A$101,0)),"※マスタ未登録"))</f>
        <v/>
      </c>
      <c r="G119" s="11" t="n">
        <v>5.48</v>
      </c>
      <c r="H119" s="11" t="n">
        <v>5.48</v>
      </c>
      <c r="I119" s="11" t="n">
        <v>5.48</v>
      </c>
      <c r="J119" s="11" t="n">
        <v>0</v>
      </c>
      <c r="K119" s="11" t="n">
        <v>5.48</v>
      </c>
      <c r="L119" s="11" t="n">
        <v>5.48</v>
      </c>
      <c r="M119" s="11" t="n">
        <f aca="false">SUM(G119:L119)</f>
        <v>27.4</v>
      </c>
      <c r="N119" s="11" t="n">
        <v>1.96</v>
      </c>
      <c r="O119" s="11" t="n">
        <v>1.96</v>
      </c>
      <c r="P119" s="11" t="n">
        <v>1.96</v>
      </c>
      <c r="Q119" s="11" t="n">
        <v>0</v>
      </c>
      <c r="R119" s="11" t="n">
        <v>1.96</v>
      </c>
      <c r="S119" s="11" t="n">
        <v>1.96</v>
      </c>
      <c r="T119" s="11" t="n">
        <f aca="false">SUM(N119:S119)</f>
        <v>9.8</v>
      </c>
      <c r="U119" s="11" t="n">
        <v>5.92</v>
      </c>
      <c r="V119" s="11" t="n">
        <v>0</v>
      </c>
      <c r="W119" s="11" t="n">
        <v>5.92</v>
      </c>
      <c r="X119" s="11" t="n">
        <v>5.92</v>
      </c>
      <c r="Y119" s="11" t="n">
        <v>5.92</v>
      </c>
      <c r="Z119" s="11" t="n">
        <v>5.92</v>
      </c>
      <c r="AA119" s="11" t="n">
        <f aca="false">SUM(U119:Z119)</f>
        <v>29.6</v>
      </c>
      <c r="AB119" s="11" t="n">
        <v>2.32</v>
      </c>
      <c r="AC119" s="11" t="n">
        <v>0</v>
      </c>
      <c r="AD119" s="11" t="n">
        <v>2.32</v>
      </c>
      <c r="AE119" s="11" t="n">
        <v>2.32</v>
      </c>
      <c r="AF119" s="11" t="n">
        <v>2.32</v>
      </c>
      <c r="AG119" s="11" t="n">
        <v>2.32</v>
      </c>
      <c r="AH119" s="11" t="n">
        <f aca="false">SUM(AB119:AG119)</f>
        <v>11.6</v>
      </c>
    </row>
    <row r="120" customFormat="false" ht="15" hidden="false" customHeight="false" outlineLevel="2" collapsed="false">
      <c r="A120" s="8" t="s">
        <v>306</v>
      </c>
      <c r="B120" s="9" t="s">
        <v>307</v>
      </c>
      <c r="C120" s="8" t="s">
        <v>262</v>
      </c>
      <c r="D120" s="12" t="s">
        <v>263</v>
      </c>
      <c r="E120" s="16"/>
      <c r="F120" s="9" t="str">
        <f aca="false">IF($E120="","",IFERROR(INDEX(担当者マスタ!$B$2:$B$101,MATCH($E120,担当者マスタ!$A$2:$A$101,0)),"※マスタ未登録"))</f>
        <v/>
      </c>
      <c r="G120" s="11" t="n">
        <v>0</v>
      </c>
      <c r="H120" s="11" t="n">
        <v>49.1</v>
      </c>
      <c r="I120" s="11" t="n">
        <v>657.66</v>
      </c>
      <c r="J120" s="11" t="n">
        <v>184.5</v>
      </c>
      <c r="K120" s="11" t="n">
        <v>0</v>
      </c>
      <c r="L120" s="11" t="n">
        <v>0</v>
      </c>
      <c r="M120" s="11" t="n">
        <f aca="false">SUM(G120:L120)</f>
        <v>891.26</v>
      </c>
      <c r="N120" s="11" t="n">
        <v>0</v>
      </c>
      <c r="O120" s="11" t="n">
        <v>6.8</v>
      </c>
      <c r="P120" s="11" t="n">
        <v>192.17</v>
      </c>
      <c r="Q120" s="11" t="n">
        <v>29.175</v>
      </c>
      <c r="R120" s="11" t="n">
        <v>0</v>
      </c>
      <c r="S120" s="11" t="n">
        <v>0</v>
      </c>
      <c r="T120" s="11" t="n">
        <f aca="false">SUM(N120:S120)</f>
        <v>228.145</v>
      </c>
      <c r="U120" s="11" t="n">
        <v>501.49</v>
      </c>
      <c r="V120" s="11" t="n">
        <v>20</v>
      </c>
      <c r="W120" s="11" t="n">
        <v>0</v>
      </c>
      <c r="X120" s="11" t="n">
        <v>1</v>
      </c>
      <c r="Y120" s="11" t="n">
        <v>554.295</v>
      </c>
      <c r="Z120" s="11" t="n">
        <v>36.06</v>
      </c>
      <c r="AA120" s="11" t="n">
        <f aca="false">SUM(U120:Z120)</f>
        <v>1112.845</v>
      </c>
      <c r="AB120" s="11" t="n">
        <v>85.241</v>
      </c>
      <c r="AC120" s="11" t="n">
        <v>4.825</v>
      </c>
      <c r="AD120" s="11" t="n">
        <v>0</v>
      </c>
      <c r="AE120" s="11" t="n">
        <v>0.21</v>
      </c>
      <c r="AF120" s="11" t="n">
        <v>108.99</v>
      </c>
      <c r="AG120" s="11" t="n">
        <v>8.28</v>
      </c>
      <c r="AH120" s="11" t="n">
        <f aca="false">SUM(AB120:AG120)</f>
        <v>207.546</v>
      </c>
    </row>
    <row r="121" customFormat="false" ht="15" hidden="false" customHeight="false" outlineLevel="2" collapsed="false">
      <c r="A121" s="8" t="s">
        <v>308</v>
      </c>
      <c r="B121" s="9" t="s">
        <v>309</v>
      </c>
      <c r="C121" s="8" t="s">
        <v>262</v>
      </c>
      <c r="D121" s="12" t="s">
        <v>263</v>
      </c>
      <c r="E121" s="16"/>
      <c r="F121" s="9" t="str">
        <f aca="false">IF($E121="","",IFERROR(INDEX(担当者マスタ!$B$2:$B$101,MATCH($E121,担当者マスタ!$A$2:$A$101,0)),"※マスタ未登録"))</f>
        <v/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17.3</v>
      </c>
      <c r="L121" s="11" t="n">
        <v>0</v>
      </c>
      <c r="M121" s="11" t="n">
        <f aca="false">SUM(G121:L121)</f>
        <v>17.3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4.1</v>
      </c>
      <c r="S121" s="11" t="n">
        <v>0</v>
      </c>
      <c r="T121" s="11" t="n">
        <f aca="false">SUM(N121:S121)</f>
        <v>4.1</v>
      </c>
      <c r="U121" s="11" t="n">
        <v>23.8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f aca="false">SUM(U121:Z121)</f>
        <v>23.8</v>
      </c>
      <c r="AB121" s="11" t="n">
        <v>6.4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f aca="false">SUM(AB121:AG121)</f>
        <v>6.4</v>
      </c>
    </row>
    <row r="122" customFormat="false" ht="15" hidden="false" customHeight="false" outlineLevel="2" collapsed="false">
      <c r="A122" s="8" t="s">
        <v>310</v>
      </c>
      <c r="B122" s="12" t="s">
        <v>311</v>
      </c>
      <c r="C122" s="8" t="s">
        <v>262</v>
      </c>
      <c r="D122" s="12" t="s">
        <v>263</v>
      </c>
      <c r="E122" s="16"/>
      <c r="F122" s="9" t="str">
        <f aca="false">IF($E122="","",IFERROR(INDEX(担当者マスタ!$B$2:$B$101,MATCH($E122,担当者マスタ!$A$2:$A$101,0)),"※マスタ未登録"))</f>
        <v/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f aca="false">SUM(G122:L122)</f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f aca="false">SUM(N122:S122)</f>
        <v>0</v>
      </c>
      <c r="U122" s="11" t="n">
        <v>0</v>
      </c>
      <c r="V122" s="11" t="n">
        <v>0.7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f aca="false">SUM(U122:Z122)</f>
        <v>0.7</v>
      </c>
      <c r="AB122" s="11" t="n">
        <v>0</v>
      </c>
      <c r="AC122" s="11" t="n">
        <v>0.221</v>
      </c>
      <c r="AD122" s="11" t="n">
        <v>0</v>
      </c>
      <c r="AE122" s="11" t="n">
        <v>0</v>
      </c>
      <c r="AF122" s="11" t="n">
        <v>0</v>
      </c>
      <c r="AG122" s="11" t="n">
        <v>0</v>
      </c>
      <c r="AH122" s="11" t="n">
        <f aca="false">SUM(AB122:AG122)</f>
        <v>0.221</v>
      </c>
    </row>
    <row r="123" customFormat="false" ht="15" hidden="false" customHeight="false" outlineLevel="2" collapsed="false">
      <c r="A123" s="8" t="s">
        <v>312</v>
      </c>
      <c r="B123" s="9" t="s">
        <v>313</v>
      </c>
      <c r="C123" s="8" t="s">
        <v>262</v>
      </c>
      <c r="D123" s="12" t="s">
        <v>263</v>
      </c>
      <c r="E123" s="16"/>
      <c r="F123" s="9" t="str">
        <f aca="false">IF($E123="","",IFERROR(INDEX(担当者マスタ!$B$2:$B$101,MATCH($E123,担当者マスタ!$A$2:$A$101,0)),"※マスタ未登録"))</f>
        <v/>
      </c>
      <c r="G123" s="11" t="n">
        <v>0</v>
      </c>
      <c r="H123" s="11" t="n">
        <v>383.37</v>
      </c>
      <c r="I123" s="11" t="n">
        <v>113.82</v>
      </c>
      <c r="J123" s="11" t="n">
        <v>50.28</v>
      </c>
      <c r="K123" s="11" t="n">
        <v>183.52</v>
      </c>
      <c r="L123" s="11" t="n">
        <v>43.57</v>
      </c>
      <c r="M123" s="11" t="n">
        <f aca="false">SUM(G123:L123)</f>
        <v>774.56</v>
      </c>
      <c r="N123" s="11" t="n">
        <v>0</v>
      </c>
      <c r="O123" s="11" t="n">
        <v>106.222</v>
      </c>
      <c r="P123" s="11" t="n">
        <v>37.84</v>
      </c>
      <c r="Q123" s="11" t="n">
        <v>13.56</v>
      </c>
      <c r="R123" s="11" t="n">
        <v>47.297</v>
      </c>
      <c r="S123" s="11" t="n">
        <v>12.398</v>
      </c>
      <c r="T123" s="11" t="n">
        <f aca="false">SUM(N123:S123)</f>
        <v>217.317</v>
      </c>
      <c r="U123" s="11" t="n">
        <v>2097.1</v>
      </c>
      <c r="V123" s="11" t="n">
        <v>181.04</v>
      </c>
      <c r="W123" s="11" t="n">
        <v>130.38</v>
      </c>
      <c r="X123" s="11" t="n">
        <v>194.65</v>
      </c>
      <c r="Y123" s="11" t="n">
        <v>103.76</v>
      </c>
      <c r="Z123" s="11" t="n">
        <v>10.835</v>
      </c>
      <c r="AA123" s="11" t="n">
        <f aca="false">SUM(U123:Z123)</f>
        <v>2717.765</v>
      </c>
      <c r="AB123" s="11" t="n">
        <v>391.92</v>
      </c>
      <c r="AC123" s="11" t="n">
        <v>52.94</v>
      </c>
      <c r="AD123" s="11" t="n">
        <v>41.43</v>
      </c>
      <c r="AE123" s="11" t="n">
        <v>42.94</v>
      </c>
      <c r="AF123" s="11" t="n">
        <v>41.7</v>
      </c>
      <c r="AG123" s="11" t="n">
        <v>10.275</v>
      </c>
      <c r="AH123" s="11" t="n">
        <f aca="false">SUM(AB123:AG123)</f>
        <v>581.205</v>
      </c>
    </row>
    <row r="124" customFormat="false" ht="15" hidden="false" customHeight="false" outlineLevel="2" collapsed="false">
      <c r="A124" s="8" t="s">
        <v>314</v>
      </c>
      <c r="B124" s="12" t="s">
        <v>315</v>
      </c>
      <c r="C124" s="8" t="s">
        <v>262</v>
      </c>
      <c r="D124" s="12" t="s">
        <v>263</v>
      </c>
      <c r="E124" s="16"/>
      <c r="F124" s="9" t="str">
        <f aca="false">IF($E124="","",IFERROR(INDEX(担当者マスタ!$B$2:$B$101,MATCH($E124,担当者マスタ!$A$2:$A$101,0)),"※マスタ未登録"))</f>
        <v/>
      </c>
      <c r="G124" s="11" t="n">
        <v>5.071</v>
      </c>
      <c r="H124" s="11" t="n">
        <v>0</v>
      </c>
      <c r="I124" s="11" t="n">
        <v>21.052</v>
      </c>
      <c r="J124" s="11" t="n">
        <v>4.851</v>
      </c>
      <c r="K124" s="11" t="n">
        <v>0</v>
      </c>
      <c r="L124" s="11" t="n">
        <v>5.687</v>
      </c>
      <c r="M124" s="11" t="n">
        <f aca="false">SUM(G124:L124)</f>
        <v>36.661</v>
      </c>
      <c r="N124" s="11" t="n">
        <v>1.343</v>
      </c>
      <c r="O124" s="11" t="n">
        <v>0</v>
      </c>
      <c r="P124" s="11" t="n">
        <v>5.818</v>
      </c>
      <c r="Q124" s="11" t="n">
        <v>1.412</v>
      </c>
      <c r="R124" s="11" t="n">
        <v>0</v>
      </c>
      <c r="S124" s="11" t="n">
        <v>1.537</v>
      </c>
      <c r="T124" s="11" t="n">
        <f aca="false">SUM(N124:S124)</f>
        <v>10.11</v>
      </c>
      <c r="U124" s="11" t="n">
        <v>0</v>
      </c>
      <c r="V124" s="11" t="n">
        <v>2.27</v>
      </c>
      <c r="W124" s="11" t="n">
        <v>2.27</v>
      </c>
      <c r="X124" s="11" t="n">
        <v>0</v>
      </c>
      <c r="Y124" s="11" t="n">
        <v>0</v>
      </c>
      <c r="Z124" s="11" t="n">
        <v>0</v>
      </c>
      <c r="AA124" s="11" t="n">
        <f aca="false">SUM(U124:Z124)</f>
        <v>4.54</v>
      </c>
      <c r="AB124" s="11" t="n">
        <v>0</v>
      </c>
      <c r="AC124" s="11" t="n">
        <v>0.665</v>
      </c>
      <c r="AD124" s="11" t="n">
        <v>0.665</v>
      </c>
      <c r="AE124" s="11" t="n">
        <v>0</v>
      </c>
      <c r="AF124" s="11" t="n">
        <v>0</v>
      </c>
      <c r="AG124" s="11" t="n">
        <v>0</v>
      </c>
      <c r="AH124" s="11" t="n">
        <f aca="false">SUM(AB124:AG124)</f>
        <v>1.33</v>
      </c>
    </row>
    <row r="125" customFormat="false" ht="15" hidden="false" customHeight="false" outlineLevel="2" collapsed="false">
      <c r="A125" s="8" t="s">
        <v>316</v>
      </c>
      <c r="B125" s="12" t="s">
        <v>317</v>
      </c>
      <c r="C125" s="8" t="s">
        <v>262</v>
      </c>
      <c r="D125" s="12" t="s">
        <v>263</v>
      </c>
      <c r="E125" s="16"/>
      <c r="F125" s="9" t="str">
        <f aca="false">IF($E125="","",IFERROR(INDEX(担当者マスタ!$B$2:$B$101,MATCH($E125,担当者マスタ!$A$2:$A$101,0)),"※マスタ未登録"))</f>
        <v/>
      </c>
      <c r="G125" s="11" t="n">
        <v>16.223</v>
      </c>
      <c r="H125" s="11" t="n">
        <v>7.872</v>
      </c>
      <c r="I125" s="11" t="n">
        <v>37.999</v>
      </c>
      <c r="J125" s="11" t="n">
        <v>0</v>
      </c>
      <c r="K125" s="11" t="n">
        <v>0</v>
      </c>
      <c r="L125" s="11" t="n">
        <v>15.937</v>
      </c>
      <c r="M125" s="11" t="n">
        <f aca="false">SUM(G125:L125)</f>
        <v>78.031</v>
      </c>
      <c r="N125" s="11" t="n">
        <v>4.815</v>
      </c>
      <c r="O125" s="11" t="n">
        <v>2.268</v>
      </c>
      <c r="P125" s="11" t="n">
        <v>12.993</v>
      </c>
      <c r="Q125" s="11" t="n">
        <v>0</v>
      </c>
      <c r="R125" s="11" t="n">
        <v>0</v>
      </c>
      <c r="S125" s="11" t="n">
        <v>4.791</v>
      </c>
      <c r="T125" s="11" t="n">
        <f aca="false">SUM(N125:S125)</f>
        <v>24.867</v>
      </c>
      <c r="U125" s="11" t="n">
        <v>0</v>
      </c>
      <c r="V125" s="11" t="n">
        <v>39.446</v>
      </c>
      <c r="W125" s="11" t="n">
        <v>0</v>
      </c>
      <c r="X125" s="11" t="n">
        <v>29.289</v>
      </c>
      <c r="Y125" s="11" t="n">
        <v>0</v>
      </c>
      <c r="Z125" s="11" t="n">
        <v>14.88</v>
      </c>
      <c r="AA125" s="11" t="n">
        <f aca="false">SUM(U125:Z125)</f>
        <v>83.615</v>
      </c>
      <c r="AB125" s="11" t="n">
        <v>0</v>
      </c>
      <c r="AC125" s="11" t="n">
        <v>13.256</v>
      </c>
      <c r="AD125" s="11" t="n">
        <v>0</v>
      </c>
      <c r="AE125" s="11" t="n">
        <v>10.382</v>
      </c>
      <c r="AF125" s="11" t="n">
        <v>0</v>
      </c>
      <c r="AG125" s="11" t="n">
        <v>4.62</v>
      </c>
      <c r="AH125" s="11" t="n">
        <f aca="false">SUM(AB125:AG125)</f>
        <v>28.258</v>
      </c>
    </row>
    <row r="126" customFormat="false" ht="15" hidden="false" customHeight="false" outlineLevel="2" collapsed="false">
      <c r="A126" s="8" t="s">
        <v>318</v>
      </c>
      <c r="B126" s="12" t="s">
        <v>319</v>
      </c>
      <c r="C126" s="8" t="s">
        <v>262</v>
      </c>
      <c r="D126" s="12" t="s">
        <v>263</v>
      </c>
      <c r="E126" s="16"/>
      <c r="F126" s="9" t="str">
        <f aca="false">IF($E126="","",IFERROR(INDEX(担当者マスタ!$B$2:$B$101,MATCH($E126,担当者マスタ!$A$2:$A$101,0)),"※マスタ未登録"))</f>
        <v/>
      </c>
      <c r="G126" s="11" t="n">
        <v>38.322</v>
      </c>
      <c r="H126" s="11" t="n">
        <v>38.322</v>
      </c>
      <c r="I126" s="11" t="n">
        <v>38.322</v>
      </c>
      <c r="J126" s="11" t="n">
        <v>38.322</v>
      </c>
      <c r="K126" s="11" t="n">
        <v>0</v>
      </c>
      <c r="L126" s="11" t="n">
        <v>38.322</v>
      </c>
      <c r="M126" s="11" t="n">
        <f aca="false">SUM(G126:L126)</f>
        <v>191.61</v>
      </c>
      <c r="N126" s="11" t="n">
        <v>10.242</v>
      </c>
      <c r="O126" s="11" t="n">
        <v>10.242</v>
      </c>
      <c r="P126" s="11" t="n">
        <v>10.242</v>
      </c>
      <c r="Q126" s="11" t="n">
        <v>10.242</v>
      </c>
      <c r="R126" s="11" t="n">
        <v>0</v>
      </c>
      <c r="S126" s="11" t="n">
        <v>10.242</v>
      </c>
      <c r="T126" s="11" t="n">
        <f aca="false">SUM(N126:S126)</f>
        <v>51.21</v>
      </c>
      <c r="U126" s="11" t="n">
        <v>38.322</v>
      </c>
      <c r="V126" s="11" t="n">
        <v>25.548</v>
      </c>
      <c r="W126" s="11" t="n">
        <v>51.096</v>
      </c>
      <c r="X126" s="11" t="n">
        <v>0</v>
      </c>
      <c r="Y126" s="11" t="n">
        <v>25.548</v>
      </c>
      <c r="Z126" s="11" t="n">
        <v>25.548</v>
      </c>
      <c r="AA126" s="11" t="n">
        <f aca="false">SUM(U126:Z126)</f>
        <v>166.062</v>
      </c>
      <c r="AB126" s="11" t="n">
        <v>10.242</v>
      </c>
      <c r="AC126" s="11" t="n">
        <v>6.828</v>
      </c>
      <c r="AD126" s="11" t="n">
        <v>13.656</v>
      </c>
      <c r="AE126" s="11" t="n">
        <v>0</v>
      </c>
      <c r="AF126" s="11" t="n">
        <v>6.828</v>
      </c>
      <c r="AG126" s="11" t="n">
        <v>6.828</v>
      </c>
      <c r="AH126" s="11" t="n">
        <f aca="false">SUM(AB126:AG126)</f>
        <v>44.382</v>
      </c>
    </row>
    <row r="127" customFormat="false" ht="15" hidden="false" customHeight="false" outlineLevel="2" collapsed="false">
      <c r="A127" s="8" t="s">
        <v>320</v>
      </c>
      <c r="B127" s="12" t="s">
        <v>321</v>
      </c>
      <c r="C127" s="8" t="s">
        <v>262</v>
      </c>
      <c r="D127" s="12" t="s">
        <v>263</v>
      </c>
      <c r="E127" s="16"/>
      <c r="F127" s="9" t="str">
        <f aca="false">IF($E127="","",IFERROR(INDEX(担当者マスタ!$B$2:$B$101,MATCH($E127,担当者マスタ!$A$2:$A$101,0)),"※マスタ未登録"))</f>
        <v/>
      </c>
      <c r="G127" s="11" t="n">
        <v>0</v>
      </c>
      <c r="H127" s="11" t="n">
        <v>65.792</v>
      </c>
      <c r="I127" s="11" t="n">
        <v>0</v>
      </c>
      <c r="J127" s="11" t="n">
        <v>0</v>
      </c>
      <c r="K127" s="11" t="n">
        <v>0</v>
      </c>
      <c r="L127" s="11" t="n">
        <v>30.862</v>
      </c>
      <c r="M127" s="11" t="n">
        <f aca="false">SUM(G127:L127)</f>
        <v>96.654</v>
      </c>
      <c r="N127" s="11" t="n">
        <v>0</v>
      </c>
      <c r="O127" s="11" t="n">
        <v>20.869</v>
      </c>
      <c r="P127" s="11" t="n">
        <v>0</v>
      </c>
      <c r="Q127" s="11" t="n">
        <v>0</v>
      </c>
      <c r="R127" s="11" t="n">
        <v>0</v>
      </c>
      <c r="S127" s="11" t="n">
        <v>11.839</v>
      </c>
      <c r="T127" s="11" t="n">
        <f aca="false">SUM(N127:S127)</f>
        <v>32.708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56.55</v>
      </c>
      <c r="Z127" s="11" t="n">
        <v>0</v>
      </c>
      <c r="AA127" s="11" t="n">
        <f aca="false">SUM(U127:Z127)</f>
        <v>56.55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19.05</v>
      </c>
      <c r="AG127" s="11" t="n">
        <v>0</v>
      </c>
      <c r="AH127" s="11" t="n">
        <f aca="false">SUM(AB127:AG127)</f>
        <v>19.05</v>
      </c>
    </row>
    <row r="128" customFormat="false" ht="15" hidden="false" customHeight="false" outlineLevel="2" collapsed="false">
      <c r="A128" s="8" t="s">
        <v>322</v>
      </c>
      <c r="B128" s="12" t="s">
        <v>323</v>
      </c>
      <c r="C128" s="8" t="s">
        <v>262</v>
      </c>
      <c r="D128" s="12" t="s">
        <v>263</v>
      </c>
      <c r="E128" s="16"/>
      <c r="F128" s="9" t="str">
        <f aca="false">IF($E128="","",IFERROR(INDEX(担当者マスタ!$B$2:$B$101,MATCH($E128,担当者マスタ!$A$2:$A$101,0)),"※マスタ未登録"))</f>
        <v/>
      </c>
      <c r="G128" s="11" t="n">
        <v>0</v>
      </c>
      <c r="H128" s="11" t="n">
        <v>61.68</v>
      </c>
      <c r="I128" s="11" t="n">
        <v>48.2</v>
      </c>
      <c r="J128" s="11" t="n">
        <v>0</v>
      </c>
      <c r="K128" s="11" t="n">
        <v>5.48</v>
      </c>
      <c r="L128" s="11" t="n">
        <v>71.864</v>
      </c>
      <c r="M128" s="11" t="n">
        <f aca="false">SUM(G128:L128)</f>
        <v>187.224</v>
      </c>
      <c r="N128" s="11" t="n">
        <v>0</v>
      </c>
      <c r="O128" s="11" t="n">
        <v>20.745</v>
      </c>
      <c r="P128" s="11" t="n">
        <v>10.86</v>
      </c>
      <c r="Q128" s="11" t="n">
        <v>0</v>
      </c>
      <c r="R128" s="11" t="n">
        <v>2.606</v>
      </c>
      <c r="S128" s="11" t="n">
        <v>28.944</v>
      </c>
      <c r="T128" s="11" t="n">
        <f aca="false">SUM(N128:S128)</f>
        <v>63.155</v>
      </c>
      <c r="U128" s="11" t="n">
        <v>111.94</v>
      </c>
      <c r="V128" s="11" t="n">
        <v>44.214</v>
      </c>
      <c r="W128" s="11" t="n">
        <v>135.41</v>
      </c>
      <c r="X128" s="11" t="n">
        <v>0</v>
      </c>
      <c r="Y128" s="11" t="n">
        <v>16.8</v>
      </c>
      <c r="Z128" s="11" t="n">
        <v>32.28</v>
      </c>
      <c r="AA128" s="11" t="n">
        <f aca="false">SUM(U128:Z128)</f>
        <v>340.644</v>
      </c>
      <c r="AB128" s="11" t="n">
        <v>31</v>
      </c>
      <c r="AC128" s="11" t="n">
        <v>11.003</v>
      </c>
      <c r="AD128" s="11" t="n">
        <v>39.65</v>
      </c>
      <c r="AE128" s="11" t="n">
        <v>0</v>
      </c>
      <c r="AF128" s="11" t="n">
        <v>3.9</v>
      </c>
      <c r="AG128" s="11" t="n">
        <v>12.72</v>
      </c>
      <c r="AH128" s="11" t="n">
        <f aca="false">SUM(AB128:AG128)</f>
        <v>98.273</v>
      </c>
    </row>
    <row r="129" customFormat="false" ht="15" hidden="false" customHeight="false" outlineLevel="2" collapsed="false">
      <c r="A129" s="8" t="s">
        <v>324</v>
      </c>
      <c r="B129" s="12" t="s">
        <v>325</v>
      </c>
      <c r="C129" s="8" t="s">
        <v>262</v>
      </c>
      <c r="D129" s="12" t="s">
        <v>263</v>
      </c>
      <c r="E129" s="16"/>
      <c r="F129" s="9" t="str">
        <f aca="false">IF($E129="","",IFERROR(INDEX(担当者マスタ!$B$2:$B$101,MATCH($E129,担当者マスタ!$A$2:$A$101,0)),"※マスタ未登録"))</f>
        <v/>
      </c>
      <c r="G129" s="11" t="n">
        <v>0</v>
      </c>
      <c r="H129" s="11" t="n">
        <v>49.161</v>
      </c>
      <c r="I129" s="11" t="n">
        <v>14.5</v>
      </c>
      <c r="J129" s="11" t="n">
        <v>0</v>
      </c>
      <c r="K129" s="11" t="n">
        <v>46.726</v>
      </c>
      <c r="L129" s="11" t="n">
        <v>571.309</v>
      </c>
      <c r="M129" s="11" t="n">
        <f aca="false">SUM(G129:L129)</f>
        <v>681.696</v>
      </c>
      <c r="N129" s="11" t="n">
        <v>0</v>
      </c>
      <c r="O129" s="11" t="n">
        <v>16.149</v>
      </c>
      <c r="P129" s="11" t="n">
        <v>3.5</v>
      </c>
      <c r="Q129" s="11" t="n">
        <v>0</v>
      </c>
      <c r="R129" s="11" t="n">
        <v>21.24</v>
      </c>
      <c r="S129" s="11" t="n">
        <v>69.6616</v>
      </c>
      <c r="T129" s="11" t="n">
        <f aca="false">SUM(N129:S129)</f>
        <v>110.5506</v>
      </c>
      <c r="U129" s="11" t="n">
        <v>116.824</v>
      </c>
      <c r="V129" s="11" t="n">
        <v>43.52</v>
      </c>
      <c r="W129" s="11" t="n">
        <v>41.822</v>
      </c>
      <c r="X129" s="11" t="n">
        <v>0.141</v>
      </c>
      <c r="Y129" s="11" t="n">
        <v>90.288</v>
      </c>
      <c r="Z129" s="11" t="n">
        <v>3.795</v>
      </c>
      <c r="AA129" s="11" t="n">
        <f aca="false">SUM(U129:Z129)</f>
        <v>296.39</v>
      </c>
      <c r="AB129" s="11" t="n">
        <v>8.984</v>
      </c>
      <c r="AC129" s="11" t="n">
        <v>19.54</v>
      </c>
      <c r="AD129" s="11" t="n">
        <v>18.805</v>
      </c>
      <c r="AE129" s="11" t="n">
        <v>0.036</v>
      </c>
      <c r="AF129" s="11" t="n">
        <v>28.551</v>
      </c>
      <c r="AG129" s="11" t="n">
        <v>1.595</v>
      </c>
      <c r="AH129" s="11" t="n">
        <f aca="false">SUM(AB129:AG129)</f>
        <v>77.511</v>
      </c>
    </row>
    <row r="130" customFormat="false" ht="15" hidden="false" customHeight="false" outlineLevel="2" collapsed="false">
      <c r="A130" s="8" t="s">
        <v>326</v>
      </c>
      <c r="B130" s="9" t="s">
        <v>327</v>
      </c>
      <c r="C130" s="8" t="s">
        <v>262</v>
      </c>
      <c r="D130" s="12" t="s">
        <v>263</v>
      </c>
      <c r="E130" s="16"/>
      <c r="F130" s="9" t="str">
        <f aca="false">IF($E130="","",IFERROR(INDEX(担当者マスタ!$B$2:$B$101,MATCH($E130,担当者マスタ!$A$2:$A$101,0)),"※マスタ未登録"))</f>
        <v/>
      </c>
      <c r="G130" s="11" t="n">
        <v>179.18</v>
      </c>
      <c r="H130" s="11" t="n">
        <v>0</v>
      </c>
      <c r="I130" s="11" t="n">
        <v>0</v>
      </c>
      <c r="J130" s="11" t="n">
        <v>0</v>
      </c>
      <c r="K130" s="11" t="n">
        <v>29.92</v>
      </c>
      <c r="L130" s="11" t="n">
        <v>0</v>
      </c>
      <c r="M130" s="11" t="n">
        <f aca="false">SUM(G130:L130)</f>
        <v>209.1</v>
      </c>
      <c r="N130" s="11" t="n">
        <v>17.7</v>
      </c>
      <c r="O130" s="11" t="n">
        <v>0</v>
      </c>
      <c r="P130" s="11" t="n">
        <v>0</v>
      </c>
      <c r="Q130" s="11" t="n">
        <v>0</v>
      </c>
      <c r="R130" s="11" t="n">
        <v>12.593</v>
      </c>
      <c r="S130" s="11" t="n">
        <v>0</v>
      </c>
      <c r="T130" s="11" t="n">
        <f aca="false">SUM(N130:S130)</f>
        <v>30.293</v>
      </c>
      <c r="U130" s="11" t="n">
        <v>0</v>
      </c>
      <c r="V130" s="11" t="n">
        <v>60.26</v>
      </c>
      <c r="W130" s="11" t="n">
        <v>0</v>
      </c>
      <c r="X130" s="11" t="n">
        <v>0</v>
      </c>
      <c r="Y130" s="11" t="n">
        <v>0</v>
      </c>
      <c r="Z130" s="11" t="n">
        <v>11.96</v>
      </c>
      <c r="AA130" s="11" t="n">
        <f aca="false">SUM(U130:Z130)</f>
        <v>72.22</v>
      </c>
      <c r="AB130" s="11" t="n">
        <v>0</v>
      </c>
      <c r="AC130" s="11" t="n">
        <v>6.3</v>
      </c>
      <c r="AD130" s="11" t="n">
        <v>0</v>
      </c>
      <c r="AE130" s="11" t="n">
        <v>0</v>
      </c>
      <c r="AF130" s="11" t="n">
        <v>0</v>
      </c>
      <c r="AG130" s="11" t="n">
        <v>3.8</v>
      </c>
      <c r="AH130" s="11" t="n">
        <f aca="false">SUM(AB130:AG130)</f>
        <v>10.1</v>
      </c>
    </row>
    <row r="131" customFormat="false" ht="15" hidden="false" customHeight="false" outlineLevel="2" collapsed="false">
      <c r="A131" s="8" t="s">
        <v>328</v>
      </c>
      <c r="B131" s="9" t="s">
        <v>329</v>
      </c>
      <c r="C131" s="8" t="s">
        <v>262</v>
      </c>
      <c r="D131" s="12" t="s">
        <v>263</v>
      </c>
      <c r="E131" s="16"/>
      <c r="F131" s="9" t="str">
        <f aca="false">IF($E131="","",IFERROR(INDEX(担当者マスタ!$B$2:$B$101,MATCH($E131,担当者マスタ!$A$2:$A$101,0)),"※マスタ未登録"))</f>
        <v/>
      </c>
      <c r="G131" s="11" t="n">
        <v>180.094</v>
      </c>
      <c r="H131" s="11" t="n">
        <v>325.536</v>
      </c>
      <c r="I131" s="11" t="n">
        <v>185.171</v>
      </c>
      <c r="J131" s="11" t="n">
        <v>17.62</v>
      </c>
      <c r="K131" s="11" t="n">
        <v>135.007</v>
      </c>
      <c r="L131" s="11" t="n">
        <v>39.997</v>
      </c>
      <c r="M131" s="11" t="n">
        <f aca="false">SUM(G131:L131)</f>
        <v>883.425</v>
      </c>
      <c r="N131" s="11" t="n">
        <v>34.068</v>
      </c>
      <c r="O131" s="11" t="n">
        <v>62.705</v>
      </c>
      <c r="P131" s="11" t="n">
        <v>45.495</v>
      </c>
      <c r="Q131" s="11" t="n">
        <v>3.08</v>
      </c>
      <c r="R131" s="11" t="n">
        <v>26.46</v>
      </c>
      <c r="S131" s="11" t="n">
        <v>7.917</v>
      </c>
      <c r="T131" s="11" t="n">
        <f aca="false">SUM(N131:S131)</f>
        <v>179.725</v>
      </c>
      <c r="U131" s="11" t="n">
        <v>111.942</v>
      </c>
      <c r="V131" s="11" t="n">
        <v>197.441</v>
      </c>
      <c r="W131" s="11" t="n">
        <v>154.312</v>
      </c>
      <c r="X131" s="11" t="n">
        <v>37.387</v>
      </c>
      <c r="Y131" s="11" t="n">
        <v>31.015</v>
      </c>
      <c r="Z131" s="11" t="n">
        <v>138.065</v>
      </c>
      <c r="AA131" s="11" t="n">
        <f aca="false">SUM(U131:Z131)</f>
        <v>670.162</v>
      </c>
      <c r="AB131" s="11" t="n">
        <v>21.707</v>
      </c>
      <c r="AC131" s="11" t="n">
        <v>40.739</v>
      </c>
      <c r="AD131" s="11" t="n">
        <v>30.941</v>
      </c>
      <c r="AE131" s="11" t="n">
        <v>7.361</v>
      </c>
      <c r="AF131" s="11" t="n">
        <v>6.018</v>
      </c>
      <c r="AG131" s="11" t="n">
        <v>27.184</v>
      </c>
      <c r="AH131" s="11" t="n">
        <f aca="false">SUM(AB131:AG131)</f>
        <v>133.95</v>
      </c>
    </row>
    <row r="132" customFormat="false" ht="15" hidden="false" customHeight="false" outlineLevel="2" collapsed="false">
      <c r="A132" s="8" t="s">
        <v>330</v>
      </c>
      <c r="B132" s="12" t="s">
        <v>331</v>
      </c>
      <c r="C132" s="8" t="s">
        <v>262</v>
      </c>
      <c r="D132" s="12" t="s">
        <v>263</v>
      </c>
      <c r="E132" s="16"/>
      <c r="F132" s="9" t="str">
        <f aca="false">IF($E132="","",IFERROR(INDEX(担当者マスタ!$B$2:$B$101,MATCH($E132,担当者マスタ!$A$2:$A$101,0)),"※マスタ未登録"))</f>
        <v/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f aca="false">SUM(G132:L132)</f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f aca="false">SUM(N132:S132)</f>
        <v>0</v>
      </c>
      <c r="U132" s="11" t="n">
        <v>0</v>
      </c>
      <c r="V132" s="11" t="n">
        <v>30.36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f aca="false">SUM(U132:Z132)</f>
        <v>30.36</v>
      </c>
      <c r="AB132" s="11" t="n">
        <v>0</v>
      </c>
      <c r="AC132" s="11" t="n">
        <v>12.76</v>
      </c>
      <c r="AD132" s="11" t="n">
        <v>0</v>
      </c>
      <c r="AE132" s="11" t="n">
        <v>0</v>
      </c>
      <c r="AF132" s="11" t="n">
        <v>0</v>
      </c>
      <c r="AG132" s="11" t="n">
        <v>0</v>
      </c>
      <c r="AH132" s="11" t="n">
        <f aca="false">SUM(AB132:AG132)</f>
        <v>12.76</v>
      </c>
    </row>
    <row r="133" customFormat="false" ht="15" hidden="false" customHeight="false" outlineLevel="2" collapsed="false">
      <c r="A133" s="8" t="s">
        <v>332</v>
      </c>
      <c r="B133" s="12" t="s">
        <v>333</v>
      </c>
      <c r="C133" s="8" t="s">
        <v>262</v>
      </c>
      <c r="D133" s="12" t="s">
        <v>263</v>
      </c>
      <c r="E133" s="16"/>
      <c r="F133" s="9" t="str">
        <f aca="false">IF($E133="","",IFERROR(INDEX(担当者マスタ!$B$2:$B$101,MATCH($E133,担当者マスタ!$A$2:$A$101,0)),"※マスタ未登録"))</f>
        <v/>
      </c>
      <c r="G133" s="11" t="n">
        <v>79.696</v>
      </c>
      <c r="H133" s="11" t="n">
        <v>89.725</v>
      </c>
      <c r="I133" s="11" t="n">
        <v>119.25</v>
      </c>
      <c r="J133" s="11" t="n">
        <v>25.368</v>
      </c>
      <c r="K133" s="11" t="n">
        <v>26.261</v>
      </c>
      <c r="L133" s="11" t="n">
        <v>63.898</v>
      </c>
      <c r="M133" s="11" t="n">
        <f aca="false">SUM(G133:L133)</f>
        <v>404.198</v>
      </c>
      <c r="N133" s="11" t="n">
        <v>43.768</v>
      </c>
      <c r="O133" s="11" t="n">
        <v>58.279</v>
      </c>
      <c r="P133" s="11" t="n">
        <v>66.194</v>
      </c>
      <c r="Q133" s="11" t="n">
        <v>12.648</v>
      </c>
      <c r="R133" s="11" t="n">
        <v>18.199</v>
      </c>
      <c r="S133" s="11" t="n">
        <v>39.401</v>
      </c>
      <c r="T133" s="11" t="n">
        <f aca="false">SUM(N133:S133)</f>
        <v>238.489</v>
      </c>
      <c r="U133" s="11" t="n">
        <v>42.993</v>
      </c>
      <c r="V133" s="11" t="n">
        <v>43.854</v>
      </c>
      <c r="W133" s="11" t="n">
        <v>123.554</v>
      </c>
      <c r="X133" s="11" t="n">
        <v>29.02</v>
      </c>
      <c r="Y133" s="11" t="n">
        <v>49.788</v>
      </c>
      <c r="Z133" s="11" t="n">
        <v>57.953</v>
      </c>
      <c r="AA133" s="11" t="n">
        <f aca="false">SUM(U133:Z133)</f>
        <v>347.162</v>
      </c>
      <c r="AB133" s="11" t="n">
        <v>27.08</v>
      </c>
      <c r="AC133" s="11" t="n">
        <v>26.707</v>
      </c>
      <c r="AD133" s="11" t="n">
        <v>70.532</v>
      </c>
      <c r="AE133" s="11" t="n">
        <v>15.12</v>
      </c>
      <c r="AF133" s="11" t="n">
        <v>31.07</v>
      </c>
      <c r="AG133" s="11" t="n">
        <v>35.399</v>
      </c>
      <c r="AH133" s="11" t="n">
        <f aca="false">SUM(AB133:AG133)</f>
        <v>205.908</v>
      </c>
    </row>
    <row r="134" customFormat="false" ht="15" hidden="false" customHeight="false" outlineLevel="2" collapsed="false">
      <c r="A134" s="8" t="s">
        <v>334</v>
      </c>
      <c r="B134" s="12" t="s">
        <v>335</v>
      </c>
      <c r="C134" s="8" t="s">
        <v>262</v>
      </c>
      <c r="D134" s="12" t="s">
        <v>263</v>
      </c>
      <c r="E134" s="16"/>
      <c r="F134" s="9" t="str">
        <f aca="false">IF($E134="","",IFERROR(INDEX(担当者マスタ!$B$2:$B$101,MATCH($E134,担当者マスタ!$A$2:$A$101,0)),"※マスタ未登録"))</f>
        <v/>
      </c>
      <c r="G134" s="11" t="n">
        <v>0</v>
      </c>
      <c r="H134" s="11" t="n">
        <v>18.412</v>
      </c>
      <c r="I134" s="11" t="n">
        <v>31.948</v>
      </c>
      <c r="J134" s="11" t="n">
        <v>0</v>
      </c>
      <c r="K134" s="11" t="n">
        <v>16.342</v>
      </c>
      <c r="L134" s="11" t="n">
        <v>6.897</v>
      </c>
      <c r="M134" s="11" t="n">
        <f aca="false">SUM(G134:L134)</f>
        <v>73.599</v>
      </c>
      <c r="N134" s="11" t="n">
        <v>0</v>
      </c>
      <c r="O134" s="11" t="n">
        <v>13.732</v>
      </c>
      <c r="P134" s="11" t="n">
        <v>10.918</v>
      </c>
      <c r="Q134" s="11" t="n">
        <v>0</v>
      </c>
      <c r="R134" s="11" t="n">
        <v>8.668</v>
      </c>
      <c r="S134" s="11" t="n">
        <v>2.909</v>
      </c>
      <c r="T134" s="11" t="n">
        <f aca="false">SUM(N134:S134)</f>
        <v>36.227</v>
      </c>
      <c r="U134" s="11" t="n">
        <v>7.325</v>
      </c>
      <c r="V134" s="11" t="n">
        <v>0</v>
      </c>
      <c r="W134" s="11" t="n">
        <v>28.251</v>
      </c>
      <c r="X134" s="11" t="n">
        <v>-0.233</v>
      </c>
      <c r="Y134" s="11" t="n">
        <v>0</v>
      </c>
      <c r="Z134" s="11" t="n">
        <v>0</v>
      </c>
      <c r="AA134" s="11" t="n">
        <f aca="false">SUM(U134:Z134)</f>
        <v>35.343</v>
      </c>
      <c r="AB134" s="11" t="n">
        <v>5.055</v>
      </c>
      <c r="AC134" s="11" t="n">
        <v>0</v>
      </c>
      <c r="AD134" s="11" t="n">
        <v>13.097</v>
      </c>
      <c r="AE134" s="11" t="n">
        <v>-0.233</v>
      </c>
      <c r="AF134" s="11" t="n">
        <v>0</v>
      </c>
      <c r="AG134" s="11" t="n">
        <v>0</v>
      </c>
      <c r="AH134" s="11" t="n">
        <f aca="false">SUM(AB134:AG134)</f>
        <v>17.919</v>
      </c>
    </row>
    <row r="135" customFormat="false" ht="15" hidden="false" customHeight="false" outlineLevel="2" collapsed="false">
      <c r="A135" s="8" t="s">
        <v>336</v>
      </c>
      <c r="B135" s="12" t="s">
        <v>337</v>
      </c>
      <c r="C135" s="8" t="s">
        <v>262</v>
      </c>
      <c r="D135" s="12" t="s">
        <v>263</v>
      </c>
      <c r="E135" s="16"/>
      <c r="F135" s="9" t="str">
        <f aca="false">IF($E135="","",IFERROR(INDEX(担当者マスタ!$B$2:$B$101,MATCH($E135,担当者マスタ!$A$2:$A$101,0)),"※マスタ未登録"))</f>
        <v/>
      </c>
      <c r="G135" s="11" t="n">
        <v>126.774</v>
      </c>
      <c r="H135" s="11" t="n">
        <v>204.542</v>
      </c>
      <c r="I135" s="11" t="n">
        <v>132.585</v>
      </c>
      <c r="J135" s="11" t="n">
        <v>44.352</v>
      </c>
      <c r="K135" s="11" t="n">
        <v>89.88</v>
      </c>
      <c r="L135" s="11" t="n">
        <v>59.374</v>
      </c>
      <c r="M135" s="11" t="n">
        <f aca="false">SUM(G135:L135)</f>
        <v>657.507</v>
      </c>
      <c r="N135" s="11" t="n">
        <v>44.438</v>
      </c>
      <c r="O135" s="11" t="n">
        <v>77.97</v>
      </c>
      <c r="P135" s="11" t="n">
        <v>53.517</v>
      </c>
      <c r="Q135" s="11" t="n">
        <v>13.102</v>
      </c>
      <c r="R135" s="11" t="n">
        <v>29.97</v>
      </c>
      <c r="S135" s="11" t="n">
        <v>17.924</v>
      </c>
      <c r="T135" s="11" t="n">
        <f aca="false">SUM(N135:S135)</f>
        <v>236.921</v>
      </c>
      <c r="U135" s="11" t="n">
        <v>150.686</v>
      </c>
      <c r="V135" s="11" t="n">
        <v>217.224</v>
      </c>
      <c r="W135" s="11" t="n">
        <v>159.185</v>
      </c>
      <c r="X135" s="11" t="n">
        <v>46.827</v>
      </c>
      <c r="Y135" s="11" t="n">
        <v>109.95</v>
      </c>
      <c r="Z135" s="11" t="n">
        <v>99.09</v>
      </c>
      <c r="AA135" s="11" t="n">
        <f aca="false">SUM(U135:Z135)</f>
        <v>782.962</v>
      </c>
      <c r="AB135" s="11" t="n">
        <v>49.066</v>
      </c>
      <c r="AC135" s="11" t="n">
        <v>69.563</v>
      </c>
      <c r="AD135" s="11" t="n">
        <v>56.925</v>
      </c>
      <c r="AE135" s="11" t="n">
        <v>14.927</v>
      </c>
      <c r="AF135" s="11" t="n">
        <v>31.605</v>
      </c>
      <c r="AG135" s="11" t="n">
        <v>27.81</v>
      </c>
      <c r="AH135" s="11" t="n">
        <f aca="false">SUM(AB135:AG135)</f>
        <v>249.896</v>
      </c>
    </row>
    <row r="136" customFormat="false" ht="15" hidden="false" customHeight="false" outlineLevel="2" collapsed="false">
      <c r="A136" s="8" t="s">
        <v>338</v>
      </c>
      <c r="B136" s="12" t="s">
        <v>339</v>
      </c>
      <c r="C136" s="8" t="s">
        <v>262</v>
      </c>
      <c r="D136" s="12" t="s">
        <v>263</v>
      </c>
      <c r="E136" s="16"/>
      <c r="F136" s="9" t="str">
        <f aca="false">IF($E136="","",IFERROR(INDEX(担当者マスタ!$B$2:$B$101,MATCH($E136,担当者マスタ!$A$2:$A$101,0)),"※マスタ未登録"))</f>
        <v/>
      </c>
      <c r="G136" s="11" t="n">
        <v>82.511</v>
      </c>
      <c r="H136" s="11" t="n">
        <v>249.272</v>
      </c>
      <c r="I136" s="11" t="n">
        <v>94.529</v>
      </c>
      <c r="J136" s="11" t="n">
        <v>54.625</v>
      </c>
      <c r="K136" s="11" t="n">
        <v>118.748</v>
      </c>
      <c r="L136" s="11" t="n">
        <v>54.625</v>
      </c>
      <c r="M136" s="11" t="n">
        <f aca="false">SUM(G136:L136)</f>
        <v>654.31</v>
      </c>
      <c r="N136" s="11" t="n">
        <v>31.861</v>
      </c>
      <c r="O136" s="11" t="n">
        <v>98.552</v>
      </c>
      <c r="P136" s="11" t="n">
        <v>38.729</v>
      </c>
      <c r="Q136" s="11" t="n">
        <v>20.625</v>
      </c>
      <c r="R136" s="11" t="n">
        <v>47.428</v>
      </c>
      <c r="S136" s="11" t="n">
        <v>20.625</v>
      </c>
      <c r="T136" s="11" t="n">
        <f aca="false">SUM(N136:S136)</f>
        <v>257.82</v>
      </c>
      <c r="U136" s="11" t="n">
        <v>195.224</v>
      </c>
      <c r="V136" s="11" t="n">
        <v>201.951</v>
      </c>
      <c r="W136" s="11" t="n">
        <v>118.45</v>
      </c>
      <c r="X136" s="11" t="n">
        <v>0</v>
      </c>
      <c r="Y136" s="11" t="n">
        <v>130.249</v>
      </c>
      <c r="Z136" s="11" t="n">
        <v>195.224</v>
      </c>
      <c r="AA136" s="11" t="n">
        <f aca="false">SUM(U136:Z136)</f>
        <v>841.098</v>
      </c>
      <c r="AB136" s="11" t="n">
        <v>76.304</v>
      </c>
      <c r="AC136" s="11" t="n">
        <v>80.181</v>
      </c>
      <c r="AD136" s="11" t="n">
        <v>50.25</v>
      </c>
      <c r="AE136" s="11" t="n">
        <v>0</v>
      </c>
      <c r="AF136" s="11" t="n">
        <v>49.929</v>
      </c>
      <c r="AG136" s="11" t="n">
        <v>76.304</v>
      </c>
      <c r="AH136" s="11" t="n">
        <f aca="false">SUM(AB136:AG136)</f>
        <v>332.968</v>
      </c>
    </row>
    <row r="137" customFormat="false" ht="15" hidden="false" customHeight="false" outlineLevel="2" collapsed="false">
      <c r="A137" s="8" t="s">
        <v>340</v>
      </c>
      <c r="B137" s="9" t="s">
        <v>341</v>
      </c>
      <c r="C137" s="8" t="s">
        <v>262</v>
      </c>
      <c r="D137" s="12" t="s">
        <v>263</v>
      </c>
      <c r="E137" s="16"/>
      <c r="F137" s="9" t="str">
        <f aca="false">IF($E137="","",IFERROR(INDEX(担当者マスタ!$B$2:$B$101,MATCH($E137,担当者マスタ!$A$2:$A$101,0)),"※マスタ未登録"))</f>
        <v/>
      </c>
      <c r="G137" s="11" t="n">
        <v>0</v>
      </c>
      <c r="H137" s="11" t="n">
        <v>3</v>
      </c>
      <c r="I137" s="11" t="n">
        <v>3</v>
      </c>
      <c r="J137" s="11" t="n">
        <v>0</v>
      </c>
      <c r="K137" s="11" t="n">
        <v>0</v>
      </c>
      <c r="L137" s="11" t="n">
        <v>3</v>
      </c>
      <c r="M137" s="11" t="n">
        <f aca="false">SUM(G137:L137)</f>
        <v>9</v>
      </c>
      <c r="N137" s="11" t="n">
        <v>0</v>
      </c>
      <c r="O137" s="11" t="n">
        <v>1.68</v>
      </c>
      <c r="P137" s="11" t="n">
        <v>1.68</v>
      </c>
      <c r="Q137" s="11" t="n">
        <v>0</v>
      </c>
      <c r="R137" s="11" t="n">
        <v>0</v>
      </c>
      <c r="S137" s="11" t="n">
        <v>1.68</v>
      </c>
      <c r="T137" s="11" t="n">
        <f aca="false">SUM(N137:S137)</f>
        <v>5.04</v>
      </c>
      <c r="U137" s="11" t="n">
        <v>0</v>
      </c>
      <c r="V137" s="11" t="n">
        <v>28.5</v>
      </c>
      <c r="W137" s="11" t="n">
        <v>6</v>
      </c>
      <c r="X137" s="11" t="n">
        <v>0</v>
      </c>
      <c r="Y137" s="11" t="n">
        <v>0</v>
      </c>
      <c r="Z137" s="11" t="n">
        <v>0</v>
      </c>
      <c r="AA137" s="11" t="n">
        <f aca="false">SUM(U137:Z137)</f>
        <v>34.5</v>
      </c>
      <c r="AB137" s="11" t="n">
        <v>0</v>
      </c>
      <c r="AC137" s="11" t="n">
        <v>5.7</v>
      </c>
      <c r="AD137" s="11" t="n">
        <v>3.36</v>
      </c>
      <c r="AE137" s="11" t="n">
        <v>0</v>
      </c>
      <c r="AF137" s="11" t="n">
        <v>0</v>
      </c>
      <c r="AG137" s="11" t="n">
        <v>0</v>
      </c>
      <c r="AH137" s="11" t="n">
        <f aca="false">SUM(AB137:AG137)</f>
        <v>9.06</v>
      </c>
    </row>
    <row r="138" customFormat="false" ht="15" hidden="false" customHeight="false" outlineLevel="2" collapsed="false">
      <c r="A138" s="8" t="s">
        <v>342</v>
      </c>
      <c r="B138" s="12" t="s">
        <v>343</v>
      </c>
      <c r="C138" s="8" t="s">
        <v>262</v>
      </c>
      <c r="D138" s="12" t="s">
        <v>263</v>
      </c>
      <c r="E138" s="16"/>
      <c r="F138" s="9" t="str">
        <f aca="false">IF($E138="","",IFERROR(INDEX(担当者マスタ!$B$2:$B$101,MATCH($E138,担当者マスタ!$A$2:$A$101,0)),"※マスタ未登録"))</f>
        <v/>
      </c>
      <c r="G138" s="11" t="n">
        <v>2184.423</v>
      </c>
      <c r="H138" s="11" t="n">
        <v>1852.708</v>
      </c>
      <c r="I138" s="11" t="n">
        <v>1616.297</v>
      </c>
      <c r="J138" s="11" t="n">
        <v>964.735</v>
      </c>
      <c r="K138" s="11" t="n">
        <v>2590.072</v>
      </c>
      <c r="L138" s="11" t="n">
        <v>637.5</v>
      </c>
      <c r="M138" s="11" t="n">
        <f aca="false">SUM(G138:L138)</f>
        <v>9845.735</v>
      </c>
      <c r="N138" s="11" t="n">
        <v>566.966</v>
      </c>
      <c r="O138" s="11" t="n">
        <v>416.175</v>
      </c>
      <c r="P138" s="11" t="n">
        <v>518.26</v>
      </c>
      <c r="Q138" s="11" t="n">
        <v>234.492</v>
      </c>
      <c r="R138" s="11" t="n">
        <v>548.082</v>
      </c>
      <c r="S138" s="11" t="n">
        <v>148.327</v>
      </c>
      <c r="T138" s="11" t="n">
        <f aca="false">SUM(N138:S138)</f>
        <v>2432.302</v>
      </c>
      <c r="U138" s="11" t="n">
        <v>687.157</v>
      </c>
      <c r="V138" s="11" t="n">
        <v>2362.44</v>
      </c>
      <c r="W138" s="11" t="n">
        <v>3729.108</v>
      </c>
      <c r="X138" s="11" t="n">
        <v>888.58</v>
      </c>
      <c r="Y138" s="11" t="n">
        <v>185.102</v>
      </c>
      <c r="Z138" s="11" t="n">
        <v>1907.624</v>
      </c>
      <c r="AA138" s="11" t="n">
        <f aca="false">SUM(U138:Z138)</f>
        <v>9760.011</v>
      </c>
      <c r="AB138" s="11" t="n">
        <v>137.806</v>
      </c>
      <c r="AC138" s="11" t="n">
        <v>579.373</v>
      </c>
      <c r="AD138" s="11" t="n">
        <v>781.577</v>
      </c>
      <c r="AE138" s="11" t="n">
        <v>139.5298</v>
      </c>
      <c r="AF138" s="11" t="n">
        <v>46.546</v>
      </c>
      <c r="AG138" s="11" t="n">
        <v>396.694</v>
      </c>
      <c r="AH138" s="11" t="n">
        <f aca="false">SUM(AB138:AG138)</f>
        <v>2081.5258</v>
      </c>
    </row>
    <row r="139" customFormat="false" ht="15" hidden="false" customHeight="false" outlineLevel="2" collapsed="false">
      <c r="A139" s="8" t="s">
        <v>344</v>
      </c>
      <c r="B139" s="12" t="s">
        <v>345</v>
      </c>
      <c r="C139" s="8" t="s">
        <v>262</v>
      </c>
      <c r="D139" s="12" t="s">
        <v>263</v>
      </c>
      <c r="E139" s="16"/>
      <c r="F139" s="9" t="str">
        <f aca="false">IF($E139="","",IFERROR(INDEX(担当者マスタ!$B$2:$B$101,MATCH($E139,担当者マスタ!$A$2:$A$101,0)),"※マスタ未登録"))</f>
        <v/>
      </c>
      <c r="G139" s="11" t="n">
        <v>0</v>
      </c>
      <c r="H139" s="11" t="n">
        <v>0</v>
      </c>
      <c r="I139" s="11" t="n">
        <v>0</v>
      </c>
      <c r="J139" s="11" t="n">
        <v>5.28</v>
      </c>
      <c r="K139" s="11" t="n">
        <v>0</v>
      </c>
      <c r="L139" s="11" t="n">
        <v>0</v>
      </c>
      <c r="M139" s="11" t="n">
        <f aca="false">SUM(G139:L139)</f>
        <v>5.28</v>
      </c>
      <c r="N139" s="11" t="n">
        <v>0</v>
      </c>
      <c r="O139" s="11" t="n">
        <v>0</v>
      </c>
      <c r="P139" s="11" t="n">
        <v>0</v>
      </c>
      <c r="Q139" s="11" t="n">
        <v>1.8</v>
      </c>
      <c r="R139" s="11" t="n">
        <v>0</v>
      </c>
      <c r="S139" s="11" t="n">
        <v>0</v>
      </c>
      <c r="T139" s="11" t="n">
        <f aca="false">SUM(N139:S139)</f>
        <v>1.8</v>
      </c>
      <c r="U139" s="11" t="n">
        <v>0</v>
      </c>
      <c r="V139" s="11" t="n">
        <v>5.28</v>
      </c>
      <c r="W139" s="11" t="n">
        <v>0</v>
      </c>
      <c r="X139" s="11" t="n">
        <v>0</v>
      </c>
      <c r="Y139" s="11" t="n">
        <v>10.4</v>
      </c>
      <c r="Z139" s="11" t="n">
        <v>0</v>
      </c>
      <c r="AA139" s="11" t="n">
        <f aca="false">SUM(U139:Z139)</f>
        <v>15.68</v>
      </c>
      <c r="AB139" s="11" t="n">
        <v>0</v>
      </c>
      <c r="AC139" s="11" t="n">
        <v>1.62</v>
      </c>
      <c r="AD139" s="11" t="n">
        <v>0</v>
      </c>
      <c r="AE139" s="11" t="n">
        <v>0</v>
      </c>
      <c r="AF139" s="11" t="n">
        <v>1.8</v>
      </c>
      <c r="AG139" s="11" t="n">
        <v>0</v>
      </c>
      <c r="AH139" s="11" t="n">
        <f aca="false">SUM(AB139:AG139)</f>
        <v>3.42</v>
      </c>
    </row>
    <row r="140" customFormat="false" ht="15" hidden="false" customHeight="false" outlineLevel="2" collapsed="false">
      <c r="A140" s="8" t="s">
        <v>346</v>
      </c>
      <c r="B140" s="9" t="s">
        <v>347</v>
      </c>
      <c r="C140" s="8" t="s">
        <v>262</v>
      </c>
      <c r="D140" s="12" t="s">
        <v>263</v>
      </c>
      <c r="E140" s="16"/>
      <c r="F140" s="9" t="str">
        <f aca="false">IF($E140="","",IFERROR(INDEX(担当者マスタ!$B$2:$B$101,MATCH($E140,担当者マスタ!$A$2:$A$101,0)),"※マスタ未登録"))</f>
        <v/>
      </c>
      <c r="G140" s="11" t="n">
        <v>382.417</v>
      </c>
      <c r="H140" s="11" t="n">
        <v>348.463</v>
      </c>
      <c r="I140" s="11" t="n">
        <v>204.661</v>
      </c>
      <c r="J140" s="11" t="n">
        <v>279.794</v>
      </c>
      <c r="K140" s="11" t="n">
        <v>224.268</v>
      </c>
      <c r="L140" s="11" t="n">
        <v>291.054</v>
      </c>
      <c r="M140" s="11" t="n">
        <f aca="false">SUM(G140:L140)</f>
        <v>1730.657</v>
      </c>
      <c r="N140" s="11" t="n">
        <v>61.457</v>
      </c>
      <c r="O140" s="11" t="n">
        <v>28.343</v>
      </c>
      <c r="P140" s="11" t="n">
        <v>-1.659</v>
      </c>
      <c r="Q140" s="11" t="n">
        <v>33.754</v>
      </c>
      <c r="R140" s="11" t="n">
        <v>25.228</v>
      </c>
      <c r="S140" s="11" t="n">
        <v>29.774</v>
      </c>
      <c r="T140" s="11" t="n">
        <f aca="false">SUM(N140:S140)</f>
        <v>176.897</v>
      </c>
      <c r="U140" s="11" t="n">
        <v>384.309</v>
      </c>
      <c r="V140" s="11" t="n">
        <v>739.124</v>
      </c>
      <c r="W140" s="11" t="n">
        <v>330.358</v>
      </c>
      <c r="X140" s="11" t="n">
        <v>183.226</v>
      </c>
      <c r="Y140" s="11" t="n">
        <v>186.28</v>
      </c>
      <c r="Z140" s="11" t="n">
        <v>358.448</v>
      </c>
      <c r="AA140" s="11" t="n">
        <f aca="false">SUM(U140:Z140)</f>
        <v>2181.745</v>
      </c>
      <c r="AB140" s="11" t="n">
        <v>29.909</v>
      </c>
      <c r="AC140" s="11" t="n">
        <v>129.792</v>
      </c>
      <c r="AD140" s="11" t="n">
        <v>48.618</v>
      </c>
      <c r="AE140" s="11" t="n">
        <v>25.846</v>
      </c>
      <c r="AF140" s="11" t="n">
        <v>36.84</v>
      </c>
      <c r="AG140" s="11" t="n">
        <v>74.368</v>
      </c>
      <c r="AH140" s="11" t="n">
        <f aca="false">SUM(AB140:AG140)</f>
        <v>345.373</v>
      </c>
    </row>
    <row r="141" customFormat="false" ht="15" hidden="false" customHeight="false" outlineLevel="2" collapsed="false">
      <c r="A141" s="8" t="s">
        <v>348</v>
      </c>
      <c r="B141" s="12" t="s">
        <v>349</v>
      </c>
      <c r="C141" s="8" t="s">
        <v>262</v>
      </c>
      <c r="D141" s="12" t="s">
        <v>263</v>
      </c>
      <c r="E141" s="16"/>
      <c r="F141" s="9" t="str">
        <f aca="false">IF($E141="","",IFERROR(INDEX(担当者マスタ!$B$2:$B$101,MATCH($E141,担当者マスタ!$A$2:$A$101,0)),"※マスタ未登録"))</f>
        <v/>
      </c>
      <c r="G141" s="11" t="n">
        <v>0</v>
      </c>
      <c r="H141" s="11" t="n">
        <v>0</v>
      </c>
      <c r="I141" s="11" t="n">
        <v>28</v>
      </c>
      <c r="J141" s="11" t="n">
        <v>0</v>
      </c>
      <c r="K141" s="11" t="n">
        <v>23.9</v>
      </c>
      <c r="L141" s="11" t="n">
        <v>0</v>
      </c>
      <c r="M141" s="11" t="n">
        <f aca="false">SUM(G141:L141)</f>
        <v>51.9</v>
      </c>
      <c r="N141" s="11" t="n">
        <v>0</v>
      </c>
      <c r="O141" s="11" t="n">
        <v>0</v>
      </c>
      <c r="P141" s="11" t="n">
        <v>6.18</v>
      </c>
      <c r="Q141" s="11" t="n">
        <v>0</v>
      </c>
      <c r="R141" s="11" t="n">
        <v>1.1</v>
      </c>
      <c r="S141" s="11" t="n">
        <v>0</v>
      </c>
      <c r="T141" s="11" t="n">
        <f aca="false">SUM(N141:S141)</f>
        <v>7.28</v>
      </c>
      <c r="U141" s="11" t="n">
        <v>16.11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23.9</v>
      </c>
      <c r="AA141" s="11" t="n">
        <f aca="false">SUM(U141:Z141)</f>
        <v>40.01</v>
      </c>
      <c r="AB141" s="11" t="n">
        <v>2.897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-1.3</v>
      </c>
      <c r="AH141" s="11" t="n">
        <f aca="false">SUM(AB141:AG141)</f>
        <v>1.597</v>
      </c>
    </row>
    <row r="142" customFormat="false" ht="15" hidden="false" customHeight="false" outlineLevel="2" collapsed="false">
      <c r="A142" s="8" t="s">
        <v>350</v>
      </c>
      <c r="B142" s="12" t="s">
        <v>351</v>
      </c>
      <c r="C142" s="8" t="s">
        <v>262</v>
      </c>
      <c r="D142" s="12" t="s">
        <v>263</v>
      </c>
      <c r="E142" s="16"/>
      <c r="F142" s="9" t="str">
        <f aca="false">IF($E142="","",IFERROR(INDEX(担当者マスタ!$B$2:$B$101,MATCH($E142,担当者マスタ!$A$2:$A$101,0)),"※マスタ未登録"))</f>
        <v/>
      </c>
      <c r="G142" s="11" t="n">
        <v>35.07</v>
      </c>
      <c r="H142" s="11" t="n">
        <v>0</v>
      </c>
      <c r="I142" s="11" t="n">
        <v>0</v>
      </c>
      <c r="J142" s="11" t="n">
        <v>21.44</v>
      </c>
      <c r="K142" s="11" t="n">
        <v>0</v>
      </c>
      <c r="L142" s="11" t="n">
        <v>0</v>
      </c>
      <c r="M142" s="11" t="n">
        <f aca="false">SUM(G142:L142)</f>
        <v>56.51</v>
      </c>
      <c r="N142" s="11" t="n">
        <v>5.35</v>
      </c>
      <c r="O142" s="11" t="n">
        <v>0</v>
      </c>
      <c r="P142" s="11" t="n">
        <v>0</v>
      </c>
      <c r="Q142" s="11" t="n">
        <v>3.28</v>
      </c>
      <c r="R142" s="11" t="n">
        <v>0</v>
      </c>
      <c r="S142" s="11" t="n">
        <v>0</v>
      </c>
      <c r="T142" s="11" t="n">
        <f aca="false">SUM(N142:S142)</f>
        <v>8.63</v>
      </c>
      <c r="U142" s="11" t="n">
        <v>0</v>
      </c>
      <c r="V142" s="11" t="n">
        <v>0</v>
      </c>
      <c r="W142" s="11" t="n">
        <v>21.44</v>
      </c>
      <c r="X142" s="11" t="n">
        <v>0</v>
      </c>
      <c r="Y142" s="11" t="n">
        <v>0</v>
      </c>
      <c r="Z142" s="11" t="n">
        <v>0</v>
      </c>
      <c r="AA142" s="11" t="n">
        <f aca="false">SUM(U142:Z142)</f>
        <v>21.44</v>
      </c>
      <c r="AB142" s="11" t="n">
        <v>0</v>
      </c>
      <c r="AC142" s="11" t="n">
        <v>0</v>
      </c>
      <c r="AD142" s="11" t="n">
        <v>3.28</v>
      </c>
      <c r="AE142" s="11" t="n">
        <v>0</v>
      </c>
      <c r="AF142" s="11" t="n">
        <v>0</v>
      </c>
      <c r="AG142" s="11" t="n">
        <v>0</v>
      </c>
      <c r="AH142" s="11" t="n">
        <f aca="false">SUM(AB142:AG142)</f>
        <v>3.28</v>
      </c>
    </row>
    <row r="143" customFormat="false" ht="15" hidden="false" customHeight="false" outlineLevel="2" collapsed="false">
      <c r="A143" s="8" t="s">
        <v>352</v>
      </c>
      <c r="B143" s="12" t="s">
        <v>353</v>
      </c>
      <c r="C143" s="8" t="s">
        <v>262</v>
      </c>
      <c r="D143" s="12" t="s">
        <v>263</v>
      </c>
      <c r="E143" s="16"/>
      <c r="F143" s="9" t="str">
        <f aca="false">IF($E143="","",IFERROR(INDEX(担当者マスタ!$B$2:$B$101,MATCH($E143,担当者マスタ!$A$2:$A$101,0)),"※マスタ未登録"))</f>
        <v/>
      </c>
      <c r="G143" s="11" t="n">
        <v>24</v>
      </c>
      <c r="H143" s="11" t="n">
        <v>0</v>
      </c>
      <c r="I143" s="11" t="n">
        <v>36</v>
      </c>
      <c r="J143" s="11" t="n">
        <v>0</v>
      </c>
      <c r="K143" s="11" t="n">
        <v>0</v>
      </c>
      <c r="L143" s="11" t="n">
        <v>24</v>
      </c>
      <c r="M143" s="11" t="n">
        <f aca="false">SUM(G143:L143)</f>
        <v>84</v>
      </c>
      <c r="N143" s="11" t="n">
        <v>6.72</v>
      </c>
      <c r="O143" s="11" t="n">
        <v>0</v>
      </c>
      <c r="P143" s="11" t="n">
        <v>10.08</v>
      </c>
      <c r="Q143" s="11" t="n">
        <v>0</v>
      </c>
      <c r="R143" s="11" t="n">
        <v>0</v>
      </c>
      <c r="S143" s="11" t="n">
        <v>6.72</v>
      </c>
      <c r="T143" s="11" t="n">
        <f aca="false">SUM(N143:S143)</f>
        <v>23.52</v>
      </c>
      <c r="U143" s="11" t="n">
        <v>24</v>
      </c>
      <c r="V143" s="11" t="n">
        <v>24</v>
      </c>
      <c r="W143" s="11" t="n">
        <v>24</v>
      </c>
      <c r="X143" s="11" t="n">
        <v>0</v>
      </c>
      <c r="Y143" s="11" t="n">
        <v>0</v>
      </c>
      <c r="Z143" s="11" t="n">
        <v>0</v>
      </c>
      <c r="AA143" s="11" t="n">
        <f aca="false">SUM(U143:Z143)</f>
        <v>72</v>
      </c>
      <c r="AB143" s="11" t="n">
        <v>6.72</v>
      </c>
      <c r="AC143" s="11" t="n">
        <v>6.72</v>
      </c>
      <c r="AD143" s="11" t="n">
        <v>6.72</v>
      </c>
      <c r="AE143" s="11" t="n">
        <v>0</v>
      </c>
      <c r="AF143" s="11" t="n">
        <v>0</v>
      </c>
      <c r="AG143" s="11" t="n">
        <v>0</v>
      </c>
      <c r="AH143" s="11" t="n">
        <f aca="false">SUM(AB143:AG143)</f>
        <v>20.16</v>
      </c>
    </row>
    <row r="144" customFormat="false" ht="15" hidden="false" customHeight="false" outlineLevel="2" collapsed="false">
      <c r="A144" s="8" t="s">
        <v>354</v>
      </c>
      <c r="B144" s="12" t="s">
        <v>355</v>
      </c>
      <c r="C144" s="8" t="s">
        <v>262</v>
      </c>
      <c r="D144" s="12" t="s">
        <v>263</v>
      </c>
      <c r="E144" s="16"/>
      <c r="F144" s="9" t="str">
        <f aca="false">IF($E144="","",IFERROR(INDEX(担当者マスタ!$B$2:$B$101,MATCH($E144,担当者マスタ!$A$2:$A$101,0)),"※マスタ未登録"))</f>
        <v/>
      </c>
      <c r="G144" s="11" t="n">
        <v>41.8</v>
      </c>
      <c r="H144" s="11" t="n">
        <v>0</v>
      </c>
      <c r="I144" s="11" t="n">
        <v>129</v>
      </c>
      <c r="J144" s="11" t="n">
        <v>54</v>
      </c>
      <c r="K144" s="11" t="n">
        <v>144.05</v>
      </c>
      <c r="L144" s="11" t="n">
        <v>0</v>
      </c>
      <c r="M144" s="11" t="n">
        <f aca="false">SUM(G144:L144)</f>
        <v>368.85</v>
      </c>
      <c r="N144" s="11" t="n">
        <v>24.4</v>
      </c>
      <c r="O144" s="11" t="n">
        <v>0</v>
      </c>
      <c r="P144" s="11" t="n">
        <v>25.65</v>
      </c>
      <c r="Q144" s="11" t="n">
        <v>9</v>
      </c>
      <c r="R144" s="11" t="n">
        <v>28.642</v>
      </c>
      <c r="S144" s="11" t="n">
        <v>0</v>
      </c>
      <c r="T144" s="11" t="n">
        <f aca="false">SUM(N144:S144)</f>
        <v>87.692</v>
      </c>
      <c r="U144" s="11" t="n">
        <v>257</v>
      </c>
      <c r="V144" s="11" t="n">
        <v>0</v>
      </c>
      <c r="W144" s="11" t="n">
        <v>67.51</v>
      </c>
      <c r="X144" s="11" t="n">
        <v>0</v>
      </c>
      <c r="Y144" s="11" t="n">
        <v>461.79</v>
      </c>
      <c r="Z144" s="11" t="n">
        <v>0</v>
      </c>
      <c r="AA144" s="11" t="n">
        <f aca="false">SUM(U144:Z144)</f>
        <v>786.3</v>
      </c>
      <c r="AB144" s="11" t="n">
        <v>39</v>
      </c>
      <c r="AC144" s="11" t="n">
        <v>0</v>
      </c>
      <c r="AD144" s="11" t="n">
        <v>9.106</v>
      </c>
      <c r="AE144" s="11" t="n">
        <v>0</v>
      </c>
      <c r="AF144" s="11" t="n">
        <v>65.274</v>
      </c>
      <c r="AG144" s="11" t="n">
        <v>0</v>
      </c>
      <c r="AH144" s="11" t="n">
        <f aca="false">SUM(AB144:AG144)</f>
        <v>113.38</v>
      </c>
    </row>
    <row r="145" customFormat="false" ht="15" hidden="false" customHeight="false" outlineLevel="2" collapsed="false">
      <c r="A145" s="8" t="s">
        <v>356</v>
      </c>
      <c r="B145" s="12" t="s">
        <v>357</v>
      </c>
      <c r="C145" s="8" t="s">
        <v>262</v>
      </c>
      <c r="D145" s="12" t="s">
        <v>263</v>
      </c>
      <c r="E145" s="16"/>
      <c r="F145" s="9" t="str">
        <f aca="false">IF($E145="","",IFERROR(INDEX(担当者マスタ!$B$2:$B$101,MATCH($E145,担当者マスタ!$A$2:$A$101,0)),"※マスタ未登録"))</f>
        <v/>
      </c>
      <c r="G145" s="11" t="n">
        <v>2125.558</v>
      </c>
      <c r="H145" s="11" t="n">
        <v>0</v>
      </c>
      <c r="I145" s="11" t="n">
        <v>299.117</v>
      </c>
      <c r="J145" s="11" t="n">
        <v>154.008</v>
      </c>
      <c r="K145" s="11" t="n">
        <v>114.024</v>
      </c>
      <c r="L145" s="11" t="n">
        <v>584.264</v>
      </c>
      <c r="M145" s="11" t="n">
        <f aca="false">SUM(G145:L145)</f>
        <v>3276.971</v>
      </c>
      <c r="N145" s="11" t="n">
        <v>376.481</v>
      </c>
      <c r="O145" s="11" t="n">
        <v>0</v>
      </c>
      <c r="P145" s="11" t="n">
        <v>45.823</v>
      </c>
      <c r="Q145" s="11" t="n">
        <v>27.448</v>
      </c>
      <c r="R145" s="11" t="n">
        <v>19.144</v>
      </c>
      <c r="S145" s="11" t="n">
        <v>116.484</v>
      </c>
      <c r="T145" s="11" t="n">
        <f aca="false">SUM(N145:S145)</f>
        <v>585.38</v>
      </c>
      <c r="U145" s="11" t="n">
        <v>1832.631</v>
      </c>
      <c r="V145" s="11" t="n">
        <v>1894.521</v>
      </c>
      <c r="W145" s="11" t="n">
        <v>2059.172</v>
      </c>
      <c r="X145" s="11" t="n">
        <v>2177.25</v>
      </c>
      <c r="Y145" s="11" t="n">
        <v>1870.659</v>
      </c>
      <c r="Z145" s="11" t="n">
        <v>2470.555</v>
      </c>
      <c r="AA145" s="11" t="n">
        <f aca="false">SUM(U145:Z145)</f>
        <v>12304.788</v>
      </c>
      <c r="AB145" s="11" t="n">
        <v>328.372</v>
      </c>
      <c r="AC145" s="11" t="n">
        <v>334.447</v>
      </c>
      <c r="AD145" s="11" t="n">
        <v>418.897</v>
      </c>
      <c r="AE145" s="11" t="n">
        <v>341.233</v>
      </c>
      <c r="AF145" s="11" t="n">
        <v>312.547</v>
      </c>
      <c r="AG145" s="11" t="n">
        <v>446.281</v>
      </c>
      <c r="AH145" s="11" t="n">
        <f aca="false">SUM(AB145:AG145)</f>
        <v>2181.777</v>
      </c>
    </row>
    <row r="146" customFormat="false" ht="15" hidden="false" customHeight="false" outlineLevel="2" collapsed="false">
      <c r="A146" s="8" t="s">
        <v>358</v>
      </c>
      <c r="B146" s="12" t="s">
        <v>359</v>
      </c>
      <c r="C146" s="8" t="s">
        <v>262</v>
      </c>
      <c r="D146" s="12" t="s">
        <v>263</v>
      </c>
      <c r="E146" s="16"/>
      <c r="F146" s="9" t="str">
        <f aca="false">IF($E146="","",IFERROR(INDEX(担当者マスタ!$B$2:$B$101,MATCH($E146,担当者マスタ!$A$2:$A$101,0)),"※マスタ未登録"))</f>
        <v/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23</v>
      </c>
      <c r="M146" s="11" t="n">
        <f aca="false">SUM(G146:L146)</f>
        <v>23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4.6</v>
      </c>
      <c r="T146" s="11" t="n">
        <f aca="false">SUM(N146:S146)</f>
        <v>4.6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f aca="false">SUM(U146:Z146)</f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f aca="false">SUM(AB146:AG146)</f>
        <v>0</v>
      </c>
    </row>
    <row r="147" customFormat="false" ht="15" hidden="false" customHeight="false" outlineLevel="2" collapsed="false">
      <c r="A147" s="8" t="s">
        <v>360</v>
      </c>
      <c r="B147" s="12" t="s">
        <v>361</v>
      </c>
      <c r="C147" s="8" t="s">
        <v>262</v>
      </c>
      <c r="D147" s="12" t="s">
        <v>263</v>
      </c>
      <c r="E147" s="16"/>
      <c r="F147" s="9" t="str">
        <f aca="false">IF($E147="","",IFERROR(INDEX(担当者マスタ!$B$2:$B$101,MATCH($E147,担当者マスタ!$A$2:$A$101,0)),"※マスタ未登録"))</f>
        <v/>
      </c>
      <c r="G147" s="11" t="n">
        <v>6.4</v>
      </c>
      <c r="H147" s="11" t="n">
        <v>0</v>
      </c>
      <c r="I147" s="11" t="n">
        <v>6.4</v>
      </c>
      <c r="J147" s="11" t="n">
        <v>0</v>
      </c>
      <c r="K147" s="11" t="n">
        <v>0</v>
      </c>
      <c r="L147" s="11" t="n">
        <v>0</v>
      </c>
      <c r="M147" s="11" t="n">
        <f aca="false">SUM(G147:L147)</f>
        <v>12.8</v>
      </c>
      <c r="N147" s="11" t="n">
        <v>2.64</v>
      </c>
      <c r="O147" s="11" t="n">
        <v>0</v>
      </c>
      <c r="P147" s="11" t="n">
        <v>2.64</v>
      </c>
      <c r="Q147" s="11" t="n">
        <v>0</v>
      </c>
      <c r="R147" s="11" t="n">
        <v>0</v>
      </c>
      <c r="S147" s="11" t="n">
        <v>0</v>
      </c>
      <c r="T147" s="11" t="n">
        <f aca="false">SUM(N147:S147)</f>
        <v>5.28</v>
      </c>
      <c r="U147" s="11" t="n">
        <v>25.5</v>
      </c>
      <c r="V147" s="11" t="n">
        <v>0</v>
      </c>
      <c r="W147" s="11" t="n">
        <v>4.2</v>
      </c>
      <c r="X147" s="11" t="n">
        <v>0</v>
      </c>
      <c r="Y147" s="11" t="n">
        <v>0</v>
      </c>
      <c r="Z147" s="11" t="n">
        <v>0</v>
      </c>
      <c r="AA147" s="11" t="n">
        <f aca="false">SUM(U147:Z147)</f>
        <v>29.7</v>
      </c>
      <c r="AB147" s="11" t="n">
        <v>9.144</v>
      </c>
      <c r="AC147" s="11" t="n">
        <v>0</v>
      </c>
      <c r="AD147" s="11" t="n">
        <v>0.816</v>
      </c>
      <c r="AE147" s="11" t="n">
        <v>0</v>
      </c>
      <c r="AF147" s="11" t="n">
        <v>0</v>
      </c>
      <c r="AG147" s="11" t="n">
        <v>0</v>
      </c>
      <c r="AH147" s="11" t="n">
        <f aca="false">SUM(AB147:AG147)</f>
        <v>9.96</v>
      </c>
    </row>
    <row r="148" customFormat="false" ht="15" hidden="false" customHeight="false" outlineLevel="2" collapsed="false">
      <c r="A148" s="8" t="s">
        <v>362</v>
      </c>
      <c r="B148" s="12" t="s">
        <v>363</v>
      </c>
      <c r="C148" s="8" t="s">
        <v>262</v>
      </c>
      <c r="D148" s="12" t="s">
        <v>263</v>
      </c>
      <c r="E148" s="16"/>
      <c r="F148" s="9" t="str">
        <f aca="false">IF($E148="","",IFERROR(INDEX(担当者マスタ!$B$2:$B$101,MATCH($E148,担当者マスタ!$A$2:$A$101,0)),"※マスタ未登録"))</f>
        <v/>
      </c>
      <c r="G148" s="11" t="n">
        <v>58.005</v>
      </c>
      <c r="H148" s="11" t="n">
        <v>138.058</v>
      </c>
      <c r="I148" s="11" t="n">
        <v>56.87</v>
      </c>
      <c r="J148" s="11" t="n">
        <v>43.482</v>
      </c>
      <c r="K148" s="11" t="n">
        <v>28.955</v>
      </c>
      <c r="L148" s="11" t="n">
        <v>26.085</v>
      </c>
      <c r="M148" s="11" t="n">
        <f aca="false">SUM(G148:L148)</f>
        <v>351.455</v>
      </c>
      <c r="N148" s="11" t="n">
        <v>5.501</v>
      </c>
      <c r="O148" s="11" t="n">
        <v>12</v>
      </c>
      <c r="P148" s="11" t="n">
        <v>5.555</v>
      </c>
      <c r="Q148" s="11" t="n">
        <v>7.556</v>
      </c>
      <c r="R148" s="11" t="n">
        <v>4.016</v>
      </c>
      <c r="S148" s="11" t="n">
        <v>3.207</v>
      </c>
      <c r="T148" s="11" t="n">
        <f aca="false">SUM(N148:S148)</f>
        <v>37.835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f aca="false">SUM(U148:Z148)</f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f aca="false">SUM(AB148:AG148)</f>
        <v>0</v>
      </c>
    </row>
    <row r="149" customFormat="false" ht="15" hidden="false" customHeight="false" outlineLevel="2" collapsed="false">
      <c r="A149" s="8" t="s">
        <v>364</v>
      </c>
      <c r="B149" s="12" t="s">
        <v>365</v>
      </c>
      <c r="C149" s="8" t="s">
        <v>262</v>
      </c>
      <c r="D149" s="12" t="s">
        <v>263</v>
      </c>
      <c r="E149" s="16"/>
      <c r="F149" s="9" t="str">
        <f aca="false">IF($E149="","",IFERROR(INDEX(担当者マスタ!$B$2:$B$101,MATCH($E149,担当者マスタ!$A$2:$A$101,0)),"※マスタ未登録"))</f>
        <v/>
      </c>
      <c r="G149" s="11" t="n">
        <v>0</v>
      </c>
      <c r="H149" s="11" t="n">
        <v>7.553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f aca="false">SUM(G149:L149)</f>
        <v>7.553</v>
      </c>
      <c r="N149" s="11" t="n">
        <v>0</v>
      </c>
      <c r="O149" s="11" t="n">
        <v>2.024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f aca="false">SUM(N149:S149)</f>
        <v>2.024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126.52</v>
      </c>
      <c r="AA149" s="11" t="n">
        <f aca="false">SUM(U149:Z149)</f>
        <v>126.52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44.165</v>
      </c>
      <c r="AH149" s="11" t="n">
        <f aca="false">SUM(AB149:AG149)</f>
        <v>44.165</v>
      </c>
    </row>
    <row r="150" customFormat="false" ht="15" hidden="false" customHeight="false" outlineLevel="2" collapsed="false">
      <c r="A150" s="8" t="s">
        <v>366</v>
      </c>
      <c r="B150" s="12" t="s">
        <v>367</v>
      </c>
      <c r="C150" s="8" t="s">
        <v>262</v>
      </c>
      <c r="D150" s="12" t="s">
        <v>263</v>
      </c>
      <c r="E150" s="16"/>
      <c r="F150" s="9" t="str">
        <f aca="false">IF($E150="","",IFERROR(INDEX(担当者マスタ!$B$2:$B$101,MATCH($E150,担当者マスタ!$A$2:$A$101,0)),"※マスタ未登録"))</f>
        <v/>
      </c>
      <c r="G150" s="11" t="n">
        <v>65.826</v>
      </c>
      <c r="H150" s="11" t="n">
        <v>67.978</v>
      </c>
      <c r="I150" s="11" t="n">
        <v>130.14</v>
      </c>
      <c r="J150" s="11" t="n">
        <v>40.8</v>
      </c>
      <c r="K150" s="11" t="n">
        <v>102.82</v>
      </c>
      <c r="L150" s="11" t="n">
        <v>172.68</v>
      </c>
      <c r="M150" s="11" t="n">
        <f aca="false">SUM(G150:L150)</f>
        <v>580.244</v>
      </c>
      <c r="N150" s="11" t="n">
        <v>14.922</v>
      </c>
      <c r="O150" s="11" t="n">
        <v>16.43</v>
      </c>
      <c r="P150" s="11" t="n">
        <v>23.873</v>
      </c>
      <c r="Q150" s="11" t="n">
        <v>6.8</v>
      </c>
      <c r="R150" s="11" t="n">
        <v>21.34</v>
      </c>
      <c r="S150" s="11" t="n">
        <v>32.68</v>
      </c>
      <c r="T150" s="11" t="n">
        <f aca="false">SUM(N150:S150)</f>
        <v>116.045</v>
      </c>
      <c r="U150" s="11" t="n">
        <v>9.26</v>
      </c>
      <c r="V150" s="11" t="n">
        <v>75.41</v>
      </c>
      <c r="W150" s="11" t="n">
        <v>0</v>
      </c>
      <c r="X150" s="11" t="n">
        <v>0</v>
      </c>
      <c r="Y150" s="11" t="n">
        <v>40.8</v>
      </c>
      <c r="Z150" s="11" t="n">
        <v>76.236</v>
      </c>
      <c r="AA150" s="11" t="n">
        <f aca="false">SUM(U150:Z150)</f>
        <v>201.706</v>
      </c>
      <c r="AB150" s="11" t="n">
        <v>3.13</v>
      </c>
      <c r="AC150" s="11" t="n">
        <v>16.28</v>
      </c>
      <c r="AD150" s="11" t="n">
        <v>0</v>
      </c>
      <c r="AE150" s="11" t="n">
        <v>0</v>
      </c>
      <c r="AF150" s="11" t="n">
        <v>6.8</v>
      </c>
      <c r="AG150" s="11" t="n">
        <v>16.532</v>
      </c>
      <c r="AH150" s="11" t="n">
        <f aca="false">SUM(AB150:AG150)</f>
        <v>42.742</v>
      </c>
    </row>
    <row r="151" customFormat="false" ht="15" hidden="false" customHeight="false" outlineLevel="2" collapsed="false">
      <c r="A151" s="8" t="s">
        <v>368</v>
      </c>
      <c r="B151" s="12" t="s">
        <v>369</v>
      </c>
      <c r="C151" s="8" t="s">
        <v>262</v>
      </c>
      <c r="D151" s="12" t="s">
        <v>263</v>
      </c>
      <c r="E151" s="16"/>
      <c r="F151" s="9" t="str">
        <f aca="false">IF($E151="","",IFERROR(INDEX(担当者マスタ!$B$2:$B$101,MATCH($E151,担当者マスタ!$A$2:$A$101,0)),"※マスタ未登録"))</f>
        <v/>
      </c>
      <c r="G151" s="11" t="n">
        <v>0</v>
      </c>
      <c r="H151" s="11" t="n">
        <v>0</v>
      </c>
      <c r="I151" s="11" t="n">
        <v>0</v>
      </c>
      <c r="J151" s="11" t="n">
        <v>13.8</v>
      </c>
      <c r="K151" s="11" t="n">
        <v>0</v>
      </c>
      <c r="L151" s="11" t="n">
        <v>167</v>
      </c>
      <c r="M151" s="11" t="n">
        <f aca="false">SUM(G151:L151)</f>
        <v>180.8</v>
      </c>
      <c r="N151" s="11" t="n">
        <v>0</v>
      </c>
      <c r="O151" s="11" t="n">
        <v>0</v>
      </c>
      <c r="P151" s="11" t="n">
        <v>0</v>
      </c>
      <c r="Q151" s="11" t="n">
        <v>3</v>
      </c>
      <c r="R151" s="11" t="n">
        <v>0</v>
      </c>
      <c r="S151" s="11" t="n">
        <v>44</v>
      </c>
      <c r="T151" s="11" t="n">
        <f aca="false">SUM(N151:S151)</f>
        <v>47</v>
      </c>
      <c r="U151" s="11" t="n">
        <v>154.8</v>
      </c>
      <c r="V151" s="11" t="n">
        <v>0</v>
      </c>
      <c r="W151" s="11" t="n">
        <v>45.75</v>
      </c>
      <c r="X151" s="11" t="n">
        <v>0</v>
      </c>
      <c r="Y151" s="11" t="n">
        <v>0</v>
      </c>
      <c r="Z151" s="11" t="n">
        <v>0</v>
      </c>
      <c r="AA151" s="11" t="n">
        <f aca="false">SUM(U151:Z151)</f>
        <v>200.55</v>
      </c>
      <c r="AB151" s="11" t="n">
        <v>6.6</v>
      </c>
      <c r="AC151" s="11" t="n">
        <v>0</v>
      </c>
      <c r="AD151" s="11" t="n">
        <v>7.25</v>
      </c>
      <c r="AE151" s="11" t="n">
        <v>0</v>
      </c>
      <c r="AF151" s="11" t="n">
        <v>0</v>
      </c>
      <c r="AG151" s="11" t="n">
        <v>0</v>
      </c>
      <c r="AH151" s="11" t="n">
        <f aca="false">SUM(AB151:AG151)</f>
        <v>13.85</v>
      </c>
    </row>
    <row r="152" customFormat="false" ht="15" hidden="false" customHeight="false" outlineLevel="2" collapsed="false">
      <c r="A152" s="8" t="s">
        <v>370</v>
      </c>
      <c r="B152" s="12" t="s">
        <v>371</v>
      </c>
      <c r="C152" s="8" t="s">
        <v>262</v>
      </c>
      <c r="D152" s="12" t="s">
        <v>263</v>
      </c>
      <c r="E152" s="16"/>
      <c r="F152" s="9" t="str">
        <f aca="false">IF($E152="","",IFERROR(INDEX(担当者マスタ!$B$2:$B$101,MATCH($E152,担当者マスタ!$A$2:$A$101,0)),"※マスタ未登録"))</f>
        <v/>
      </c>
      <c r="G152" s="11" t="n">
        <v>33.6</v>
      </c>
      <c r="H152" s="11" t="n">
        <v>89.25</v>
      </c>
      <c r="I152" s="11" t="n">
        <v>0</v>
      </c>
      <c r="J152" s="11" t="n">
        <v>143.094</v>
      </c>
      <c r="K152" s="11" t="n">
        <v>0</v>
      </c>
      <c r="L152" s="11" t="n">
        <v>33.6</v>
      </c>
      <c r="M152" s="11" t="n">
        <f aca="false">SUM(G152:L152)</f>
        <v>299.544</v>
      </c>
      <c r="N152" s="11" t="n">
        <v>4.92</v>
      </c>
      <c r="O152" s="11" t="n">
        <v>14.07</v>
      </c>
      <c r="P152" s="11" t="n">
        <v>0</v>
      </c>
      <c r="Q152" s="11" t="n">
        <v>19.7799</v>
      </c>
      <c r="R152" s="11" t="n">
        <v>0</v>
      </c>
      <c r="S152" s="11" t="n">
        <v>4.92</v>
      </c>
      <c r="T152" s="11" t="n">
        <f aca="false">SUM(N152:S152)</f>
        <v>43.6899</v>
      </c>
      <c r="U152" s="11" t="n">
        <v>33.6</v>
      </c>
      <c r="V152" s="11" t="n">
        <v>0</v>
      </c>
      <c r="W152" s="11" t="n">
        <v>137.2</v>
      </c>
      <c r="X152" s="11" t="n">
        <v>33.6</v>
      </c>
      <c r="Y152" s="11" t="n">
        <v>0</v>
      </c>
      <c r="Z152" s="11" t="n">
        <v>142.5</v>
      </c>
      <c r="AA152" s="11" t="n">
        <f aca="false">SUM(U152:Z152)</f>
        <v>346.9</v>
      </c>
      <c r="AB152" s="11" t="n">
        <v>5.1</v>
      </c>
      <c r="AC152" s="11" t="n">
        <v>0</v>
      </c>
      <c r="AD152" s="11" t="n">
        <v>15.02</v>
      </c>
      <c r="AE152" s="11" t="n">
        <v>5.1</v>
      </c>
      <c r="AF152" s="11" t="n">
        <v>0</v>
      </c>
      <c r="AG152" s="11" t="n">
        <v>22.275</v>
      </c>
      <c r="AH152" s="11" t="n">
        <f aca="false">SUM(AB152:AG152)</f>
        <v>47.495</v>
      </c>
    </row>
    <row r="153" customFormat="false" ht="15" hidden="false" customHeight="false" outlineLevel="2" collapsed="false">
      <c r="A153" s="8" t="s">
        <v>372</v>
      </c>
      <c r="B153" s="12" t="s">
        <v>373</v>
      </c>
      <c r="C153" s="8" t="s">
        <v>262</v>
      </c>
      <c r="D153" s="12" t="s">
        <v>263</v>
      </c>
      <c r="E153" s="16"/>
      <c r="F153" s="9" t="str">
        <f aca="false">IF($E153="","",IFERROR(INDEX(担当者マスタ!$B$2:$B$101,MATCH($E153,担当者マスタ!$A$2:$A$101,0)),"※マスタ未登録"))</f>
        <v/>
      </c>
      <c r="G153" s="11" t="n">
        <v>0</v>
      </c>
      <c r="H153" s="11" t="n">
        <v>0</v>
      </c>
      <c r="I153" s="11" t="n">
        <v>613.824</v>
      </c>
      <c r="J153" s="11" t="n">
        <v>0</v>
      </c>
      <c r="K153" s="11" t="n">
        <v>0</v>
      </c>
      <c r="L153" s="11" t="n">
        <v>0</v>
      </c>
      <c r="M153" s="11" t="n">
        <f aca="false">SUM(G153:L153)</f>
        <v>613.824</v>
      </c>
      <c r="N153" s="11" t="n">
        <v>0</v>
      </c>
      <c r="O153" s="11" t="n">
        <v>0</v>
      </c>
      <c r="P153" s="11" t="n">
        <v>139.104</v>
      </c>
      <c r="Q153" s="11" t="n">
        <v>0</v>
      </c>
      <c r="R153" s="11" t="n">
        <v>0</v>
      </c>
      <c r="S153" s="11" t="n">
        <v>0</v>
      </c>
      <c r="T153" s="11" t="n">
        <f aca="false">SUM(N153:S153)</f>
        <v>139.104</v>
      </c>
      <c r="U153" s="11" t="n">
        <v>0</v>
      </c>
      <c r="V153" s="11" t="n">
        <v>0</v>
      </c>
      <c r="W153" s="11" t="n">
        <v>600.48</v>
      </c>
      <c r="X153" s="11" t="n">
        <v>0</v>
      </c>
      <c r="Y153" s="11" t="n">
        <v>0</v>
      </c>
      <c r="Z153" s="11" t="n">
        <v>0</v>
      </c>
      <c r="AA153" s="11" t="n">
        <f aca="false">SUM(U153:Z153)</f>
        <v>600.48</v>
      </c>
      <c r="AB153" s="11" t="n">
        <v>0</v>
      </c>
      <c r="AC153" s="11" t="n">
        <v>0</v>
      </c>
      <c r="AD153" s="11" t="n">
        <v>112.32</v>
      </c>
      <c r="AE153" s="11" t="n">
        <v>0</v>
      </c>
      <c r="AF153" s="11" t="n">
        <v>0</v>
      </c>
      <c r="AG153" s="11" t="n">
        <v>0</v>
      </c>
      <c r="AH153" s="11" t="n">
        <f aca="false">SUM(AB153:AG153)</f>
        <v>112.32</v>
      </c>
    </row>
    <row r="154" customFormat="false" ht="15" hidden="false" customHeight="false" outlineLevel="2" collapsed="false">
      <c r="A154" s="8" t="s">
        <v>374</v>
      </c>
      <c r="B154" s="12" t="s">
        <v>375</v>
      </c>
      <c r="C154" s="8" t="s">
        <v>262</v>
      </c>
      <c r="D154" s="12" t="s">
        <v>263</v>
      </c>
      <c r="E154" s="16"/>
      <c r="F154" s="9" t="str">
        <f aca="false">IF($E154="","",IFERROR(INDEX(担当者マスタ!$B$2:$B$101,MATCH($E154,担当者マスタ!$A$2:$A$101,0)),"※マスタ未登録"))</f>
        <v/>
      </c>
      <c r="G154" s="11" t="n">
        <v>0</v>
      </c>
      <c r="H154" s="11" t="n">
        <v>477.351</v>
      </c>
      <c r="I154" s="11" t="n">
        <v>263.693</v>
      </c>
      <c r="J154" s="11" t="n">
        <v>232.485</v>
      </c>
      <c r="K154" s="11" t="n">
        <v>71.326</v>
      </c>
      <c r="L154" s="11" t="n">
        <v>119.437</v>
      </c>
      <c r="M154" s="11" t="n">
        <f aca="false">SUM(G154:L154)</f>
        <v>1164.292</v>
      </c>
      <c r="N154" s="11" t="n">
        <v>0</v>
      </c>
      <c r="O154" s="11" t="n">
        <v>138.286</v>
      </c>
      <c r="P154" s="11" t="n">
        <v>79.514</v>
      </c>
      <c r="Q154" s="11" t="n">
        <v>82.37</v>
      </c>
      <c r="R154" s="11" t="n">
        <v>21.96</v>
      </c>
      <c r="S154" s="11" t="n">
        <v>37.938</v>
      </c>
      <c r="T154" s="11" t="n">
        <f aca="false">SUM(N154:S154)</f>
        <v>360.068</v>
      </c>
      <c r="U154" s="11" t="n">
        <v>113.144</v>
      </c>
      <c r="V154" s="11" t="n">
        <v>131.67</v>
      </c>
      <c r="W154" s="11" t="n">
        <v>175.916</v>
      </c>
      <c r="X154" s="11" t="n">
        <v>75.035</v>
      </c>
      <c r="Y154" s="11" t="n">
        <v>41.929</v>
      </c>
      <c r="Z154" s="11" t="n">
        <v>67.949</v>
      </c>
      <c r="AA154" s="11" t="n">
        <f aca="false">SUM(U154:Z154)</f>
        <v>605.643</v>
      </c>
      <c r="AB154" s="11" t="n">
        <v>36.501</v>
      </c>
      <c r="AC154" s="11" t="n">
        <v>46.436</v>
      </c>
      <c r="AD154" s="11" t="n">
        <v>62.307</v>
      </c>
      <c r="AE154" s="11" t="n">
        <v>23.524</v>
      </c>
      <c r="AF154" s="11" t="n">
        <v>10.684</v>
      </c>
      <c r="AG154" s="11" t="n">
        <v>25.48</v>
      </c>
      <c r="AH154" s="11" t="n">
        <f aca="false">SUM(AB154:AG154)</f>
        <v>204.932</v>
      </c>
    </row>
    <row r="155" customFormat="false" ht="15" hidden="false" customHeight="false" outlineLevel="2" collapsed="false">
      <c r="A155" s="8" t="s">
        <v>376</v>
      </c>
      <c r="B155" s="12" t="s">
        <v>377</v>
      </c>
      <c r="C155" s="8" t="s">
        <v>262</v>
      </c>
      <c r="D155" s="12" t="s">
        <v>263</v>
      </c>
      <c r="E155" s="16"/>
      <c r="F155" s="9" t="str">
        <f aca="false">IF($E155="","",IFERROR(INDEX(担当者マスタ!$B$2:$B$101,MATCH($E155,担当者マスタ!$A$2:$A$101,0)),"※マスタ未登録"))</f>
        <v/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f aca="false">SUM(G155:L155)</f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f aca="false">SUM(N155:S155)</f>
        <v>0</v>
      </c>
      <c r="U155" s="11" t="n">
        <v>54.1</v>
      </c>
      <c r="V155" s="11" t="n">
        <v>61.9</v>
      </c>
      <c r="W155" s="11" t="n">
        <v>41.4</v>
      </c>
      <c r="X155" s="11" t="n">
        <v>5.1</v>
      </c>
      <c r="Y155" s="11" t="n">
        <v>82.595</v>
      </c>
      <c r="Z155" s="11" t="n">
        <v>75.7</v>
      </c>
      <c r="AA155" s="11" t="n">
        <f aca="false">SUM(U155:Z155)</f>
        <v>320.795</v>
      </c>
      <c r="AB155" s="11" t="n">
        <v>11.574</v>
      </c>
      <c r="AC155" s="11" t="n">
        <v>14.5704</v>
      </c>
      <c r="AD155" s="11" t="n">
        <v>12.429</v>
      </c>
      <c r="AE155" s="11" t="n">
        <v>2.02</v>
      </c>
      <c r="AF155" s="11" t="n">
        <v>20.922</v>
      </c>
      <c r="AG155" s="11" t="n">
        <v>19.134</v>
      </c>
      <c r="AH155" s="11" t="n">
        <f aca="false">SUM(AB155:AG155)</f>
        <v>80.6494</v>
      </c>
    </row>
    <row r="156" customFormat="false" ht="15" hidden="false" customHeight="false" outlineLevel="2" collapsed="false">
      <c r="A156" s="8" t="s">
        <v>378</v>
      </c>
      <c r="B156" s="12" t="s">
        <v>379</v>
      </c>
      <c r="C156" s="8" t="s">
        <v>262</v>
      </c>
      <c r="D156" s="12" t="s">
        <v>263</v>
      </c>
      <c r="E156" s="16"/>
      <c r="F156" s="9" t="str">
        <f aca="false">IF($E156="","",IFERROR(INDEX(担当者マスタ!$B$2:$B$101,MATCH($E156,担当者マスタ!$A$2:$A$101,0)),"※マスタ未登録"))</f>
        <v/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f aca="false">SUM(G156:L156)</f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f aca="false">SUM(N156:S156)</f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72.78</v>
      </c>
      <c r="Z156" s="11" t="n">
        <v>0</v>
      </c>
      <c r="AA156" s="11" t="n">
        <f aca="false">SUM(U156:Z156)</f>
        <v>72.78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6.68</v>
      </c>
      <c r="AG156" s="11" t="n">
        <v>0</v>
      </c>
      <c r="AH156" s="11" t="n">
        <f aca="false">SUM(AB156:AG156)</f>
        <v>6.68</v>
      </c>
    </row>
    <row r="157" customFormat="false" ht="15" hidden="false" customHeight="false" outlineLevel="2" collapsed="false">
      <c r="A157" s="8" t="s">
        <v>380</v>
      </c>
      <c r="B157" s="12" t="s">
        <v>381</v>
      </c>
      <c r="C157" s="8" t="s">
        <v>262</v>
      </c>
      <c r="D157" s="12" t="s">
        <v>263</v>
      </c>
      <c r="E157" s="16"/>
      <c r="F157" s="9" t="str">
        <f aca="false">IF($E157="","",IFERROR(INDEX(担当者マスタ!$B$2:$B$101,MATCH($E157,担当者マスタ!$A$2:$A$101,0)),"※マスタ未登録"))</f>
        <v/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f aca="false">SUM(G157:L157)</f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f aca="false">SUM(N157:S157)</f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157.54</v>
      </c>
      <c r="AA157" s="11" t="n">
        <f aca="false">SUM(U157:Z157)</f>
        <v>157.54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41.546</v>
      </c>
      <c r="AH157" s="11" t="n">
        <f aca="false">SUM(AB157:AG157)</f>
        <v>41.546</v>
      </c>
    </row>
    <row r="158" customFormat="false" ht="15" hidden="false" customHeight="false" outlineLevel="2" collapsed="false">
      <c r="A158" s="8" t="s">
        <v>382</v>
      </c>
      <c r="B158" s="12" t="s">
        <v>383</v>
      </c>
      <c r="C158" s="8" t="s">
        <v>262</v>
      </c>
      <c r="D158" s="12" t="s">
        <v>263</v>
      </c>
      <c r="E158" s="16"/>
      <c r="F158" s="9" t="str">
        <f aca="false">IF($E158="","",IFERROR(INDEX(担当者マスタ!$B$2:$B$101,MATCH($E158,担当者マスタ!$A$2:$A$101,0)),"※マスタ未登録"))</f>
        <v/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f aca="false">SUM(G158:L158)</f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f aca="false">SUM(N158:S158)</f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8.9</v>
      </c>
      <c r="AA158" s="11" t="n">
        <f aca="false">SUM(U158:Z158)</f>
        <v>8.9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1.68</v>
      </c>
      <c r="AH158" s="11" t="n">
        <f aca="false">SUM(AB158:AG158)</f>
        <v>1.68</v>
      </c>
    </row>
    <row r="159" customFormat="false" ht="15" hidden="false" customHeight="false" outlineLevel="2" collapsed="false">
      <c r="A159" s="8" t="s">
        <v>384</v>
      </c>
      <c r="B159" s="9" t="s">
        <v>385</v>
      </c>
      <c r="C159" s="8" t="s">
        <v>262</v>
      </c>
      <c r="D159" s="12" t="s">
        <v>263</v>
      </c>
      <c r="E159" s="16"/>
      <c r="F159" s="9" t="str">
        <f aca="false">IF($E159="","",IFERROR(INDEX(担当者マスタ!$B$2:$B$101,MATCH($E159,担当者マスタ!$A$2:$A$101,0)),"※マスタ未登録"))</f>
        <v/>
      </c>
      <c r="G159" s="11" t="n">
        <v>0</v>
      </c>
      <c r="H159" s="11" t="n">
        <v>0</v>
      </c>
      <c r="I159" s="11" t="n">
        <v>38</v>
      </c>
      <c r="J159" s="11" t="n">
        <v>0</v>
      </c>
      <c r="K159" s="11" t="n">
        <v>0</v>
      </c>
      <c r="L159" s="11" t="n">
        <v>0</v>
      </c>
      <c r="M159" s="11" t="n">
        <f aca="false">SUM(G159:L159)</f>
        <v>38</v>
      </c>
      <c r="N159" s="11" t="n">
        <v>0</v>
      </c>
      <c r="O159" s="11" t="n">
        <v>0</v>
      </c>
      <c r="P159" s="11" t="n">
        <v>5</v>
      </c>
      <c r="Q159" s="11" t="n">
        <v>0</v>
      </c>
      <c r="R159" s="11" t="n">
        <v>0</v>
      </c>
      <c r="S159" s="11" t="n">
        <v>0</v>
      </c>
      <c r="T159" s="11" t="n">
        <f aca="false">SUM(N159:S159)</f>
        <v>5</v>
      </c>
      <c r="U159" s="11" t="n">
        <v>0</v>
      </c>
      <c r="V159" s="11" t="n">
        <v>0</v>
      </c>
      <c r="W159" s="11" t="n">
        <v>0</v>
      </c>
      <c r="X159" s="11" t="n">
        <v>38</v>
      </c>
      <c r="Y159" s="11" t="n">
        <v>0</v>
      </c>
      <c r="Z159" s="11" t="n">
        <v>0</v>
      </c>
      <c r="AA159" s="11" t="n">
        <f aca="false">SUM(U159:Z159)</f>
        <v>38</v>
      </c>
      <c r="AB159" s="11" t="n">
        <v>0</v>
      </c>
      <c r="AC159" s="11" t="n">
        <v>0</v>
      </c>
      <c r="AD159" s="11" t="n">
        <v>0</v>
      </c>
      <c r="AE159" s="11" t="n">
        <v>5</v>
      </c>
      <c r="AF159" s="11" t="n">
        <v>0</v>
      </c>
      <c r="AG159" s="11" t="n">
        <v>0</v>
      </c>
      <c r="AH159" s="11" t="n">
        <f aca="false">SUM(AB159:AG159)</f>
        <v>5</v>
      </c>
    </row>
    <row r="160" customFormat="false" ht="15" hidden="false" customHeight="false" outlineLevel="1" collapsed="false">
      <c r="A160" s="19"/>
      <c r="B160" s="19"/>
      <c r="C160" s="17" t="s">
        <v>1966</v>
      </c>
      <c r="D160" s="19" t="s">
        <v>263</v>
      </c>
      <c r="E160" s="19"/>
      <c r="F160" s="19"/>
      <c r="G160" s="18" t="n">
        <f aca="false">SUBTOTAL(9,G98:G159)</f>
        <v>7806.823</v>
      </c>
      <c r="H160" s="18" t="n">
        <f aca="false">SUBTOTAL(9,H98:H159)</f>
        <v>6994.736</v>
      </c>
      <c r="I160" s="18" t="n">
        <f aca="false">SUBTOTAL(9,I98:I159)</f>
        <v>8117.205</v>
      </c>
      <c r="J160" s="18" t="n">
        <f aca="false">SUBTOTAL(9,J98:J159)</f>
        <v>4641.754</v>
      </c>
      <c r="K160" s="18" t="n">
        <f aca="false">SUBTOTAL(9,K98:K159)</f>
        <v>6435.615</v>
      </c>
      <c r="L160" s="18" t="n">
        <f aca="false">SUBTOTAL(9,L98:L159)</f>
        <v>4288.23</v>
      </c>
      <c r="M160" s="18" t="n">
        <f aca="false">SUBTOTAL(9,M98:M159)</f>
        <v>38284.363</v>
      </c>
      <c r="N160" s="18" t="n">
        <f aca="false">SUBTOTAL(9,N98:N159)</f>
        <v>2221.008</v>
      </c>
      <c r="O160" s="18" t="n">
        <f aca="false">SUBTOTAL(9,O98:O159)</f>
        <v>2161.105</v>
      </c>
      <c r="P160" s="18" t="n">
        <f aca="false">SUBTOTAL(9,P98:P159)</f>
        <v>2738.648</v>
      </c>
      <c r="Q160" s="18" t="n">
        <f aca="false">SUBTOTAL(9,Q98:Q159)</f>
        <v>1475.6679</v>
      </c>
      <c r="R160" s="18" t="n">
        <f aca="false">SUBTOTAL(9,R98:R159)</f>
        <v>1935.695</v>
      </c>
      <c r="S160" s="18" t="n">
        <f aca="false">SUBTOTAL(9,S98:S159)</f>
        <v>1225.8206</v>
      </c>
      <c r="T160" s="18" t="n">
        <f aca="false">SUBTOTAL(9,T98:T159)</f>
        <v>11757.9445</v>
      </c>
      <c r="U160" s="18" t="n">
        <f aca="false">SUBTOTAL(9,U98:U159)</f>
        <v>10429.491</v>
      </c>
      <c r="V160" s="18" t="n">
        <f aca="false">SUBTOTAL(9,V98:V159)</f>
        <v>8611.878</v>
      </c>
      <c r="W160" s="18" t="n">
        <f aca="false">SUBTOTAL(9,W98:W159)</f>
        <v>11549.382</v>
      </c>
      <c r="X160" s="18" t="n">
        <f aca="false">SUBTOTAL(9,X98:X159)</f>
        <v>5002.084</v>
      </c>
      <c r="Y160" s="18" t="n">
        <f aca="false">SUBTOTAL(9,Y98:Y159)</f>
        <v>5414.383</v>
      </c>
      <c r="Z160" s="18" t="n">
        <f aca="false">SUBTOTAL(9,Z98:Z159)</f>
        <v>7706.662</v>
      </c>
      <c r="AA160" s="18" t="n">
        <f aca="false">SUBTOTAL(9,AA98:AA159)</f>
        <v>48713.88</v>
      </c>
      <c r="AB160" s="18" t="n">
        <f aca="false">SUBTOTAL(9,AB98:AB159)</f>
        <v>2522.622</v>
      </c>
      <c r="AC160" s="18" t="n">
        <f aca="false">SUBTOTAL(9,AC98:AC159)</f>
        <v>2286.6244</v>
      </c>
      <c r="AD160" s="18" t="n">
        <f aca="false">SUBTOTAL(9,AD98:AD159)</f>
        <v>3177.229</v>
      </c>
      <c r="AE160" s="18" t="n">
        <f aca="false">SUBTOTAL(9,AE98:AE159)</f>
        <v>1115.6178</v>
      </c>
      <c r="AF160" s="18" t="n">
        <f aca="false">SUBTOTAL(9,AF98:AF159)</f>
        <v>1442.771</v>
      </c>
      <c r="AG160" s="18" t="n">
        <f aca="false">SUBTOTAL(9,AG98:AG159)</f>
        <v>1972.439</v>
      </c>
      <c r="AH160" s="18" t="n">
        <f aca="false">SUBTOTAL(9,AH98:AH159)</f>
        <v>12517.3032</v>
      </c>
    </row>
    <row r="161" customFormat="false" ht="15" hidden="false" customHeight="false" outlineLevel="2" collapsed="false">
      <c r="A161" s="8" t="s">
        <v>386</v>
      </c>
      <c r="B161" s="12" t="s">
        <v>387</v>
      </c>
      <c r="C161" s="8" t="s">
        <v>388</v>
      </c>
      <c r="D161" s="12" t="s">
        <v>389</v>
      </c>
      <c r="E161" s="16"/>
      <c r="F161" s="9" t="str">
        <f aca="false">IF($E161="","",IFERROR(INDEX(担当者マスタ!$B$2:$B$101,MATCH($E161,担当者マスタ!$A$2:$A$101,0)),"※マスタ未登録"))</f>
        <v/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f aca="false">SUM(G161:L161)</f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f aca="false">SUM(N161:S161)</f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50</v>
      </c>
      <c r="AA161" s="11" t="n">
        <f aca="false">SUM(U161:Z161)</f>
        <v>50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50</v>
      </c>
      <c r="AH161" s="11" t="n">
        <f aca="false">SUM(AB161:AG161)</f>
        <v>50</v>
      </c>
    </row>
    <row r="162" customFormat="false" ht="15" hidden="false" customHeight="false" outlineLevel="2" collapsed="false">
      <c r="A162" s="8" t="s">
        <v>390</v>
      </c>
      <c r="B162" s="12" t="s">
        <v>391</v>
      </c>
      <c r="C162" s="8" t="s">
        <v>388</v>
      </c>
      <c r="D162" s="12" t="s">
        <v>389</v>
      </c>
      <c r="E162" s="16"/>
      <c r="F162" s="9" t="str">
        <f aca="false">IF($E162="","",IFERROR(INDEX(担当者マスタ!$B$2:$B$101,MATCH($E162,担当者マスタ!$A$2:$A$101,0)),"※マスタ未登録"))</f>
        <v/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f aca="false">SUM(G162:L162)</f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f aca="false">SUM(N162:S162)</f>
        <v>0</v>
      </c>
      <c r="U162" s="11" t="n">
        <v>0</v>
      </c>
      <c r="V162" s="11" t="n">
        <v>0</v>
      </c>
      <c r="W162" s="11" t="n">
        <v>22</v>
      </c>
      <c r="X162" s="11" t="n">
        <v>50.5</v>
      </c>
      <c r="Y162" s="11" t="n">
        <v>163</v>
      </c>
      <c r="Z162" s="11" t="n">
        <v>156.36</v>
      </c>
      <c r="AA162" s="11" t="n">
        <f aca="false">SUM(U162:Z162)</f>
        <v>391.86</v>
      </c>
      <c r="AB162" s="11" t="n">
        <v>0</v>
      </c>
      <c r="AC162" s="11" t="n">
        <v>0</v>
      </c>
      <c r="AD162" s="11" t="n">
        <v>3.8</v>
      </c>
      <c r="AE162" s="11" t="n">
        <v>8.8</v>
      </c>
      <c r="AF162" s="11" t="n">
        <v>11.6</v>
      </c>
      <c r="AG162" s="11" t="n">
        <v>32.46</v>
      </c>
      <c r="AH162" s="11" t="n">
        <f aca="false">SUM(AB162:AG162)</f>
        <v>56.66</v>
      </c>
    </row>
    <row r="163" customFormat="false" ht="15" hidden="false" customHeight="false" outlineLevel="2" collapsed="false">
      <c r="A163" s="8" t="s">
        <v>392</v>
      </c>
      <c r="B163" s="12" t="s">
        <v>393</v>
      </c>
      <c r="C163" s="8" t="s">
        <v>388</v>
      </c>
      <c r="D163" s="12" t="s">
        <v>389</v>
      </c>
      <c r="E163" s="16"/>
      <c r="F163" s="9" t="str">
        <f aca="false">IF($E163="","",IFERROR(INDEX(担当者マスタ!$B$2:$B$101,MATCH($E163,担当者マスタ!$A$2:$A$101,0)),"※マスタ未登録"))</f>
        <v/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f aca="false">SUM(G163:L163)</f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f aca="false">SUM(N163:S163)</f>
        <v>0</v>
      </c>
      <c r="U163" s="11" t="n">
        <v>0</v>
      </c>
      <c r="V163" s="11" t="n">
        <v>0</v>
      </c>
      <c r="W163" s="11" t="n">
        <v>0</v>
      </c>
      <c r="X163" s="11" t="n">
        <v>10.88</v>
      </c>
      <c r="Y163" s="11" t="n">
        <v>31.59</v>
      </c>
      <c r="Z163" s="11" t="n">
        <v>43.26</v>
      </c>
      <c r="AA163" s="11" t="n">
        <f aca="false">SUM(U163:Z163)</f>
        <v>85.73</v>
      </c>
      <c r="AB163" s="11" t="n">
        <v>0</v>
      </c>
      <c r="AC163" s="11" t="n">
        <v>0</v>
      </c>
      <c r="AD163" s="11" t="n">
        <v>0</v>
      </c>
      <c r="AE163" s="11" t="n">
        <v>3.349</v>
      </c>
      <c r="AF163" s="11" t="n">
        <v>9.152</v>
      </c>
      <c r="AG163" s="11" t="n">
        <v>12.251</v>
      </c>
      <c r="AH163" s="11" t="n">
        <f aca="false">SUM(AB163:AG163)</f>
        <v>24.752</v>
      </c>
    </row>
    <row r="164" customFormat="false" ht="15" hidden="false" customHeight="false" outlineLevel="2" collapsed="false">
      <c r="A164" s="8" t="s">
        <v>394</v>
      </c>
      <c r="B164" s="12" t="s">
        <v>395</v>
      </c>
      <c r="C164" s="8" t="s">
        <v>388</v>
      </c>
      <c r="D164" s="12" t="s">
        <v>389</v>
      </c>
      <c r="E164" s="16"/>
      <c r="F164" s="9" t="str">
        <f aca="false">IF($E164="","",IFERROR(INDEX(担当者マスタ!$B$2:$B$101,MATCH($E164,担当者マスタ!$A$2:$A$101,0)),"※マスタ未登録"))</f>
        <v/>
      </c>
      <c r="G164" s="11" t="n">
        <v>1.26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f aca="false">SUM(G164:L164)</f>
        <v>1.26</v>
      </c>
      <c r="N164" s="11" t="n">
        <v>0.352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f aca="false">SUM(N164:S164)</f>
        <v>0.352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f aca="false">SUM(U164:Z164)</f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f aca="false">SUM(AB164:AG164)</f>
        <v>0</v>
      </c>
    </row>
    <row r="165" customFormat="false" ht="15" hidden="false" customHeight="false" outlineLevel="2" collapsed="false">
      <c r="A165" s="8" t="s">
        <v>396</v>
      </c>
      <c r="B165" s="9" t="s">
        <v>397</v>
      </c>
      <c r="C165" s="8" t="s">
        <v>388</v>
      </c>
      <c r="D165" s="12" t="s">
        <v>389</v>
      </c>
      <c r="E165" s="16"/>
      <c r="F165" s="9" t="str">
        <f aca="false">IF($E165="","",IFERROR(INDEX(担当者マスタ!$B$2:$B$101,MATCH($E165,担当者マスタ!$A$2:$A$101,0)),"※マスタ未登録"))</f>
        <v/>
      </c>
      <c r="G165" s="11" t="n">
        <v>0</v>
      </c>
      <c r="H165" s="11" t="n">
        <v>70.2</v>
      </c>
      <c r="I165" s="11" t="n">
        <v>11.7</v>
      </c>
      <c r="J165" s="11" t="n">
        <v>0</v>
      </c>
      <c r="K165" s="11" t="n">
        <v>0</v>
      </c>
      <c r="L165" s="11" t="n">
        <v>0</v>
      </c>
      <c r="M165" s="11" t="n">
        <f aca="false">SUM(G165:L165)</f>
        <v>81.9</v>
      </c>
      <c r="N165" s="11" t="n">
        <v>0</v>
      </c>
      <c r="O165" s="11" t="n">
        <v>12.6</v>
      </c>
      <c r="P165" s="11" t="n">
        <v>2.1</v>
      </c>
      <c r="Q165" s="11" t="n">
        <v>0</v>
      </c>
      <c r="R165" s="11" t="n">
        <v>0</v>
      </c>
      <c r="S165" s="11" t="n">
        <v>0</v>
      </c>
      <c r="T165" s="11" t="n">
        <f aca="false">SUM(N165:S165)</f>
        <v>14.7</v>
      </c>
      <c r="U165" s="11" t="n">
        <v>30.14</v>
      </c>
      <c r="V165" s="11" t="n">
        <v>52.21</v>
      </c>
      <c r="W165" s="11" t="n">
        <v>38.576</v>
      </c>
      <c r="X165" s="11" t="n">
        <v>53.002</v>
      </c>
      <c r="Y165" s="11" t="n">
        <v>61.932</v>
      </c>
      <c r="Z165" s="11" t="n">
        <v>22.2</v>
      </c>
      <c r="AA165" s="11" t="n">
        <f aca="false">SUM(U165:Z165)</f>
        <v>258.06</v>
      </c>
      <c r="AB165" s="11" t="n">
        <v>6.76</v>
      </c>
      <c r="AC165" s="11" t="n">
        <v>9.17</v>
      </c>
      <c r="AD165" s="11" t="n">
        <v>5.426</v>
      </c>
      <c r="AE165" s="11" t="n">
        <v>8.177</v>
      </c>
      <c r="AF165" s="11" t="n">
        <v>8.347</v>
      </c>
      <c r="AG165" s="11" t="n">
        <v>4.8</v>
      </c>
      <c r="AH165" s="11" t="n">
        <f aca="false">SUM(AB165:AG165)</f>
        <v>42.68</v>
      </c>
    </row>
    <row r="166" customFormat="false" ht="15" hidden="false" customHeight="false" outlineLevel="2" collapsed="false">
      <c r="A166" s="8" t="s">
        <v>398</v>
      </c>
      <c r="B166" s="12" t="s">
        <v>399</v>
      </c>
      <c r="C166" s="8" t="s">
        <v>388</v>
      </c>
      <c r="D166" s="12" t="s">
        <v>389</v>
      </c>
      <c r="E166" s="16"/>
      <c r="F166" s="9" t="str">
        <f aca="false">IF($E166="","",IFERROR(INDEX(担当者マスタ!$B$2:$B$101,MATCH($E166,担当者マスタ!$A$2:$A$101,0)),"※マスタ未登録"))</f>
        <v/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f aca="false">SUM(G166:L166)</f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f aca="false">SUM(N166:S166)</f>
        <v>0</v>
      </c>
      <c r="U166" s="11" t="n">
        <v>0</v>
      </c>
      <c r="V166" s="11" t="n">
        <v>0</v>
      </c>
      <c r="W166" s="11" t="n">
        <v>0</v>
      </c>
      <c r="X166" s="11" t="n">
        <v>318.142</v>
      </c>
      <c r="Y166" s="11" t="n">
        <v>0</v>
      </c>
      <c r="Z166" s="11" t="n">
        <v>0</v>
      </c>
      <c r="AA166" s="11" t="n">
        <f aca="false">SUM(U166:Z166)</f>
        <v>318.142</v>
      </c>
      <c r="AB166" s="11" t="n">
        <v>0</v>
      </c>
      <c r="AC166" s="11" t="n">
        <v>0</v>
      </c>
      <c r="AD166" s="11" t="n">
        <v>0</v>
      </c>
      <c r="AE166" s="11" t="n">
        <v>47.994</v>
      </c>
      <c r="AF166" s="11" t="n">
        <v>0</v>
      </c>
      <c r="AG166" s="11" t="n">
        <v>0</v>
      </c>
      <c r="AH166" s="11" t="n">
        <f aca="false">SUM(AB166:AG166)</f>
        <v>47.994</v>
      </c>
    </row>
    <row r="167" customFormat="false" ht="15" hidden="false" customHeight="false" outlineLevel="2" collapsed="false">
      <c r="A167" s="8" t="s">
        <v>400</v>
      </c>
      <c r="B167" s="12" t="s">
        <v>401</v>
      </c>
      <c r="C167" s="8" t="s">
        <v>388</v>
      </c>
      <c r="D167" s="12" t="s">
        <v>389</v>
      </c>
      <c r="E167" s="16"/>
      <c r="F167" s="9" t="str">
        <f aca="false">IF($E167="","",IFERROR(INDEX(担当者マスタ!$B$2:$B$101,MATCH($E167,担当者マスタ!$A$2:$A$101,0)),"※マスタ未登録"))</f>
        <v/>
      </c>
      <c r="G167" s="11" t="n">
        <v>20695.746</v>
      </c>
      <c r="H167" s="11" t="n">
        <v>20362.968</v>
      </c>
      <c r="I167" s="11" t="n">
        <v>32128.065</v>
      </c>
      <c r="J167" s="11" t="n">
        <v>13918.525</v>
      </c>
      <c r="K167" s="11" t="n">
        <v>16634.716</v>
      </c>
      <c r="L167" s="11" t="n">
        <v>19196.563</v>
      </c>
      <c r="M167" s="11" t="n">
        <f aca="false">SUM(G167:L167)</f>
        <v>122936.583</v>
      </c>
      <c r="N167" s="11" t="n">
        <v>6850.791</v>
      </c>
      <c r="O167" s="11" t="n">
        <v>6703.242</v>
      </c>
      <c r="P167" s="11" t="n">
        <v>10195.697</v>
      </c>
      <c r="Q167" s="11" t="n">
        <v>4590.968</v>
      </c>
      <c r="R167" s="11" t="n">
        <v>5495.397</v>
      </c>
      <c r="S167" s="11" t="n">
        <v>6469.96</v>
      </c>
      <c r="T167" s="11" t="n">
        <f aca="false">SUM(N167:S167)</f>
        <v>40306.055</v>
      </c>
      <c r="U167" s="11" t="n">
        <v>20717.474</v>
      </c>
      <c r="V167" s="11" t="n">
        <v>18124.278</v>
      </c>
      <c r="W167" s="11" t="n">
        <v>26282.631</v>
      </c>
      <c r="X167" s="11" t="n">
        <v>14987.976</v>
      </c>
      <c r="Y167" s="11" t="n">
        <v>16160.131</v>
      </c>
      <c r="Z167" s="11" t="n">
        <v>19328.346</v>
      </c>
      <c r="AA167" s="11" t="n">
        <f aca="false">SUM(U167:Z167)</f>
        <v>115600.836</v>
      </c>
      <c r="AB167" s="11" t="n">
        <v>6971.829</v>
      </c>
      <c r="AC167" s="11" t="n">
        <v>6219.713</v>
      </c>
      <c r="AD167" s="11" t="n">
        <v>8932.968</v>
      </c>
      <c r="AE167" s="11" t="n">
        <v>5136.16</v>
      </c>
      <c r="AF167" s="11" t="n">
        <v>5592.503</v>
      </c>
      <c r="AG167" s="11" t="n">
        <v>6573.989</v>
      </c>
      <c r="AH167" s="11" t="n">
        <f aca="false">SUM(AB167:AG167)</f>
        <v>39427.162</v>
      </c>
    </row>
    <row r="168" customFormat="false" ht="15" hidden="false" customHeight="false" outlineLevel="2" collapsed="false">
      <c r="A168" s="8" t="s">
        <v>402</v>
      </c>
      <c r="B168" s="12" t="s">
        <v>403</v>
      </c>
      <c r="C168" s="8" t="s">
        <v>388</v>
      </c>
      <c r="D168" s="12" t="s">
        <v>389</v>
      </c>
      <c r="E168" s="16"/>
      <c r="F168" s="9" t="str">
        <f aca="false">IF($E168="","",IFERROR(INDEX(担当者マスタ!$B$2:$B$101,MATCH($E168,担当者マスタ!$A$2:$A$101,0)),"※マスタ未登録"))</f>
        <v/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f aca="false">SUM(G168:L168)</f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f aca="false">SUM(N168:S168)</f>
        <v>0</v>
      </c>
      <c r="U168" s="11" t="n">
        <v>0</v>
      </c>
      <c r="V168" s="11" t="n">
        <v>0</v>
      </c>
      <c r="W168" s="11" t="n">
        <v>27.114</v>
      </c>
      <c r="X168" s="11" t="n">
        <v>0</v>
      </c>
      <c r="Y168" s="11" t="n">
        <v>0</v>
      </c>
      <c r="Z168" s="11" t="n">
        <v>5.5</v>
      </c>
      <c r="AA168" s="11" t="n">
        <f aca="false">SUM(U168:Z168)</f>
        <v>32.614</v>
      </c>
      <c r="AB168" s="11" t="n">
        <v>0</v>
      </c>
      <c r="AC168" s="11" t="n">
        <v>0</v>
      </c>
      <c r="AD168" s="11" t="n">
        <v>5.001</v>
      </c>
      <c r="AE168" s="11" t="n">
        <v>0</v>
      </c>
      <c r="AF168" s="11" t="n">
        <v>0</v>
      </c>
      <c r="AG168" s="11" t="n">
        <v>0.942</v>
      </c>
      <c r="AH168" s="11" t="n">
        <f aca="false">SUM(AB168:AG168)</f>
        <v>5.943</v>
      </c>
    </row>
    <row r="169" customFormat="false" ht="15" hidden="false" customHeight="false" outlineLevel="2" collapsed="false">
      <c r="A169" s="8" t="s">
        <v>404</v>
      </c>
      <c r="B169" s="12" t="s">
        <v>405</v>
      </c>
      <c r="C169" s="8" t="s">
        <v>388</v>
      </c>
      <c r="D169" s="12" t="s">
        <v>389</v>
      </c>
      <c r="E169" s="16"/>
      <c r="F169" s="9" t="str">
        <f aca="false">IF($E169="","",IFERROR(INDEX(担当者マスタ!$B$2:$B$101,MATCH($E169,担当者マスタ!$A$2:$A$101,0)),"※マスタ未登録"))</f>
        <v/>
      </c>
      <c r="G169" s="11" t="n">
        <v>88.649</v>
      </c>
      <c r="H169" s="11" t="n">
        <v>414.204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f aca="false">SUM(G169:L169)</f>
        <v>502.853</v>
      </c>
      <c r="N169" s="11" t="n">
        <v>0</v>
      </c>
      <c r="O169" s="11" t="n">
        <v>300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f aca="false">SUM(N169:S169)</f>
        <v>300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f aca="false">SUM(U169:Z169)</f>
        <v>0</v>
      </c>
      <c r="AB169" s="11" t="n">
        <v>0</v>
      </c>
      <c r="AC169" s="11" t="n">
        <v>0</v>
      </c>
      <c r="AD169" s="11" t="n">
        <v>0</v>
      </c>
      <c r="AE169" s="11" t="n">
        <v>0</v>
      </c>
      <c r="AF169" s="11" t="n">
        <v>0</v>
      </c>
      <c r="AG169" s="11" t="n">
        <v>0</v>
      </c>
      <c r="AH169" s="11" t="n">
        <f aca="false">SUM(AB169:AG169)</f>
        <v>0</v>
      </c>
    </row>
    <row r="170" customFormat="false" ht="15" hidden="false" customHeight="false" outlineLevel="2" collapsed="false">
      <c r="A170" s="8" t="s">
        <v>406</v>
      </c>
      <c r="B170" s="12" t="s">
        <v>407</v>
      </c>
      <c r="C170" s="8" t="s">
        <v>388</v>
      </c>
      <c r="D170" s="12" t="s">
        <v>389</v>
      </c>
      <c r="E170" s="16"/>
      <c r="F170" s="9" t="str">
        <f aca="false">IF($E170="","",IFERROR(INDEX(担当者マスタ!$B$2:$B$101,MATCH($E170,担当者マスタ!$A$2:$A$101,0)),"※マスタ未登録"))</f>
        <v/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40</v>
      </c>
      <c r="M170" s="11" t="n">
        <f aca="false">SUM(G170:L170)</f>
        <v>40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40</v>
      </c>
      <c r="T170" s="11" t="n">
        <f aca="false">SUM(N170:S170)</f>
        <v>40</v>
      </c>
      <c r="U170" s="11" t="n">
        <v>0</v>
      </c>
      <c r="V170" s="11" t="n">
        <v>0</v>
      </c>
      <c r="W170" s="11" t="n">
        <v>158.95</v>
      </c>
      <c r="X170" s="11" t="n">
        <v>56.1</v>
      </c>
      <c r="Y170" s="11" t="n">
        <v>0</v>
      </c>
      <c r="Z170" s="11" t="n">
        <v>130.9</v>
      </c>
      <c r="AA170" s="11" t="n">
        <f aca="false">SUM(U170:Z170)</f>
        <v>345.95</v>
      </c>
      <c r="AB170" s="11" t="n">
        <v>0</v>
      </c>
      <c r="AC170" s="11" t="n">
        <v>0</v>
      </c>
      <c r="AD170" s="11" t="n">
        <v>29.75</v>
      </c>
      <c r="AE170" s="11" t="n">
        <v>10.5</v>
      </c>
      <c r="AF170" s="11" t="n">
        <v>0</v>
      </c>
      <c r="AG170" s="11" t="n">
        <v>17.3</v>
      </c>
      <c r="AH170" s="11" t="n">
        <f aca="false">SUM(AB170:AG170)</f>
        <v>57.55</v>
      </c>
    </row>
    <row r="171" customFormat="false" ht="15" hidden="false" customHeight="false" outlineLevel="1" collapsed="false">
      <c r="A171" s="19"/>
      <c r="B171" s="19"/>
      <c r="C171" s="17" t="s">
        <v>1967</v>
      </c>
      <c r="D171" s="19" t="s">
        <v>389</v>
      </c>
      <c r="E171" s="19"/>
      <c r="F171" s="19"/>
      <c r="G171" s="18" t="n">
        <f aca="false">SUBTOTAL(9,G161:G170)</f>
        <v>20785.655</v>
      </c>
      <c r="H171" s="18" t="n">
        <f aca="false">SUBTOTAL(9,H161:H170)</f>
        <v>20847.372</v>
      </c>
      <c r="I171" s="18" t="n">
        <f aca="false">SUBTOTAL(9,I161:I170)</f>
        <v>32139.765</v>
      </c>
      <c r="J171" s="18" t="n">
        <f aca="false">SUBTOTAL(9,J161:J170)</f>
        <v>13918.525</v>
      </c>
      <c r="K171" s="18" t="n">
        <f aca="false">SUBTOTAL(9,K161:K170)</f>
        <v>16634.716</v>
      </c>
      <c r="L171" s="18" t="n">
        <f aca="false">SUBTOTAL(9,L161:L170)</f>
        <v>19236.563</v>
      </c>
      <c r="M171" s="18" t="n">
        <f aca="false">SUBTOTAL(9,M161:M170)</f>
        <v>123562.596</v>
      </c>
      <c r="N171" s="18" t="n">
        <f aca="false">SUBTOTAL(9,N161:N170)</f>
        <v>6851.143</v>
      </c>
      <c r="O171" s="18" t="n">
        <f aca="false">SUBTOTAL(9,O161:O170)</f>
        <v>7015.842</v>
      </c>
      <c r="P171" s="18" t="n">
        <f aca="false">SUBTOTAL(9,P161:P170)</f>
        <v>10197.797</v>
      </c>
      <c r="Q171" s="18" t="n">
        <f aca="false">SUBTOTAL(9,Q161:Q170)</f>
        <v>4590.968</v>
      </c>
      <c r="R171" s="18" t="n">
        <f aca="false">SUBTOTAL(9,R161:R170)</f>
        <v>5495.397</v>
      </c>
      <c r="S171" s="18" t="n">
        <f aca="false">SUBTOTAL(9,S161:S170)</f>
        <v>6509.96</v>
      </c>
      <c r="T171" s="18" t="n">
        <f aca="false">SUBTOTAL(9,T161:T170)</f>
        <v>40661.107</v>
      </c>
      <c r="U171" s="18" t="n">
        <f aca="false">SUBTOTAL(9,U161:U170)</f>
        <v>20747.614</v>
      </c>
      <c r="V171" s="18" t="n">
        <f aca="false">SUBTOTAL(9,V161:V170)</f>
        <v>18176.488</v>
      </c>
      <c r="W171" s="18" t="n">
        <f aca="false">SUBTOTAL(9,W161:W170)</f>
        <v>26529.271</v>
      </c>
      <c r="X171" s="18" t="n">
        <f aca="false">SUBTOTAL(9,X161:X170)</f>
        <v>15476.6</v>
      </c>
      <c r="Y171" s="18" t="n">
        <f aca="false">SUBTOTAL(9,Y161:Y170)</f>
        <v>16416.653</v>
      </c>
      <c r="Z171" s="18" t="n">
        <f aca="false">SUBTOTAL(9,Z161:Z170)</f>
        <v>19736.566</v>
      </c>
      <c r="AA171" s="18" t="n">
        <f aca="false">SUBTOTAL(9,AA161:AA170)</f>
        <v>117083.192</v>
      </c>
      <c r="AB171" s="18" t="n">
        <f aca="false">SUBTOTAL(9,AB161:AB170)</f>
        <v>6978.589</v>
      </c>
      <c r="AC171" s="18" t="n">
        <f aca="false">SUBTOTAL(9,AC161:AC170)</f>
        <v>6228.883</v>
      </c>
      <c r="AD171" s="18" t="n">
        <f aca="false">SUBTOTAL(9,AD161:AD170)</f>
        <v>8976.945</v>
      </c>
      <c r="AE171" s="18" t="n">
        <f aca="false">SUBTOTAL(9,AE161:AE170)</f>
        <v>5214.98</v>
      </c>
      <c r="AF171" s="18" t="n">
        <f aca="false">SUBTOTAL(9,AF161:AF170)</f>
        <v>5621.602</v>
      </c>
      <c r="AG171" s="18" t="n">
        <f aca="false">SUBTOTAL(9,AG161:AG170)</f>
        <v>6691.742</v>
      </c>
      <c r="AH171" s="18" t="n">
        <f aca="false">SUBTOTAL(9,AH161:AH170)</f>
        <v>39712.741</v>
      </c>
    </row>
    <row r="172" customFormat="false" ht="15" hidden="false" customHeight="false" outlineLevel="2" collapsed="false">
      <c r="A172" s="8" t="s">
        <v>408</v>
      </c>
      <c r="B172" s="12" t="s">
        <v>409</v>
      </c>
      <c r="C172" s="8" t="s">
        <v>410</v>
      </c>
      <c r="D172" s="12" t="s">
        <v>411</v>
      </c>
      <c r="E172" s="16"/>
      <c r="F172" s="9" t="str">
        <f aca="false">IF($E172="","",IFERROR(INDEX(担当者マスタ!$B$2:$B$101,MATCH($E172,担当者マスタ!$A$2:$A$101,0)),"※マスタ未登録"))</f>
        <v/>
      </c>
      <c r="G172" s="11" t="n">
        <v>51.146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7.89</v>
      </c>
      <c r="M172" s="11" t="n">
        <f aca="false">SUM(G172:L172)</f>
        <v>59.036</v>
      </c>
      <c r="N172" s="11" t="n">
        <v>20.129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3.45</v>
      </c>
      <c r="T172" s="11" t="n">
        <f aca="false">SUM(N172:S172)</f>
        <v>23.579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f aca="false">SUM(U172:Z172)</f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f aca="false">SUM(AB172:AG172)</f>
        <v>0</v>
      </c>
    </row>
    <row r="173" customFormat="false" ht="15" hidden="false" customHeight="false" outlineLevel="2" collapsed="false">
      <c r="A173" s="8" t="s">
        <v>412</v>
      </c>
      <c r="B173" s="12" t="s">
        <v>413</v>
      </c>
      <c r="C173" s="8" t="s">
        <v>410</v>
      </c>
      <c r="D173" s="12" t="s">
        <v>411</v>
      </c>
      <c r="E173" s="16"/>
      <c r="F173" s="9" t="str">
        <f aca="false">IF($E173="","",IFERROR(INDEX(担当者マスタ!$B$2:$B$101,MATCH($E173,担当者マスタ!$A$2:$A$101,0)),"※マスタ未登録"))</f>
        <v/>
      </c>
      <c r="G173" s="11" t="n">
        <v>291.873</v>
      </c>
      <c r="H173" s="11" t="n">
        <v>207.449</v>
      </c>
      <c r="I173" s="11" t="n">
        <v>262.541</v>
      </c>
      <c r="J173" s="11" t="n">
        <v>146.61</v>
      </c>
      <c r="K173" s="11" t="n">
        <v>130.747</v>
      </c>
      <c r="L173" s="11" t="n">
        <v>143.277</v>
      </c>
      <c r="M173" s="11" t="n">
        <f aca="false">SUM(G173:L173)</f>
        <v>1182.497</v>
      </c>
      <c r="N173" s="11" t="n">
        <v>101.372</v>
      </c>
      <c r="O173" s="11" t="n">
        <v>71.349</v>
      </c>
      <c r="P173" s="11" t="n">
        <v>93.73</v>
      </c>
      <c r="Q173" s="11" t="n">
        <v>49.433</v>
      </c>
      <c r="R173" s="11" t="n">
        <v>43.877</v>
      </c>
      <c r="S173" s="11" t="n">
        <v>49.917</v>
      </c>
      <c r="T173" s="11" t="n">
        <f aca="false">SUM(N173:S173)</f>
        <v>409.678</v>
      </c>
      <c r="U173" s="11" t="n">
        <v>217.265</v>
      </c>
      <c r="V173" s="11" t="n">
        <v>154.849</v>
      </c>
      <c r="W173" s="11" t="n">
        <v>204.764</v>
      </c>
      <c r="X173" s="11" t="n">
        <v>151.126</v>
      </c>
      <c r="Y173" s="11" t="n">
        <v>143.698</v>
      </c>
      <c r="Z173" s="11" t="n">
        <v>171.348</v>
      </c>
      <c r="AA173" s="11" t="n">
        <f aca="false">SUM(U173:Z173)</f>
        <v>1043.05</v>
      </c>
      <c r="AB173" s="11" t="n">
        <v>77.815</v>
      </c>
      <c r="AC173" s="11" t="n">
        <v>54.987</v>
      </c>
      <c r="AD173" s="11" t="n">
        <v>73.45</v>
      </c>
      <c r="AE173" s="11" t="n">
        <v>50.427</v>
      </c>
      <c r="AF173" s="11" t="n">
        <v>49.851</v>
      </c>
      <c r="AG173" s="11" t="n">
        <v>59.766</v>
      </c>
      <c r="AH173" s="11" t="n">
        <f aca="false">SUM(AB173:AG173)</f>
        <v>366.296</v>
      </c>
    </row>
    <row r="174" customFormat="false" ht="15" hidden="false" customHeight="false" outlineLevel="2" collapsed="false">
      <c r="A174" s="8" t="s">
        <v>414</v>
      </c>
      <c r="B174" s="12" t="s">
        <v>415</v>
      </c>
      <c r="C174" s="8" t="s">
        <v>410</v>
      </c>
      <c r="D174" s="12" t="s">
        <v>411</v>
      </c>
      <c r="E174" s="16"/>
      <c r="F174" s="9" t="str">
        <f aca="false">IF($E174="","",IFERROR(INDEX(担当者マスタ!$B$2:$B$101,MATCH($E174,担当者マスタ!$A$2:$A$101,0)),"※マスタ未登録"))</f>
        <v/>
      </c>
      <c r="G174" s="11" t="n">
        <v>93.417</v>
      </c>
      <c r="H174" s="11" t="n">
        <v>76.136</v>
      </c>
      <c r="I174" s="11" t="n">
        <v>48.706</v>
      </c>
      <c r="J174" s="11" t="n">
        <v>0</v>
      </c>
      <c r="K174" s="11" t="n">
        <v>0</v>
      </c>
      <c r="L174" s="11" t="n">
        <v>0</v>
      </c>
      <c r="M174" s="11" t="n">
        <f aca="false">SUM(G174:L174)</f>
        <v>218.259</v>
      </c>
      <c r="N174" s="11" t="n">
        <v>39.586</v>
      </c>
      <c r="O174" s="11" t="n">
        <v>32.371</v>
      </c>
      <c r="P174" s="11" t="n">
        <v>20.513</v>
      </c>
      <c r="Q174" s="11" t="n">
        <v>0</v>
      </c>
      <c r="R174" s="11" t="n">
        <v>0</v>
      </c>
      <c r="S174" s="11" t="n">
        <v>0</v>
      </c>
      <c r="T174" s="11" t="n">
        <f aca="false">SUM(N174:S174)</f>
        <v>92.47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f aca="false">SUM(U174:Z174)</f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f aca="false">SUM(AB174:AG174)</f>
        <v>0</v>
      </c>
    </row>
    <row r="175" customFormat="false" ht="15" hidden="false" customHeight="false" outlineLevel="2" collapsed="false">
      <c r="A175" s="8" t="s">
        <v>416</v>
      </c>
      <c r="B175" s="12" t="s">
        <v>417</v>
      </c>
      <c r="C175" s="8" t="s">
        <v>410</v>
      </c>
      <c r="D175" s="12" t="s">
        <v>411</v>
      </c>
      <c r="E175" s="16"/>
      <c r="F175" s="9" t="str">
        <f aca="false">IF($E175="","",IFERROR(INDEX(担当者マスタ!$B$2:$B$101,MATCH($E175,担当者マスタ!$A$2:$A$101,0)),"※マスタ未登録"))</f>
        <v/>
      </c>
      <c r="G175" s="11" t="n">
        <v>14.088</v>
      </c>
      <c r="H175" s="11" t="n">
        <v>14.055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f aca="false">SUM(G175:L175)</f>
        <v>28.143</v>
      </c>
      <c r="N175" s="11" t="n">
        <v>5.16</v>
      </c>
      <c r="O175" s="11" t="n">
        <v>6.235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f aca="false">SUM(N175:S175)</f>
        <v>11.395</v>
      </c>
      <c r="U175" s="11" t="n">
        <v>0</v>
      </c>
      <c r="V175" s="11" t="n">
        <v>19.266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f aca="false">SUM(U175:Z175)</f>
        <v>19.266</v>
      </c>
      <c r="AB175" s="11" t="n">
        <v>0</v>
      </c>
      <c r="AC175" s="11" t="n">
        <v>8.569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f aca="false">SUM(AB175:AG175)</f>
        <v>8.569</v>
      </c>
    </row>
    <row r="176" customFormat="false" ht="15" hidden="false" customHeight="false" outlineLevel="2" collapsed="false">
      <c r="A176" s="8" t="s">
        <v>418</v>
      </c>
      <c r="B176" s="12" t="s">
        <v>419</v>
      </c>
      <c r="C176" s="8" t="s">
        <v>410</v>
      </c>
      <c r="D176" s="12" t="s">
        <v>411</v>
      </c>
      <c r="E176" s="16"/>
      <c r="F176" s="9" t="str">
        <f aca="false">IF($E176="","",IFERROR(INDEX(担当者マスタ!$B$2:$B$101,MATCH($E176,担当者マスタ!$A$2:$A$101,0)),"※マスタ未登録"))</f>
        <v/>
      </c>
      <c r="G176" s="11" t="n">
        <v>0</v>
      </c>
      <c r="H176" s="11" t="n">
        <v>0</v>
      </c>
      <c r="I176" s="11" t="n">
        <v>311.85</v>
      </c>
      <c r="J176" s="11" t="n">
        <v>0</v>
      </c>
      <c r="K176" s="11" t="n">
        <v>0</v>
      </c>
      <c r="L176" s="11" t="n">
        <v>0</v>
      </c>
      <c r="M176" s="11" t="n">
        <f aca="false">SUM(G176:L176)</f>
        <v>311.85</v>
      </c>
      <c r="N176" s="11" t="n">
        <v>0</v>
      </c>
      <c r="O176" s="11" t="n">
        <v>0</v>
      </c>
      <c r="P176" s="11" t="n">
        <v>44.55</v>
      </c>
      <c r="Q176" s="11" t="n">
        <v>0</v>
      </c>
      <c r="R176" s="11" t="n">
        <v>0</v>
      </c>
      <c r="S176" s="11" t="n">
        <v>0</v>
      </c>
      <c r="T176" s="11" t="n">
        <f aca="false">SUM(N176:S176)</f>
        <v>44.55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f aca="false">SUM(U176:Z176)</f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f aca="false">SUM(AB176:AG176)</f>
        <v>0</v>
      </c>
    </row>
    <row r="177" customFormat="false" ht="15" hidden="false" customHeight="false" outlineLevel="2" collapsed="false">
      <c r="A177" s="8" t="s">
        <v>420</v>
      </c>
      <c r="B177" s="12" t="s">
        <v>421</v>
      </c>
      <c r="C177" s="8" t="s">
        <v>410</v>
      </c>
      <c r="D177" s="12" t="s">
        <v>411</v>
      </c>
      <c r="E177" s="16"/>
      <c r="F177" s="9" t="str">
        <f aca="false">IF($E177="","",IFERROR(INDEX(担当者マスタ!$B$2:$B$101,MATCH($E177,担当者マスタ!$A$2:$A$101,0)),"※マスタ未登録"))</f>
        <v/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f aca="false">SUM(G177:L177)</f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f aca="false">SUM(N177:S177)</f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13.8</v>
      </c>
      <c r="AA177" s="11" t="n">
        <f aca="false">SUM(U177:Z177)</f>
        <v>13.8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3.8</v>
      </c>
      <c r="AH177" s="11" t="n">
        <f aca="false">SUM(AB177:AG177)</f>
        <v>3.8</v>
      </c>
    </row>
    <row r="178" customFormat="false" ht="15" hidden="false" customHeight="false" outlineLevel="2" collapsed="false">
      <c r="A178" s="8" t="s">
        <v>422</v>
      </c>
      <c r="B178" s="12" t="s">
        <v>423</v>
      </c>
      <c r="C178" s="8" t="s">
        <v>410</v>
      </c>
      <c r="D178" s="12" t="s">
        <v>411</v>
      </c>
      <c r="E178" s="16"/>
      <c r="F178" s="9" t="str">
        <f aca="false">IF($E178="","",IFERROR(INDEX(担当者マスタ!$B$2:$B$101,MATCH($E178,担当者マスタ!$A$2:$A$101,0)),"※マスタ未登録"))</f>
        <v/>
      </c>
      <c r="G178" s="11" t="n">
        <v>244.481</v>
      </c>
      <c r="H178" s="11" t="n">
        <v>145.695</v>
      </c>
      <c r="I178" s="11" t="n">
        <v>589.291</v>
      </c>
      <c r="J178" s="11" t="n">
        <v>203.456</v>
      </c>
      <c r="K178" s="11" t="n">
        <v>56.379</v>
      </c>
      <c r="L178" s="11" t="n">
        <v>213.447</v>
      </c>
      <c r="M178" s="11" t="n">
        <f aca="false">SUM(G178:L178)</f>
        <v>1452.749</v>
      </c>
      <c r="N178" s="11" t="n">
        <v>80.239</v>
      </c>
      <c r="O178" s="11" t="n">
        <v>52.785</v>
      </c>
      <c r="P178" s="11" t="n">
        <v>175.247</v>
      </c>
      <c r="Q178" s="11" t="n">
        <v>73.158</v>
      </c>
      <c r="R178" s="11" t="n">
        <v>-1.928</v>
      </c>
      <c r="S178" s="11" t="n">
        <v>67.523</v>
      </c>
      <c r="T178" s="11" t="n">
        <f aca="false">SUM(N178:S178)</f>
        <v>447.024</v>
      </c>
      <c r="U178" s="11" t="n">
        <v>199.521</v>
      </c>
      <c r="V178" s="11" t="n">
        <v>213.772</v>
      </c>
      <c r="W178" s="11" t="n">
        <v>611.657</v>
      </c>
      <c r="X178" s="11" t="n">
        <v>149.912</v>
      </c>
      <c r="Y178" s="11" t="n">
        <v>94.502</v>
      </c>
      <c r="Z178" s="11" t="n">
        <v>306.603</v>
      </c>
      <c r="AA178" s="11" t="n">
        <f aca="false">SUM(U178:Z178)</f>
        <v>1575.967</v>
      </c>
      <c r="AB178" s="11" t="n">
        <v>59.086</v>
      </c>
      <c r="AC178" s="11" t="n">
        <v>65.715</v>
      </c>
      <c r="AD178" s="11" t="n">
        <v>193.81</v>
      </c>
      <c r="AE178" s="11" t="n">
        <v>53.308</v>
      </c>
      <c r="AF178" s="11" t="n">
        <v>32.109</v>
      </c>
      <c r="AG178" s="11" t="n">
        <v>92.5</v>
      </c>
      <c r="AH178" s="11" t="n">
        <f aca="false">SUM(AB178:AG178)</f>
        <v>496.528</v>
      </c>
    </row>
    <row r="179" customFormat="false" ht="15" hidden="false" customHeight="false" outlineLevel="2" collapsed="false">
      <c r="A179" s="8" t="s">
        <v>424</v>
      </c>
      <c r="B179" s="9" t="s">
        <v>425</v>
      </c>
      <c r="C179" s="8" t="s">
        <v>410</v>
      </c>
      <c r="D179" s="12" t="s">
        <v>411</v>
      </c>
      <c r="E179" s="16"/>
      <c r="F179" s="9" t="str">
        <f aca="false">IF($E179="","",IFERROR(INDEX(担当者マスタ!$B$2:$B$101,MATCH($E179,担当者マスタ!$A$2:$A$101,0)),"※マスタ未登録"))</f>
        <v/>
      </c>
      <c r="G179" s="11" t="n">
        <v>187.27</v>
      </c>
      <c r="H179" s="11" t="n">
        <v>339.134</v>
      </c>
      <c r="I179" s="11" t="n">
        <v>262.01</v>
      </c>
      <c r="J179" s="11" t="n">
        <v>44.54</v>
      </c>
      <c r="K179" s="11" t="n">
        <v>337.6</v>
      </c>
      <c r="L179" s="11" t="n">
        <v>255.81</v>
      </c>
      <c r="M179" s="11" t="n">
        <f aca="false">SUM(G179:L179)</f>
        <v>1426.364</v>
      </c>
      <c r="N179" s="11" t="n">
        <v>66.37</v>
      </c>
      <c r="O179" s="11" t="n">
        <v>93.4</v>
      </c>
      <c r="P179" s="11" t="n">
        <v>69.358</v>
      </c>
      <c r="Q179" s="11" t="n">
        <v>18.36</v>
      </c>
      <c r="R179" s="11" t="n">
        <v>104.05</v>
      </c>
      <c r="S179" s="11" t="n">
        <v>73.53</v>
      </c>
      <c r="T179" s="11" t="n">
        <f aca="false">SUM(N179:S179)</f>
        <v>425.068</v>
      </c>
      <c r="U179" s="11" t="n">
        <v>165.25</v>
      </c>
      <c r="V179" s="11" t="n">
        <v>361.82</v>
      </c>
      <c r="W179" s="11" t="n">
        <v>146.58</v>
      </c>
      <c r="X179" s="11" t="n">
        <v>356.22</v>
      </c>
      <c r="Y179" s="11" t="n">
        <v>0</v>
      </c>
      <c r="Z179" s="11" t="n">
        <v>177.6</v>
      </c>
      <c r="AA179" s="11" t="n">
        <f aca="false">SUM(U179:Z179)</f>
        <v>1207.47</v>
      </c>
      <c r="AB179" s="11" t="n">
        <v>55.2</v>
      </c>
      <c r="AC179" s="11" t="n">
        <v>115.389</v>
      </c>
      <c r="AD179" s="11" t="n">
        <v>46.1</v>
      </c>
      <c r="AE179" s="11" t="n">
        <v>119.235</v>
      </c>
      <c r="AF179" s="11" t="n">
        <v>0</v>
      </c>
      <c r="AG179" s="11" t="n">
        <v>58.97</v>
      </c>
      <c r="AH179" s="11" t="n">
        <f aca="false">SUM(AB179:AG179)</f>
        <v>394.894</v>
      </c>
    </row>
    <row r="180" customFormat="false" ht="15" hidden="false" customHeight="false" outlineLevel="2" collapsed="false">
      <c r="A180" s="8" t="s">
        <v>426</v>
      </c>
      <c r="B180" s="12" t="s">
        <v>427</v>
      </c>
      <c r="C180" s="8" t="s">
        <v>410</v>
      </c>
      <c r="D180" s="12" t="s">
        <v>411</v>
      </c>
      <c r="E180" s="16"/>
      <c r="F180" s="9" t="str">
        <f aca="false">IF($E180="","",IFERROR(INDEX(担当者マスタ!$B$2:$B$101,MATCH($E180,担当者マスタ!$A$2:$A$101,0)),"※マスタ未登録"))</f>
        <v/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f aca="false">SUM(G180:L180)</f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f aca="false">SUM(N180:S180)</f>
        <v>0</v>
      </c>
      <c r="U180" s="11" t="n">
        <v>0</v>
      </c>
      <c r="V180" s="11" t="n">
        <v>0</v>
      </c>
      <c r="W180" s="11" t="n">
        <v>0</v>
      </c>
      <c r="X180" s="11" t="n">
        <v>3.634</v>
      </c>
      <c r="Y180" s="11" t="n">
        <v>1.56</v>
      </c>
      <c r="Z180" s="11" t="n">
        <v>0</v>
      </c>
      <c r="AA180" s="11" t="n">
        <f aca="false">SUM(U180:Z180)</f>
        <v>5.194</v>
      </c>
      <c r="AB180" s="11" t="n">
        <v>0</v>
      </c>
      <c r="AC180" s="11" t="n">
        <v>0</v>
      </c>
      <c r="AD180" s="11" t="n">
        <v>0</v>
      </c>
      <c r="AE180" s="11" t="n">
        <v>1.008</v>
      </c>
      <c r="AF180" s="11" t="n">
        <v>0.224</v>
      </c>
      <c r="AG180" s="11" t="n">
        <v>0</v>
      </c>
      <c r="AH180" s="11" t="n">
        <f aca="false">SUM(AB180:AG180)</f>
        <v>1.232</v>
      </c>
    </row>
    <row r="181" customFormat="false" ht="15" hidden="false" customHeight="false" outlineLevel="2" collapsed="false">
      <c r="A181" s="8" t="s">
        <v>428</v>
      </c>
      <c r="B181" s="12" t="s">
        <v>429</v>
      </c>
      <c r="C181" s="8" t="s">
        <v>410</v>
      </c>
      <c r="D181" s="12" t="s">
        <v>411</v>
      </c>
      <c r="E181" s="16"/>
      <c r="F181" s="9" t="str">
        <f aca="false">IF($E181="","",IFERROR(INDEX(担当者マスタ!$B$2:$B$101,MATCH($E181,担当者マスタ!$A$2:$A$101,0)),"※マスタ未登録"))</f>
        <v/>
      </c>
      <c r="G181" s="11" t="n">
        <v>28.71</v>
      </c>
      <c r="H181" s="11" t="n">
        <v>28.81</v>
      </c>
      <c r="I181" s="11" t="n">
        <v>19.44</v>
      </c>
      <c r="J181" s="11" t="n">
        <v>28.71</v>
      </c>
      <c r="K181" s="11" t="n">
        <v>0</v>
      </c>
      <c r="L181" s="11" t="n">
        <v>0</v>
      </c>
      <c r="M181" s="11" t="n">
        <f aca="false">SUM(G181:L181)</f>
        <v>105.67</v>
      </c>
      <c r="N181" s="11" t="n">
        <v>28.71</v>
      </c>
      <c r="O181" s="11" t="n">
        <v>28.81</v>
      </c>
      <c r="P181" s="11" t="n">
        <v>19.44</v>
      </c>
      <c r="Q181" s="11" t="n">
        <v>28.71</v>
      </c>
      <c r="R181" s="11" t="n">
        <v>0</v>
      </c>
      <c r="S181" s="11" t="n">
        <v>0</v>
      </c>
      <c r="T181" s="11" t="n">
        <f aca="false">SUM(N181:S181)</f>
        <v>105.67</v>
      </c>
      <c r="U181" s="11" t="n">
        <v>19.14</v>
      </c>
      <c r="V181" s="11" t="n">
        <v>0</v>
      </c>
      <c r="W181" s="11" t="n">
        <v>19.14</v>
      </c>
      <c r="X181" s="11" t="n">
        <v>0</v>
      </c>
      <c r="Y181" s="11" t="n">
        <v>0</v>
      </c>
      <c r="Z181" s="11" t="n">
        <v>19.14</v>
      </c>
      <c r="AA181" s="11" t="n">
        <f aca="false">SUM(U181:Z181)</f>
        <v>57.42</v>
      </c>
      <c r="AB181" s="11" t="n">
        <v>19.14</v>
      </c>
      <c r="AC181" s="11" t="n">
        <v>0</v>
      </c>
      <c r="AD181" s="11" t="n">
        <v>19.14</v>
      </c>
      <c r="AE181" s="11" t="n">
        <v>0</v>
      </c>
      <c r="AF181" s="11" t="n">
        <v>0</v>
      </c>
      <c r="AG181" s="11" t="n">
        <v>19.14</v>
      </c>
      <c r="AH181" s="11" t="n">
        <f aca="false">SUM(AB181:AG181)</f>
        <v>57.42</v>
      </c>
    </row>
    <row r="182" customFormat="false" ht="15" hidden="false" customHeight="false" outlineLevel="2" collapsed="false">
      <c r="A182" s="8" t="s">
        <v>430</v>
      </c>
      <c r="B182" s="12" t="s">
        <v>431</v>
      </c>
      <c r="C182" s="8" t="s">
        <v>410</v>
      </c>
      <c r="D182" s="12" t="s">
        <v>411</v>
      </c>
      <c r="E182" s="16"/>
      <c r="F182" s="9" t="str">
        <f aca="false">IF($E182="","",IFERROR(INDEX(担当者マスタ!$B$2:$B$101,MATCH($E182,担当者マスタ!$A$2:$A$101,0)),"※マスタ未登録"))</f>
        <v/>
      </c>
      <c r="G182" s="11" t="n">
        <v>1.624</v>
      </c>
      <c r="H182" s="11" t="n">
        <v>1.624</v>
      </c>
      <c r="I182" s="11" t="n">
        <v>1.624</v>
      </c>
      <c r="J182" s="11" t="n">
        <v>0</v>
      </c>
      <c r="K182" s="11" t="n">
        <v>1.624</v>
      </c>
      <c r="L182" s="11" t="n">
        <v>0</v>
      </c>
      <c r="M182" s="11" t="n">
        <f aca="false">SUM(G182:L182)</f>
        <v>6.496</v>
      </c>
      <c r="N182" s="11" t="n">
        <v>0.28</v>
      </c>
      <c r="O182" s="11" t="n">
        <v>0.28</v>
      </c>
      <c r="P182" s="11" t="n">
        <v>0.28</v>
      </c>
      <c r="Q182" s="11" t="n">
        <v>0</v>
      </c>
      <c r="R182" s="11" t="n">
        <v>0.28</v>
      </c>
      <c r="S182" s="11" t="n">
        <v>0</v>
      </c>
      <c r="T182" s="11" t="n">
        <f aca="false">SUM(N182:S182)</f>
        <v>1.12</v>
      </c>
      <c r="U182" s="11" t="n">
        <v>1.624</v>
      </c>
      <c r="V182" s="11" t="n">
        <v>1.624</v>
      </c>
      <c r="W182" s="11" t="n">
        <v>-2.136</v>
      </c>
      <c r="X182" s="11" t="n">
        <v>0</v>
      </c>
      <c r="Y182" s="11" t="n">
        <v>1.624</v>
      </c>
      <c r="Z182" s="11" t="n">
        <v>1.624</v>
      </c>
      <c r="AA182" s="11" t="n">
        <f aca="false">SUM(U182:Z182)</f>
        <v>4.36</v>
      </c>
      <c r="AB182" s="11" t="n">
        <v>0.12</v>
      </c>
      <c r="AC182" s="11" t="n">
        <v>0.12</v>
      </c>
      <c r="AD182" s="11" t="n">
        <v>-17.9</v>
      </c>
      <c r="AE182" s="11" t="n">
        <v>0</v>
      </c>
      <c r="AF182" s="11" t="n">
        <v>0.12</v>
      </c>
      <c r="AG182" s="11" t="n">
        <v>0.12</v>
      </c>
      <c r="AH182" s="11" t="n">
        <f aca="false">SUM(AB182:AG182)</f>
        <v>-17.42</v>
      </c>
    </row>
    <row r="183" customFormat="false" ht="15" hidden="false" customHeight="false" outlineLevel="2" collapsed="false">
      <c r="A183" s="8" t="s">
        <v>432</v>
      </c>
      <c r="B183" s="12" t="s">
        <v>433</v>
      </c>
      <c r="C183" s="8" t="s">
        <v>410</v>
      </c>
      <c r="D183" s="12" t="s">
        <v>411</v>
      </c>
      <c r="E183" s="16"/>
      <c r="F183" s="9" t="str">
        <f aca="false">IF($E183="","",IFERROR(INDEX(担当者マスタ!$B$2:$B$101,MATCH($E183,担当者マスタ!$A$2:$A$101,0)),"※マスタ未登録"))</f>
        <v/>
      </c>
      <c r="G183" s="11" t="n">
        <v>409.071</v>
      </c>
      <c r="H183" s="11" t="n">
        <v>390.85</v>
      </c>
      <c r="I183" s="11" t="n">
        <v>417.018</v>
      </c>
      <c r="J183" s="11" t="n">
        <v>295.063</v>
      </c>
      <c r="K183" s="11" t="n">
        <v>248.443</v>
      </c>
      <c r="L183" s="11" t="n">
        <v>289.224</v>
      </c>
      <c r="M183" s="11" t="n">
        <f aca="false">SUM(G183:L183)</f>
        <v>2049.669</v>
      </c>
      <c r="N183" s="11" t="n">
        <v>95.805</v>
      </c>
      <c r="O183" s="11" t="n">
        <v>92.237</v>
      </c>
      <c r="P183" s="11" t="n">
        <v>100.078</v>
      </c>
      <c r="Q183" s="11" t="n">
        <v>69.245</v>
      </c>
      <c r="R183" s="11" t="n">
        <v>58.15</v>
      </c>
      <c r="S183" s="11" t="n">
        <v>67.766</v>
      </c>
      <c r="T183" s="11" t="n">
        <f aca="false">SUM(N183:S183)</f>
        <v>483.281</v>
      </c>
      <c r="U183" s="11" t="n">
        <v>394.733</v>
      </c>
      <c r="V183" s="11" t="n">
        <v>278.363</v>
      </c>
      <c r="W183" s="11" t="n">
        <v>332.309</v>
      </c>
      <c r="X183" s="11" t="n">
        <v>217.727</v>
      </c>
      <c r="Y183" s="11" t="n">
        <v>213.37</v>
      </c>
      <c r="Z183" s="11" t="n">
        <v>243.701</v>
      </c>
      <c r="AA183" s="11" t="n">
        <f aca="false">SUM(U183:Z183)</f>
        <v>1680.203</v>
      </c>
      <c r="AB183" s="11" t="n">
        <v>94.833</v>
      </c>
      <c r="AC183" s="11" t="n">
        <v>65.27</v>
      </c>
      <c r="AD183" s="11" t="n">
        <v>79.854</v>
      </c>
      <c r="AE183" s="11" t="n">
        <v>52.359</v>
      </c>
      <c r="AF183" s="11" t="n">
        <v>49.726</v>
      </c>
      <c r="AG183" s="11" t="n">
        <v>58.083</v>
      </c>
      <c r="AH183" s="11" t="n">
        <f aca="false">SUM(AB183:AG183)</f>
        <v>400.125</v>
      </c>
    </row>
    <row r="184" customFormat="false" ht="15" hidden="false" customHeight="false" outlineLevel="2" collapsed="false">
      <c r="A184" s="8" t="s">
        <v>434</v>
      </c>
      <c r="B184" s="12" t="s">
        <v>435</v>
      </c>
      <c r="C184" s="8" t="s">
        <v>410</v>
      </c>
      <c r="D184" s="12" t="s">
        <v>411</v>
      </c>
      <c r="E184" s="16"/>
      <c r="F184" s="9" t="str">
        <f aca="false">IF($E184="","",IFERROR(INDEX(担当者マスタ!$B$2:$B$101,MATCH($E184,担当者マスタ!$A$2:$A$101,0)),"※マスタ未登録"))</f>
        <v/>
      </c>
      <c r="G184" s="11" t="n">
        <v>66.992</v>
      </c>
      <c r="H184" s="11" t="n">
        <v>70.148</v>
      </c>
      <c r="I184" s="11" t="n">
        <v>79.637</v>
      </c>
      <c r="J184" s="11" t="n">
        <v>55.895</v>
      </c>
      <c r="K184" s="11" t="n">
        <v>56.248</v>
      </c>
      <c r="L184" s="11" t="n">
        <v>64.284</v>
      </c>
      <c r="M184" s="11" t="n">
        <f aca="false">SUM(G184:L184)</f>
        <v>393.204</v>
      </c>
      <c r="N184" s="11" t="n">
        <v>14.973</v>
      </c>
      <c r="O184" s="11" t="n">
        <v>15.13</v>
      </c>
      <c r="P184" s="11" t="n">
        <v>17.828</v>
      </c>
      <c r="Q184" s="11" t="n">
        <v>12.351</v>
      </c>
      <c r="R184" s="11" t="n">
        <v>12.755</v>
      </c>
      <c r="S184" s="11" t="n">
        <v>14.265</v>
      </c>
      <c r="T184" s="11" t="n">
        <f aca="false">SUM(N184:S184)</f>
        <v>87.302</v>
      </c>
      <c r="U184" s="11" t="n">
        <v>69.397</v>
      </c>
      <c r="V184" s="11" t="n">
        <v>57.553</v>
      </c>
      <c r="W184" s="11" t="n">
        <v>58.985</v>
      </c>
      <c r="X184" s="11" t="n">
        <v>42.39</v>
      </c>
      <c r="Y184" s="11" t="n">
        <v>64.27</v>
      </c>
      <c r="Z184" s="11" t="n">
        <v>78.203</v>
      </c>
      <c r="AA184" s="11" t="n">
        <f aca="false">SUM(U184:Z184)</f>
        <v>370.798</v>
      </c>
      <c r="AB184" s="11" t="n">
        <v>16.033</v>
      </c>
      <c r="AC184" s="11" t="n">
        <v>12.962</v>
      </c>
      <c r="AD184" s="11" t="n">
        <v>13.228</v>
      </c>
      <c r="AE184" s="11" t="n">
        <v>9.247</v>
      </c>
      <c r="AF184" s="11" t="n">
        <v>13.97</v>
      </c>
      <c r="AG184" s="11" t="n">
        <v>17.302</v>
      </c>
      <c r="AH184" s="11" t="n">
        <f aca="false">SUM(AB184:AG184)</f>
        <v>82.742</v>
      </c>
    </row>
    <row r="185" customFormat="false" ht="15" hidden="false" customHeight="false" outlineLevel="2" collapsed="false">
      <c r="A185" s="8" t="s">
        <v>436</v>
      </c>
      <c r="B185" s="12" t="s">
        <v>437</v>
      </c>
      <c r="C185" s="8" t="s">
        <v>410</v>
      </c>
      <c r="D185" s="12" t="s">
        <v>411</v>
      </c>
      <c r="E185" s="16"/>
      <c r="F185" s="9" t="str">
        <f aca="false">IF($E185="","",IFERROR(INDEX(担当者マスタ!$B$2:$B$101,MATCH($E185,担当者マスタ!$A$2:$A$101,0)),"※マスタ未登録"))</f>
        <v/>
      </c>
      <c r="G185" s="11" t="n">
        <v>2127.123</v>
      </c>
      <c r="H185" s="11" t="n">
        <v>2063.738</v>
      </c>
      <c r="I185" s="11" t="n">
        <v>3999.504</v>
      </c>
      <c r="J185" s="11" t="n">
        <v>2065.695</v>
      </c>
      <c r="K185" s="11" t="n">
        <v>1358.139</v>
      </c>
      <c r="L185" s="11" t="n">
        <v>1229.17</v>
      </c>
      <c r="M185" s="11" t="n">
        <f aca="false">SUM(G185:L185)</f>
        <v>12843.369</v>
      </c>
      <c r="N185" s="11" t="n">
        <v>489.65</v>
      </c>
      <c r="O185" s="11" t="n">
        <v>472.097</v>
      </c>
      <c r="P185" s="11" t="n">
        <v>840.241</v>
      </c>
      <c r="Q185" s="11" t="n">
        <v>463.328</v>
      </c>
      <c r="R185" s="11" t="n">
        <v>326.732</v>
      </c>
      <c r="S185" s="11" t="n">
        <v>308.022</v>
      </c>
      <c r="T185" s="11" t="n">
        <f aca="false">SUM(N185:S185)</f>
        <v>2900.07</v>
      </c>
      <c r="U185" s="11" t="n">
        <v>1367.361</v>
      </c>
      <c r="V185" s="11" t="n">
        <v>1494.918</v>
      </c>
      <c r="W185" s="11" t="n">
        <v>2576.237</v>
      </c>
      <c r="X185" s="11" t="n">
        <v>1689.622</v>
      </c>
      <c r="Y185" s="11" t="n">
        <v>1396.698</v>
      </c>
      <c r="Z185" s="11" t="n">
        <v>1516.42</v>
      </c>
      <c r="AA185" s="11" t="n">
        <f aca="false">SUM(U185:Z185)</f>
        <v>10041.256</v>
      </c>
      <c r="AB185" s="11" t="n">
        <v>344.188</v>
      </c>
      <c r="AC185" s="11" t="n">
        <v>386.487</v>
      </c>
      <c r="AD185" s="11" t="n">
        <v>695.039</v>
      </c>
      <c r="AE185" s="11" t="n">
        <v>413.615</v>
      </c>
      <c r="AF185" s="11" t="n">
        <v>381.258</v>
      </c>
      <c r="AG185" s="11" t="n">
        <v>389.058</v>
      </c>
      <c r="AH185" s="11" t="n">
        <f aca="false">SUM(AB185:AG185)</f>
        <v>2609.645</v>
      </c>
    </row>
    <row r="186" customFormat="false" ht="15" hidden="false" customHeight="false" outlineLevel="2" collapsed="false">
      <c r="A186" s="8" t="s">
        <v>438</v>
      </c>
      <c r="B186" s="12" t="s">
        <v>439</v>
      </c>
      <c r="C186" s="8" t="s">
        <v>410</v>
      </c>
      <c r="D186" s="12" t="s">
        <v>411</v>
      </c>
      <c r="E186" s="16"/>
      <c r="F186" s="9" t="str">
        <f aca="false">IF($E186="","",IFERROR(INDEX(担当者マスタ!$B$2:$B$101,MATCH($E186,担当者マスタ!$A$2:$A$101,0)),"※マスタ未登録"))</f>
        <v/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f aca="false">SUM(G186:L186)</f>
        <v>0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f aca="false">SUM(N186:S186)</f>
        <v>0</v>
      </c>
      <c r="U186" s="11" t="n">
        <v>0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82.5</v>
      </c>
      <c r="AA186" s="11" t="n">
        <f aca="false">SUM(U186:Z186)</f>
        <v>82.5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20</v>
      </c>
      <c r="AH186" s="11" t="n">
        <f aca="false">SUM(AB186:AG186)</f>
        <v>20</v>
      </c>
    </row>
    <row r="187" customFormat="false" ht="15" hidden="false" customHeight="false" outlineLevel="2" collapsed="false">
      <c r="A187" s="8" t="s">
        <v>440</v>
      </c>
      <c r="B187" s="12" t="s">
        <v>441</v>
      </c>
      <c r="C187" s="8" t="s">
        <v>410</v>
      </c>
      <c r="D187" s="12" t="s">
        <v>411</v>
      </c>
      <c r="E187" s="16"/>
      <c r="F187" s="9" t="str">
        <f aca="false">IF($E187="","",IFERROR(INDEX(担当者マスタ!$B$2:$B$101,MATCH($E187,担当者マスタ!$A$2:$A$101,0)),"※マスタ未登録"))</f>
        <v/>
      </c>
      <c r="G187" s="11" t="n">
        <v>210.53</v>
      </c>
      <c r="H187" s="11" t="n">
        <v>319.9</v>
      </c>
      <c r="I187" s="11" t="n">
        <v>182.8</v>
      </c>
      <c r="J187" s="11" t="n">
        <v>45.7</v>
      </c>
      <c r="K187" s="11" t="n">
        <v>45.7</v>
      </c>
      <c r="L187" s="11" t="n">
        <v>82.26</v>
      </c>
      <c r="M187" s="11" t="n">
        <f aca="false">SUM(G187:L187)</f>
        <v>886.89</v>
      </c>
      <c r="N187" s="11" t="n">
        <v>58.96</v>
      </c>
      <c r="O187" s="11" t="n">
        <v>90.3</v>
      </c>
      <c r="P187" s="11" t="n">
        <v>51.6</v>
      </c>
      <c r="Q187" s="11" t="n">
        <v>12.9</v>
      </c>
      <c r="R187" s="11" t="n">
        <v>12.9</v>
      </c>
      <c r="S187" s="11" t="n">
        <v>23.22</v>
      </c>
      <c r="T187" s="11" t="n">
        <f aca="false">SUM(N187:S187)</f>
        <v>249.88</v>
      </c>
      <c r="U187" s="11" t="n">
        <v>146.24</v>
      </c>
      <c r="V187" s="11" t="n">
        <v>182.8</v>
      </c>
      <c r="W187" s="11" t="n">
        <v>200.3</v>
      </c>
      <c r="X187" s="11" t="n">
        <v>45.7</v>
      </c>
      <c r="Y187" s="11" t="n">
        <v>45.7</v>
      </c>
      <c r="Z187" s="11" t="n">
        <v>0</v>
      </c>
      <c r="AA187" s="11" t="n">
        <f aca="false">SUM(U187:Z187)</f>
        <v>620.74</v>
      </c>
      <c r="AB187" s="11" t="n">
        <v>41.28</v>
      </c>
      <c r="AC187" s="11" t="n">
        <v>51.6</v>
      </c>
      <c r="AD187" s="11" t="n">
        <v>57.1</v>
      </c>
      <c r="AE187" s="11" t="n">
        <v>12.9</v>
      </c>
      <c r="AF187" s="11" t="n">
        <v>12.9</v>
      </c>
      <c r="AG187" s="11" t="n">
        <v>0</v>
      </c>
      <c r="AH187" s="11" t="n">
        <f aca="false">SUM(AB187:AG187)</f>
        <v>175.78</v>
      </c>
    </row>
    <row r="188" customFormat="false" ht="15" hidden="false" customHeight="false" outlineLevel="2" collapsed="false">
      <c r="A188" s="8" t="s">
        <v>442</v>
      </c>
      <c r="B188" s="9" t="s">
        <v>443</v>
      </c>
      <c r="C188" s="8" t="s">
        <v>410</v>
      </c>
      <c r="D188" s="12" t="s">
        <v>411</v>
      </c>
      <c r="E188" s="16"/>
      <c r="F188" s="9" t="str">
        <f aca="false">IF($E188="","",IFERROR(INDEX(担当者マスタ!$B$2:$B$101,MATCH($E188,担当者マスタ!$A$2:$A$101,0)),"※マスタ未登録"))</f>
        <v/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f aca="false">SUM(G188:L188)</f>
        <v>0</v>
      </c>
      <c r="N188" s="11" t="n">
        <v>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f aca="false">SUM(N188:S188)</f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244</v>
      </c>
      <c r="Z188" s="11" t="n">
        <v>0</v>
      </c>
      <c r="AA188" s="11" t="n">
        <f aca="false">SUM(U188:Z188)</f>
        <v>244</v>
      </c>
      <c r="AB188" s="11" t="n">
        <v>0</v>
      </c>
      <c r="AC188" s="11" t="n">
        <v>0</v>
      </c>
      <c r="AD188" s="11" t="n">
        <v>0</v>
      </c>
      <c r="AE188" s="11" t="n">
        <v>0</v>
      </c>
      <c r="AF188" s="11" t="n">
        <v>39</v>
      </c>
      <c r="AG188" s="11" t="n">
        <v>0</v>
      </c>
      <c r="AH188" s="11" t="n">
        <f aca="false">SUM(AB188:AG188)</f>
        <v>39</v>
      </c>
    </row>
    <row r="189" customFormat="false" ht="15" hidden="false" customHeight="false" outlineLevel="2" collapsed="false">
      <c r="A189" s="8" t="s">
        <v>444</v>
      </c>
      <c r="B189" s="12" t="s">
        <v>445</v>
      </c>
      <c r="C189" s="8" t="s">
        <v>410</v>
      </c>
      <c r="D189" s="12" t="s">
        <v>411</v>
      </c>
      <c r="E189" s="16"/>
      <c r="F189" s="9" t="str">
        <f aca="false">IF($E189="","",IFERROR(INDEX(担当者マスタ!$B$2:$B$101,MATCH($E189,担当者マスタ!$A$2:$A$101,0)),"※マスタ未登録"))</f>
        <v/>
      </c>
      <c r="G189" s="11" t="n">
        <v>4464.029</v>
      </c>
      <c r="H189" s="11" t="n">
        <v>6057.043</v>
      </c>
      <c r="I189" s="11" t="n">
        <v>6583.181</v>
      </c>
      <c r="J189" s="11" t="n">
        <v>5544.507</v>
      </c>
      <c r="K189" s="11" t="n">
        <v>4429.164</v>
      </c>
      <c r="L189" s="11" t="n">
        <v>6917.675</v>
      </c>
      <c r="M189" s="11" t="n">
        <f aca="false">SUM(G189:L189)</f>
        <v>33995.599</v>
      </c>
      <c r="N189" s="11" t="n">
        <v>1123.751</v>
      </c>
      <c r="O189" s="11" t="n">
        <v>1360.238</v>
      </c>
      <c r="P189" s="11" t="n">
        <v>1567.471</v>
      </c>
      <c r="Q189" s="11" t="n">
        <v>1314.448</v>
      </c>
      <c r="R189" s="11" t="n">
        <v>1006.077</v>
      </c>
      <c r="S189" s="11" t="n">
        <v>1624.725</v>
      </c>
      <c r="T189" s="11" t="n">
        <f aca="false">SUM(N189:S189)</f>
        <v>7996.71</v>
      </c>
      <c r="U189" s="11" t="n">
        <v>5674.338</v>
      </c>
      <c r="V189" s="11" t="n">
        <v>4975.512</v>
      </c>
      <c r="W189" s="11" t="n">
        <v>5306.238</v>
      </c>
      <c r="X189" s="11" t="n">
        <v>4904.209</v>
      </c>
      <c r="Y189" s="11" t="n">
        <v>6884.767</v>
      </c>
      <c r="Z189" s="11" t="n">
        <v>7669.23</v>
      </c>
      <c r="AA189" s="11" t="n">
        <f aca="false">SUM(U189:Z189)</f>
        <v>35414.294</v>
      </c>
      <c r="AB189" s="11" t="n">
        <v>1358.257</v>
      </c>
      <c r="AC189" s="11" t="n">
        <v>1240.134</v>
      </c>
      <c r="AD189" s="11" t="n">
        <v>1364.483</v>
      </c>
      <c r="AE189" s="11" t="n">
        <v>1031.458</v>
      </c>
      <c r="AF189" s="11" t="n">
        <v>1785.604</v>
      </c>
      <c r="AG189" s="11" t="n">
        <v>2064.749</v>
      </c>
      <c r="AH189" s="11" t="n">
        <f aca="false">SUM(AB189:AG189)</f>
        <v>8844.685</v>
      </c>
    </row>
    <row r="190" customFormat="false" ht="15" hidden="false" customHeight="false" outlineLevel="2" collapsed="false">
      <c r="A190" s="8" t="s">
        <v>446</v>
      </c>
      <c r="B190" s="9" t="s">
        <v>447</v>
      </c>
      <c r="C190" s="8" t="s">
        <v>410</v>
      </c>
      <c r="D190" s="12" t="s">
        <v>411</v>
      </c>
      <c r="E190" s="16"/>
      <c r="F190" s="9" t="str">
        <f aca="false">IF($E190="","",IFERROR(INDEX(担当者マスタ!$B$2:$B$101,MATCH($E190,担当者マスタ!$A$2:$A$101,0)),"※マスタ未登録"))</f>
        <v/>
      </c>
      <c r="G190" s="11" t="n">
        <v>94.034</v>
      </c>
      <c r="H190" s="11" t="n">
        <v>54.7</v>
      </c>
      <c r="I190" s="11" t="n">
        <v>17.3</v>
      </c>
      <c r="J190" s="11" t="n">
        <v>4.8</v>
      </c>
      <c r="K190" s="11" t="n">
        <v>0.8</v>
      </c>
      <c r="L190" s="11" t="n">
        <v>2.9</v>
      </c>
      <c r="M190" s="11" t="n">
        <f aca="false">SUM(G190:L190)</f>
        <v>174.534</v>
      </c>
      <c r="N190" s="11" t="n">
        <v>74.726</v>
      </c>
      <c r="O190" s="11" t="n">
        <v>40.6</v>
      </c>
      <c r="P190" s="11" t="n">
        <v>11.8</v>
      </c>
      <c r="Q190" s="11" t="n">
        <v>4.8</v>
      </c>
      <c r="R190" s="11" t="n">
        <v>0.8</v>
      </c>
      <c r="S190" s="11" t="n">
        <v>2.9</v>
      </c>
      <c r="T190" s="11" t="n">
        <f aca="false">SUM(N190:S190)</f>
        <v>135.626</v>
      </c>
      <c r="U190" s="11" t="n">
        <v>30.91</v>
      </c>
      <c r="V190" s="11" t="n">
        <v>94.72</v>
      </c>
      <c r="W190" s="11" t="n">
        <v>72.93</v>
      </c>
      <c r="X190" s="11" t="n">
        <v>4</v>
      </c>
      <c r="Y190" s="11" t="n">
        <v>3.9</v>
      </c>
      <c r="Z190" s="11" t="n">
        <v>2.45</v>
      </c>
      <c r="AA190" s="11" t="n">
        <f aca="false">SUM(U190:Z190)</f>
        <v>208.91</v>
      </c>
      <c r="AB190" s="11" t="n">
        <v>24.64</v>
      </c>
      <c r="AC190" s="11" t="n">
        <v>55.06</v>
      </c>
      <c r="AD190" s="11" t="n">
        <v>48.69</v>
      </c>
      <c r="AE190" s="11" t="n">
        <v>4</v>
      </c>
      <c r="AF190" s="11" t="n">
        <v>3.9</v>
      </c>
      <c r="AG190" s="11" t="n">
        <v>2.45</v>
      </c>
      <c r="AH190" s="11" t="n">
        <f aca="false">SUM(AB190:AG190)</f>
        <v>138.74</v>
      </c>
    </row>
    <row r="191" customFormat="false" ht="15" hidden="false" customHeight="false" outlineLevel="2" collapsed="false">
      <c r="A191" s="8" t="s">
        <v>448</v>
      </c>
      <c r="B191" s="12" t="s">
        <v>449</v>
      </c>
      <c r="C191" s="8" t="s">
        <v>410</v>
      </c>
      <c r="D191" s="12" t="s">
        <v>411</v>
      </c>
      <c r="E191" s="16"/>
      <c r="F191" s="9" t="str">
        <f aca="false">IF($E191="","",IFERROR(INDEX(担当者マスタ!$B$2:$B$101,MATCH($E191,担当者マスタ!$A$2:$A$101,0)),"※マスタ未登録"))</f>
        <v/>
      </c>
      <c r="G191" s="11" t="n">
        <v>17.682</v>
      </c>
      <c r="H191" s="11" t="n">
        <v>8.37</v>
      </c>
      <c r="I191" s="11" t="n">
        <v>36.287</v>
      </c>
      <c r="J191" s="11" t="n">
        <v>0</v>
      </c>
      <c r="K191" s="11" t="n">
        <v>2.636</v>
      </c>
      <c r="L191" s="11" t="n">
        <v>18.12</v>
      </c>
      <c r="M191" s="11" t="n">
        <f aca="false">SUM(G191:L191)</f>
        <v>83.095</v>
      </c>
      <c r="N191" s="11" t="n">
        <v>5.177</v>
      </c>
      <c r="O191" s="11" t="n">
        <v>2.19</v>
      </c>
      <c r="P191" s="11" t="n">
        <v>11.172</v>
      </c>
      <c r="Q191" s="11" t="n">
        <v>0</v>
      </c>
      <c r="R191" s="11" t="n">
        <v>0.782</v>
      </c>
      <c r="S191" s="11" t="n">
        <v>5.643</v>
      </c>
      <c r="T191" s="11" t="n">
        <f aca="false">SUM(N191:S191)</f>
        <v>24.964</v>
      </c>
      <c r="U191" s="11" t="n">
        <v>11.691</v>
      </c>
      <c r="V191" s="11" t="n">
        <v>22.931</v>
      </c>
      <c r="W191" s="11" t="n">
        <v>14.478</v>
      </c>
      <c r="X191" s="11" t="n">
        <v>41.055</v>
      </c>
      <c r="Y191" s="11" t="n">
        <v>5.13</v>
      </c>
      <c r="Z191" s="11" t="n">
        <v>217.73</v>
      </c>
      <c r="AA191" s="11" t="n">
        <f aca="false">SUM(U191:Z191)</f>
        <v>313.015</v>
      </c>
      <c r="AB191" s="11" t="n">
        <v>2.906</v>
      </c>
      <c r="AC191" s="11" t="n">
        <v>6.02</v>
      </c>
      <c r="AD191" s="11" t="n">
        <v>4.382</v>
      </c>
      <c r="AE191" s="11" t="n">
        <v>8.73</v>
      </c>
      <c r="AF191" s="11" t="n">
        <v>1.98</v>
      </c>
      <c r="AG191" s="11" t="n">
        <v>27.155</v>
      </c>
      <c r="AH191" s="11" t="n">
        <f aca="false">SUM(AB191:AG191)</f>
        <v>51.173</v>
      </c>
    </row>
    <row r="192" customFormat="false" ht="15" hidden="false" customHeight="false" outlineLevel="2" collapsed="false">
      <c r="A192" s="8" t="s">
        <v>450</v>
      </c>
      <c r="B192" s="12" t="s">
        <v>451</v>
      </c>
      <c r="C192" s="8" t="s">
        <v>410</v>
      </c>
      <c r="D192" s="12" t="s">
        <v>411</v>
      </c>
      <c r="E192" s="16"/>
      <c r="F192" s="9" t="str">
        <f aca="false">IF($E192="","",IFERROR(INDEX(担当者マスタ!$B$2:$B$101,MATCH($E192,担当者マスタ!$A$2:$A$101,0)),"※マスタ未登録"))</f>
        <v/>
      </c>
      <c r="G192" s="11" t="n">
        <v>42</v>
      </c>
      <c r="H192" s="11" t="n">
        <v>7.05</v>
      </c>
      <c r="I192" s="11" t="n">
        <v>5.64</v>
      </c>
      <c r="J192" s="11" t="n">
        <v>110.23</v>
      </c>
      <c r="K192" s="11" t="n">
        <v>228.69</v>
      </c>
      <c r="L192" s="11" t="n">
        <v>9.87</v>
      </c>
      <c r="M192" s="11" t="n">
        <f aca="false">SUM(G192:L192)</f>
        <v>403.48</v>
      </c>
      <c r="N192" s="11" t="n">
        <v>10.8</v>
      </c>
      <c r="O192" s="11" t="n">
        <v>1.65</v>
      </c>
      <c r="P192" s="11" t="n">
        <v>1.32</v>
      </c>
      <c r="Q192" s="11" t="n">
        <v>26.99</v>
      </c>
      <c r="R192" s="11" t="n">
        <v>67.97</v>
      </c>
      <c r="S192" s="11" t="n">
        <v>2.31</v>
      </c>
      <c r="T192" s="11" t="n">
        <f aca="false">SUM(N192:S192)</f>
        <v>111.04</v>
      </c>
      <c r="U192" s="11" t="n">
        <v>0</v>
      </c>
      <c r="V192" s="11" t="n">
        <v>28</v>
      </c>
      <c r="W192" s="11" t="n">
        <v>34.95</v>
      </c>
      <c r="X192" s="11" t="n">
        <v>38.4</v>
      </c>
      <c r="Y192" s="11" t="n">
        <v>49</v>
      </c>
      <c r="Z192" s="11" t="n">
        <v>38.4</v>
      </c>
      <c r="AA192" s="11" t="n">
        <f aca="false">SUM(U192:Z192)</f>
        <v>188.75</v>
      </c>
      <c r="AB192" s="11" t="n">
        <v>0</v>
      </c>
      <c r="AC192" s="11" t="n">
        <v>7</v>
      </c>
      <c r="AD192" s="11" t="n">
        <v>9.15</v>
      </c>
      <c r="AE192" s="11" t="n">
        <v>9.72</v>
      </c>
      <c r="AF192" s="11" t="n">
        <v>12.6</v>
      </c>
      <c r="AG192" s="11" t="n">
        <v>9.72</v>
      </c>
      <c r="AH192" s="11" t="n">
        <f aca="false">SUM(AB192:AG192)</f>
        <v>48.19</v>
      </c>
    </row>
    <row r="193" customFormat="false" ht="15" hidden="false" customHeight="false" outlineLevel="2" collapsed="false">
      <c r="A193" s="8" t="s">
        <v>452</v>
      </c>
      <c r="B193" s="12" t="s">
        <v>453</v>
      </c>
      <c r="C193" s="8" t="s">
        <v>410</v>
      </c>
      <c r="D193" s="12" t="s">
        <v>411</v>
      </c>
      <c r="E193" s="16"/>
      <c r="F193" s="9" t="str">
        <f aca="false">IF($E193="","",IFERROR(INDEX(担当者マスタ!$B$2:$B$101,MATCH($E193,担当者マスタ!$A$2:$A$101,0)),"※マスタ未登録"))</f>
        <v/>
      </c>
      <c r="G193" s="11" t="n">
        <v>0</v>
      </c>
      <c r="H193" s="11" t="n">
        <v>53.22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f aca="false">SUM(G193:L193)</f>
        <v>53.22</v>
      </c>
      <c r="N193" s="11" t="n">
        <v>0</v>
      </c>
      <c r="O193" s="11" t="n">
        <v>15.18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f aca="false">SUM(N193:S193)</f>
        <v>15.18</v>
      </c>
      <c r="U193" s="11" t="n">
        <v>0</v>
      </c>
      <c r="V193" s="11" t="n">
        <v>1.728</v>
      </c>
      <c r="W193" s="11" t="n">
        <v>0</v>
      </c>
      <c r="X193" s="11" t="n">
        <v>37.06</v>
      </c>
      <c r="Y193" s="11" t="n">
        <v>0</v>
      </c>
      <c r="Z193" s="11" t="n">
        <v>0</v>
      </c>
      <c r="AA193" s="11" t="n">
        <f aca="false">SUM(U193:Z193)</f>
        <v>38.788</v>
      </c>
      <c r="AB193" s="11" t="n">
        <v>0</v>
      </c>
      <c r="AC193" s="11" t="n">
        <v>0.666</v>
      </c>
      <c r="AD193" s="11" t="n">
        <v>0</v>
      </c>
      <c r="AE193" s="11" t="n">
        <v>25.45</v>
      </c>
      <c r="AF193" s="11" t="n">
        <v>0</v>
      </c>
      <c r="AG193" s="11" t="n">
        <v>0</v>
      </c>
      <c r="AH193" s="11" t="n">
        <f aca="false">SUM(AB193:AG193)</f>
        <v>26.116</v>
      </c>
    </row>
    <row r="194" customFormat="false" ht="15" hidden="false" customHeight="false" outlineLevel="2" collapsed="false">
      <c r="A194" s="8" t="s">
        <v>454</v>
      </c>
      <c r="B194" s="12" t="s">
        <v>455</v>
      </c>
      <c r="C194" s="8" t="s">
        <v>410</v>
      </c>
      <c r="D194" s="12" t="s">
        <v>411</v>
      </c>
      <c r="E194" s="16"/>
      <c r="F194" s="9" t="str">
        <f aca="false">IF($E194="","",IFERROR(INDEX(担当者マスタ!$B$2:$B$101,MATCH($E194,担当者マスタ!$A$2:$A$101,0)),"※マスタ未登録"))</f>
        <v/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57.552</v>
      </c>
      <c r="M194" s="11" t="n">
        <f aca="false">SUM(G194:L194)</f>
        <v>57.552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8.976</v>
      </c>
      <c r="T194" s="11" t="n">
        <f aca="false">SUM(N194:S194)</f>
        <v>8.976</v>
      </c>
      <c r="U194" s="11" t="n">
        <v>0</v>
      </c>
      <c r="V194" s="11" t="n">
        <v>6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f aca="false">SUM(U194:Z194)</f>
        <v>6</v>
      </c>
      <c r="AB194" s="11" t="n">
        <v>0</v>
      </c>
      <c r="AC194" s="11" t="n">
        <v>2.55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f aca="false">SUM(AB194:AG194)</f>
        <v>2.55</v>
      </c>
    </row>
    <row r="195" customFormat="false" ht="15" hidden="false" customHeight="false" outlineLevel="2" collapsed="false">
      <c r="A195" s="8" t="s">
        <v>456</v>
      </c>
      <c r="B195" s="9" t="s">
        <v>457</v>
      </c>
      <c r="C195" s="8" t="s">
        <v>410</v>
      </c>
      <c r="D195" s="12" t="s">
        <v>411</v>
      </c>
      <c r="E195" s="16"/>
      <c r="F195" s="9" t="str">
        <f aca="false">IF($E195="","",IFERROR(INDEX(担当者マスタ!$B$2:$B$101,MATCH($E195,担当者マスタ!$A$2:$A$101,0)),"※マスタ未登録"))</f>
        <v/>
      </c>
      <c r="G195" s="11" t="n">
        <v>33.3</v>
      </c>
      <c r="H195" s="11" t="n">
        <v>7.86</v>
      </c>
      <c r="I195" s="11" t="n">
        <v>0</v>
      </c>
      <c r="J195" s="11" t="n">
        <v>10.61</v>
      </c>
      <c r="K195" s="11" t="n">
        <v>8.4</v>
      </c>
      <c r="L195" s="11" t="n">
        <v>9.26</v>
      </c>
      <c r="M195" s="11" t="n">
        <f aca="false">SUM(G195:L195)</f>
        <v>69.43</v>
      </c>
      <c r="N195" s="11" t="n">
        <v>13.84</v>
      </c>
      <c r="O195" s="11" t="n">
        <v>4.38</v>
      </c>
      <c r="P195" s="11" t="n">
        <v>0</v>
      </c>
      <c r="Q195" s="11" t="n">
        <v>7.13</v>
      </c>
      <c r="R195" s="11" t="n">
        <v>2.14</v>
      </c>
      <c r="S195" s="11" t="n">
        <v>5.78</v>
      </c>
      <c r="T195" s="11" t="n">
        <f aca="false">SUM(N195:S195)</f>
        <v>33.27</v>
      </c>
      <c r="U195" s="11" t="n">
        <v>4.35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0</v>
      </c>
      <c r="AA195" s="11" t="n">
        <f aca="false">SUM(U195:Z195)</f>
        <v>4.35</v>
      </c>
      <c r="AB195" s="11" t="n">
        <v>2.59</v>
      </c>
      <c r="AC195" s="11" t="n">
        <v>0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f aca="false">SUM(AB195:AG195)</f>
        <v>2.59</v>
      </c>
    </row>
    <row r="196" customFormat="false" ht="15" hidden="false" customHeight="false" outlineLevel="2" collapsed="false">
      <c r="A196" s="8" t="s">
        <v>458</v>
      </c>
      <c r="B196" s="12" t="s">
        <v>459</v>
      </c>
      <c r="C196" s="8" t="s">
        <v>410</v>
      </c>
      <c r="D196" s="12" t="s">
        <v>411</v>
      </c>
      <c r="E196" s="16"/>
      <c r="F196" s="9" t="str">
        <f aca="false">IF($E196="","",IFERROR(INDEX(担当者マスタ!$B$2:$B$101,MATCH($E196,担当者マスタ!$A$2:$A$101,0)),"※マスタ未登録"))</f>
        <v/>
      </c>
      <c r="G196" s="11" t="n">
        <v>2130.492</v>
      </c>
      <c r="H196" s="11" t="n">
        <v>2151.894</v>
      </c>
      <c r="I196" s="11" t="n">
        <v>2671.136</v>
      </c>
      <c r="J196" s="11" t="n">
        <v>2232.855</v>
      </c>
      <c r="K196" s="11" t="n">
        <v>1131.086</v>
      </c>
      <c r="L196" s="11" t="n">
        <v>1679.36</v>
      </c>
      <c r="M196" s="11" t="n">
        <f aca="false">SUM(G196:L196)</f>
        <v>11996.823</v>
      </c>
      <c r="N196" s="11" t="n">
        <v>601.468</v>
      </c>
      <c r="O196" s="11" t="n">
        <v>609.645</v>
      </c>
      <c r="P196" s="11" t="n">
        <v>714.732</v>
      </c>
      <c r="Q196" s="11" t="n">
        <v>607.954</v>
      </c>
      <c r="R196" s="11" t="n">
        <v>340.255</v>
      </c>
      <c r="S196" s="11" t="n">
        <v>415.962</v>
      </c>
      <c r="T196" s="11" t="n">
        <f aca="false">SUM(N196:S196)</f>
        <v>3290.016</v>
      </c>
      <c r="U196" s="11" t="n">
        <v>1842.212</v>
      </c>
      <c r="V196" s="11" t="n">
        <v>1032.573</v>
      </c>
      <c r="W196" s="11" t="n">
        <v>1293.765</v>
      </c>
      <c r="X196" s="11" t="n">
        <v>2341.468</v>
      </c>
      <c r="Y196" s="11" t="n">
        <v>955.244</v>
      </c>
      <c r="Z196" s="11" t="n">
        <v>1184.152</v>
      </c>
      <c r="AA196" s="11" t="n">
        <f aca="false">SUM(U196:Z196)</f>
        <v>8649.414</v>
      </c>
      <c r="AB196" s="11" t="n">
        <v>491.413</v>
      </c>
      <c r="AC196" s="11" t="n">
        <v>297.229</v>
      </c>
      <c r="AD196" s="11" t="n">
        <v>360.329</v>
      </c>
      <c r="AE196" s="11" t="n">
        <v>523.872</v>
      </c>
      <c r="AF196" s="11" t="n">
        <v>259.65</v>
      </c>
      <c r="AG196" s="11" t="n">
        <v>354.541</v>
      </c>
      <c r="AH196" s="11" t="n">
        <f aca="false">SUM(AB196:AG196)</f>
        <v>2287.034</v>
      </c>
    </row>
    <row r="197" customFormat="false" ht="15" hidden="false" customHeight="false" outlineLevel="2" collapsed="false">
      <c r="A197" s="8" t="s">
        <v>460</v>
      </c>
      <c r="B197" s="12" t="s">
        <v>461</v>
      </c>
      <c r="C197" s="8" t="s">
        <v>410</v>
      </c>
      <c r="D197" s="12" t="s">
        <v>411</v>
      </c>
      <c r="E197" s="16"/>
      <c r="F197" s="9" t="str">
        <f aca="false">IF($E197="","",IFERROR(INDEX(担当者マスタ!$B$2:$B$101,MATCH($E197,担当者マスタ!$A$2:$A$101,0)),"※マスタ未登録"))</f>
        <v/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f aca="false">SUM(G197:L197)</f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f aca="false">SUM(N197:S197)</f>
        <v>0</v>
      </c>
      <c r="U197" s="11" t="n">
        <v>0</v>
      </c>
      <c r="V197" s="11" t="n">
        <v>0</v>
      </c>
      <c r="W197" s="11" t="n">
        <v>66.94</v>
      </c>
      <c r="X197" s="11" t="n">
        <v>26.76</v>
      </c>
      <c r="Y197" s="11" t="n">
        <v>0</v>
      </c>
      <c r="Z197" s="11" t="n">
        <v>14.44</v>
      </c>
      <c r="AA197" s="11" t="n">
        <f aca="false">SUM(U197:Z197)</f>
        <v>108.14</v>
      </c>
      <c r="AB197" s="11" t="n">
        <v>0</v>
      </c>
      <c r="AC197" s="11" t="n">
        <v>0</v>
      </c>
      <c r="AD197" s="11" t="n">
        <v>17.08</v>
      </c>
      <c r="AE197" s="11" t="n">
        <v>6.52</v>
      </c>
      <c r="AF197" s="11" t="n">
        <v>0</v>
      </c>
      <c r="AG197" s="11" t="n">
        <v>3.6</v>
      </c>
      <c r="AH197" s="11" t="n">
        <f aca="false">SUM(AB197:AG197)</f>
        <v>27.2</v>
      </c>
    </row>
    <row r="198" customFormat="false" ht="15" hidden="false" customHeight="false" outlineLevel="2" collapsed="false">
      <c r="A198" s="8" t="s">
        <v>462</v>
      </c>
      <c r="B198" s="12" t="s">
        <v>463</v>
      </c>
      <c r="C198" s="8" t="s">
        <v>410</v>
      </c>
      <c r="D198" s="12" t="s">
        <v>411</v>
      </c>
      <c r="E198" s="16"/>
      <c r="F198" s="9" t="str">
        <f aca="false">IF($E198="","",IFERROR(INDEX(担当者マスタ!$B$2:$B$101,MATCH($E198,担当者マスタ!$A$2:$A$101,0)),"※マスタ未登録"))</f>
        <v/>
      </c>
      <c r="G198" s="11" t="n">
        <v>3.85</v>
      </c>
      <c r="H198" s="11" t="n">
        <v>11.284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f aca="false">SUM(G198:L198)</f>
        <v>15.134</v>
      </c>
      <c r="N198" s="11" t="n">
        <v>1.35</v>
      </c>
      <c r="O198" s="11" t="n">
        <v>3.108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f aca="false">SUM(N198:S198)</f>
        <v>4.458</v>
      </c>
      <c r="U198" s="11" t="n">
        <v>0</v>
      </c>
      <c r="V198" s="11" t="n">
        <v>0</v>
      </c>
      <c r="W198" s="11" t="n">
        <v>0</v>
      </c>
      <c r="X198" s="11" t="n">
        <v>3.85</v>
      </c>
      <c r="Y198" s="11" t="n">
        <v>13.95</v>
      </c>
      <c r="Z198" s="11" t="n">
        <v>0</v>
      </c>
      <c r="AA198" s="11" t="n">
        <f aca="false">SUM(U198:Z198)</f>
        <v>17.8</v>
      </c>
      <c r="AB198" s="11" t="n">
        <v>0</v>
      </c>
      <c r="AC198" s="11" t="n">
        <v>0</v>
      </c>
      <c r="AD198" s="11" t="n">
        <v>0</v>
      </c>
      <c r="AE198" s="11" t="n">
        <v>1.35</v>
      </c>
      <c r="AF198" s="11" t="n">
        <v>5.19</v>
      </c>
      <c r="AG198" s="11" t="n">
        <v>0</v>
      </c>
      <c r="AH198" s="11" t="n">
        <f aca="false">SUM(AB198:AG198)</f>
        <v>6.54</v>
      </c>
    </row>
    <row r="199" customFormat="false" ht="15" hidden="false" customHeight="false" outlineLevel="2" collapsed="false">
      <c r="A199" s="8" t="s">
        <v>464</v>
      </c>
      <c r="B199" s="12" t="s">
        <v>465</v>
      </c>
      <c r="C199" s="8" t="s">
        <v>410</v>
      </c>
      <c r="D199" s="12" t="s">
        <v>411</v>
      </c>
      <c r="E199" s="16"/>
      <c r="F199" s="9" t="str">
        <f aca="false">IF($E199="","",IFERROR(INDEX(担当者マスタ!$B$2:$B$101,MATCH($E199,担当者マスタ!$A$2:$A$101,0)),"※マスタ未登録"))</f>
        <v/>
      </c>
      <c r="G199" s="11" t="n">
        <v>9.17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18.308</v>
      </c>
      <c r="M199" s="11" t="n">
        <f aca="false">SUM(G199:L199)</f>
        <v>27.478</v>
      </c>
      <c r="N199" s="11" t="n">
        <v>5.955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12.104</v>
      </c>
      <c r="T199" s="11" t="n">
        <f aca="false">SUM(N199:S199)</f>
        <v>18.059</v>
      </c>
      <c r="U199" s="11" t="n">
        <v>3.695</v>
      </c>
      <c r="V199" s="11" t="n">
        <v>0</v>
      </c>
      <c r="W199" s="11" t="n">
        <v>15.58</v>
      </c>
      <c r="X199" s="11" t="n">
        <v>0</v>
      </c>
      <c r="Y199" s="11" t="n">
        <v>0</v>
      </c>
      <c r="Z199" s="11" t="n">
        <v>12.718</v>
      </c>
      <c r="AA199" s="11" t="n">
        <f aca="false">SUM(U199:Z199)</f>
        <v>31.993</v>
      </c>
      <c r="AB199" s="11" t="n">
        <v>2.712</v>
      </c>
      <c r="AC199" s="11" t="n">
        <v>0</v>
      </c>
      <c r="AD199" s="11" t="n">
        <v>10.846</v>
      </c>
      <c r="AE199" s="11" t="n">
        <v>0</v>
      </c>
      <c r="AF199" s="11" t="n">
        <v>0</v>
      </c>
      <c r="AG199" s="11" t="n">
        <v>7.188</v>
      </c>
      <c r="AH199" s="11" t="n">
        <f aca="false">SUM(AB199:AG199)</f>
        <v>20.746</v>
      </c>
    </row>
    <row r="200" customFormat="false" ht="15" hidden="false" customHeight="false" outlineLevel="2" collapsed="false">
      <c r="A200" s="8" t="s">
        <v>466</v>
      </c>
      <c r="B200" s="12" t="s">
        <v>467</v>
      </c>
      <c r="C200" s="8" t="s">
        <v>410</v>
      </c>
      <c r="D200" s="12" t="s">
        <v>411</v>
      </c>
      <c r="E200" s="16"/>
      <c r="F200" s="9" t="str">
        <f aca="false">IF($E200="","",IFERROR(INDEX(担当者マスタ!$B$2:$B$101,MATCH($E200,担当者マスタ!$A$2:$A$101,0)),"※マスタ未登録"))</f>
        <v/>
      </c>
      <c r="G200" s="11" t="n">
        <v>120.451</v>
      </c>
      <c r="H200" s="11" t="n">
        <v>115.377</v>
      </c>
      <c r="I200" s="11" t="n">
        <v>410.786</v>
      </c>
      <c r="J200" s="11" t="n">
        <v>158.877</v>
      </c>
      <c r="K200" s="11" t="n">
        <v>278.697</v>
      </c>
      <c r="L200" s="11" t="n">
        <v>93.004</v>
      </c>
      <c r="M200" s="11" t="n">
        <f aca="false">SUM(G200:L200)</f>
        <v>1177.192</v>
      </c>
      <c r="N200" s="11" t="n">
        <v>49.565</v>
      </c>
      <c r="O200" s="11" t="n">
        <v>42.379</v>
      </c>
      <c r="P200" s="11" t="n">
        <v>144.896</v>
      </c>
      <c r="Q200" s="11" t="n">
        <v>55.991</v>
      </c>
      <c r="R200" s="11" t="n">
        <v>97.384</v>
      </c>
      <c r="S200" s="11" t="n">
        <v>43.624</v>
      </c>
      <c r="T200" s="11" t="n">
        <f aca="false">SUM(N200:S200)</f>
        <v>433.839</v>
      </c>
      <c r="U200" s="11" t="n">
        <v>268.525</v>
      </c>
      <c r="V200" s="11" t="n">
        <v>114.76</v>
      </c>
      <c r="W200" s="11" t="n">
        <v>155.663</v>
      </c>
      <c r="X200" s="11" t="n">
        <v>110.173</v>
      </c>
      <c r="Y200" s="11" t="n">
        <v>166.004</v>
      </c>
      <c r="Z200" s="11" t="n">
        <v>92.231</v>
      </c>
      <c r="AA200" s="11" t="n">
        <f aca="false">SUM(U200:Z200)</f>
        <v>907.356</v>
      </c>
      <c r="AB200" s="11" t="n">
        <v>106.219</v>
      </c>
      <c r="AC200" s="11" t="n">
        <v>46.906</v>
      </c>
      <c r="AD200" s="11" t="n">
        <v>75.281</v>
      </c>
      <c r="AE200" s="11" t="n">
        <v>46.27</v>
      </c>
      <c r="AF200" s="11" t="n">
        <v>60.322</v>
      </c>
      <c r="AG200" s="11" t="n">
        <v>43.508</v>
      </c>
      <c r="AH200" s="11" t="n">
        <f aca="false">SUM(AB200:AG200)</f>
        <v>378.506</v>
      </c>
    </row>
    <row r="201" customFormat="false" ht="15" hidden="false" customHeight="false" outlineLevel="2" collapsed="false">
      <c r="A201" s="8" t="s">
        <v>468</v>
      </c>
      <c r="B201" s="12" t="s">
        <v>469</v>
      </c>
      <c r="C201" s="8" t="s">
        <v>410</v>
      </c>
      <c r="D201" s="12" t="s">
        <v>411</v>
      </c>
      <c r="E201" s="16"/>
      <c r="F201" s="9" t="str">
        <f aca="false">IF($E201="","",IFERROR(INDEX(担当者マスタ!$B$2:$B$101,MATCH($E201,担当者マスタ!$A$2:$A$101,0)),"※マスタ未登録"))</f>
        <v/>
      </c>
      <c r="G201" s="11" t="n">
        <v>89.905</v>
      </c>
      <c r="H201" s="11" t="n">
        <v>210.302</v>
      </c>
      <c r="I201" s="11" t="n">
        <v>338.608</v>
      </c>
      <c r="J201" s="11" t="n">
        <v>158.191</v>
      </c>
      <c r="K201" s="11" t="n">
        <v>78.878</v>
      </c>
      <c r="L201" s="11" t="n">
        <v>85.285</v>
      </c>
      <c r="M201" s="11" t="n">
        <f aca="false">SUM(G201:L201)</f>
        <v>961.169</v>
      </c>
      <c r="N201" s="11" t="n">
        <v>36.132</v>
      </c>
      <c r="O201" s="11" t="n">
        <v>67.929</v>
      </c>
      <c r="P201" s="11" t="n">
        <v>115.874</v>
      </c>
      <c r="Q201" s="11" t="n">
        <v>47.026</v>
      </c>
      <c r="R201" s="11" t="n">
        <v>27.417</v>
      </c>
      <c r="S201" s="11" t="n">
        <v>32.658</v>
      </c>
      <c r="T201" s="11" t="n">
        <f aca="false">SUM(N201:S201)</f>
        <v>327.036</v>
      </c>
      <c r="U201" s="11" t="n">
        <v>123.887</v>
      </c>
      <c r="V201" s="11" t="n">
        <v>284.584</v>
      </c>
      <c r="W201" s="11" t="n">
        <v>454.885</v>
      </c>
      <c r="X201" s="11" t="n">
        <v>76.866</v>
      </c>
      <c r="Y201" s="11" t="n">
        <v>55.39</v>
      </c>
      <c r="Z201" s="11" t="n">
        <v>177.455</v>
      </c>
      <c r="AA201" s="11" t="n">
        <f aca="false">SUM(U201:Z201)</f>
        <v>1173.067</v>
      </c>
      <c r="AB201" s="11" t="n">
        <v>40.342</v>
      </c>
      <c r="AC201" s="11" t="n">
        <v>94.146</v>
      </c>
      <c r="AD201" s="11" t="n">
        <v>155.909</v>
      </c>
      <c r="AE201" s="11" t="n">
        <v>13.849</v>
      </c>
      <c r="AF201" s="11" t="n">
        <v>19.477</v>
      </c>
      <c r="AG201" s="11" t="n">
        <v>58.953</v>
      </c>
      <c r="AH201" s="11" t="n">
        <f aca="false">SUM(AB201:AG201)</f>
        <v>382.676</v>
      </c>
    </row>
    <row r="202" customFormat="false" ht="15" hidden="false" customHeight="false" outlineLevel="2" collapsed="false">
      <c r="A202" s="8" t="s">
        <v>470</v>
      </c>
      <c r="B202" s="12" t="s">
        <v>471</v>
      </c>
      <c r="C202" s="8" t="s">
        <v>410</v>
      </c>
      <c r="D202" s="12" t="s">
        <v>411</v>
      </c>
      <c r="E202" s="16"/>
      <c r="F202" s="9" t="str">
        <f aca="false">IF($E202="","",IFERROR(INDEX(担当者マスタ!$B$2:$B$101,MATCH($E202,担当者マスタ!$A$2:$A$101,0)),"※マスタ未登録"))</f>
        <v/>
      </c>
      <c r="G202" s="11" t="n">
        <v>0</v>
      </c>
      <c r="H202" s="11" t="n">
        <v>22.5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f aca="false">SUM(G202:L202)</f>
        <v>22.5</v>
      </c>
      <c r="N202" s="11" t="n">
        <v>0</v>
      </c>
      <c r="O202" s="11" t="n">
        <v>5.7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f aca="false">SUM(N202:S202)</f>
        <v>5.7</v>
      </c>
      <c r="U202" s="11" t="n">
        <v>0</v>
      </c>
      <c r="V202" s="11" t="n">
        <v>0</v>
      </c>
      <c r="W202" s="11" t="n">
        <v>0</v>
      </c>
      <c r="X202" s="11" t="n">
        <v>0</v>
      </c>
      <c r="Y202" s="11" t="n">
        <v>0</v>
      </c>
      <c r="Z202" s="11" t="n">
        <v>0</v>
      </c>
      <c r="AA202" s="11" t="n">
        <f aca="false">SUM(U202:Z202)</f>
        <v>0</v>
      </c>
      <c r="AB202" s="11" t="n">
        <v>0</v>
      </c>
      <c r="AC202" s="11" t="n">
        <v>0</v>
      </c>
      <c r="AD202" s="11" t="n">
        <v>0</v>
      </c>
      <c r="AE202" s="11" t="n">
        <v>0</v>
      </c>
      <c r="AF202" s="11" t="n">
        <v>0</v>
      </c>
      <c r="AG202" s="11" t="n">
        <v>0</v>
      </c>
      <c r="AH202" s="11" t="n">
        <f aca="false">SUM(AB202:AG202)</f>
        <v>0</v>
      </c>
    </row>
    <row r="203" customFormat="false" ht="15" hidden="false" customHeight="false" outlineLevel="2" collapsed="false">
      <c r="A203" s="8" t="s">
        <v>472</v>
      </c>
      <c r="B203" s="12" t="s">
        <v>473</v>
      </c>
      <c r="C203" s="8" t="s">
        <v>410</v>
      </c>
      <c r="D203" s="12" t="s">
        <v>411</v>
      </c>
      <c r="E203" s="16"/>
      <c r="F203" s="9" t="str">
        <f aca="false">IF($E203="","",IFERROR(INDEX(担当者マスタ!$B$2:$B$101,MATCH($E203,担当者マスタ!$A$2:$A$101,0)),"※マスタ未登録"))</f>
        <v/>
      </c>
      <c r="G203" s="11" t="n">
        <v>554.103</v>
      </c>
      <c r="H203" s="11" t="n">
        <v>726.334</v>
      </c>
      <c r="I203" s="11" t="n">
        <v>1762.983</v>
      </c>
      <c r="J203" s="11" t="n">
        <v>300.065</v>
      </c>
      <c r="K203" s="11" t="n">
        <v>269.775</v>
      </c>
      <c r="L203" s="11" t="n">
        <v>319.807</v>
      </c>
      <c r="M203" s="11" t="n">
        <f aca="false">SUM(G203:L203)</f>
        <v>3933.067</v>
      </c>
      <c r="N203" s="11" t="n">
        <v>144.335</v>
      </c>
      <c r="O203" s="11" t="n">
        <v>179.242</v>
      </c>
      <c r="P203" s="11" t="n">
        <v>459.8</v>
      </c>
      <c r="Q203" s="11" t="n">
        <v>89.284</v>
      </c>
      <c r="R203" s="11" t="n">
        <v>75.529</v>
      </c>
      <c r="S203" s="11" t="n">
        <v>90.022</v>
      </c>
      <c r="T203" s="11" t="n">
        <f aca="false">SUM(N203:S203)</f>
        <v>1038.212</v>
      </c>
      <c r="U203" s="11" t="n">
        <v>159.517</v>
      </c>
      <c r="V203" s="11" t="n">
        <v>198.117</v>
      </c>
      <c r="W203" s="11" t="n">
        <v>1713.259</v>
      </c>
      <c r="X203" s="11" t="n">
        <v>226.086</v>
      </c>
      <c r="Y203" s="11" t="n">
        <v>272.466</v>
      </c>
      <c r="Z203" s="11" t="n">
        <v>187.768</v>
      </c>
      <c r="AA203" s="11" t="n">
        <f aca="false">SUM(U203:Z203)</f>
        <v>2757.213</v>
      </c>
      <c r="AB203" s="11" t="n">
        <v>43.83</v>
      </c>
      <c r="AC203" s="11" t="n">
        <v>53.444</v>
      </c>
      <c r="AD203" s="11" t="n">
        <v>488.215</v>
      </c>
      <c r="AE203" s="11" t="n">
        <v>57.901</v>
      </c>
      <c r="AF203" s="11" t="n">
        <v>72.636</v>
      </c>
      <c r="AG203" s="11" t="n">
        <v>44.802</v>
      </c>
      <c r="AH203" s="11" t="n">
        <f aca="false">SUM(AB203:AG203)</f>
        <v>760.828</v>
      </c>
    </row>
    <row r="204" customFormat="false" ht="15" hidden="false" customHeight="false" outlineLevel="2" collapsed="false">
      <c r="A204" s="8" t="s">
        <v>474</v>
      </c>
      <c r="B204" s="12" t="s">
        <v>475</v>
      </c>
      <c r="C204" s="8" t="s">
        <v>410</v>
      </c>
      <c r="D204" s="12" t="s">
        <v>411</v>
      </c>
      <c r="E204" s="16"/>
      <c r="F204" s="9" t="str">
        <f aca="false">IF($E204="","",IFERROR(INDEX(担当者マスタ!$B$2:$B$101,MATCH($E204,担当者マスタ!$A$2:$A$101,0)),"※マスタ未登録"))</f>
        <v/>
      </c>
      <c r="G204" s="11" t="n">
        <v>117.972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f aca="false">SUM(G204:L204)</f>
        <v>117.972</v>
      </c>
      <c r="N204" s="11" t="n">
        <v>47.145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f aca="false">SUM(N204:S204)</f>
        <v>47.145</v>
      </c>
      <c r="U204" s="11" t="n">
        <v>88</v>
      </c>
      <c r="V204" s="11" t="n">
        <v>17.4</v>
      </c>
      <c r="W204" s="11" t="n">
        <v>6.2</v>
      </c>
      <c r="X204" s="11" t="n">
        <v>0</v>
      </c>
      <c r="Y204" s="11" t="n">
        <v>0</v>
      </c>
      <c r="Z204" s="11" t="n">
        <v>0</v>
      </c>
      <c r="AA204" s="11" t="n">
        <f aca="false">SUM(U204:Z204)</f>
        <v>111.6</v>
      </c>
      <c r="AB204" s="11" t="n">
        <v>27</v>
      </c>
      <c r="AC204" s="11" t="n">
        <v>7.02</v>
      </c>
      <c r="AD204" s="11" t="n">
        <v>3.04</v>
      </c>
      <c r="AE204" s="11" t="n">
        <v>0</v>
      </c>
      <c r="AF204" s="11" t="n">
        <v>0</v>
      </c>
      <c r="AG204" s="11" t="n">
        <v>0</v>
      </c>
      <c r="AH204" s="11" t="n">
        <f aca="false">SUM(AB204:AG204)</f>
        <v>37.06</v>
      </c>
    </row>
    <row r="205" customFormat="false" ht="15" hidden="false" customHeight="false" outlineLevel="2" collapsed="false">
      <c r="A205" s="8" t="s">
        <v>476</v>
      </c>
      <c r="B205" s="9" t="s">
        <v>477</v>
      </c>
      <c r="C205" s="8" t="s">
        <v>410</v>
      </c>
      <c r="D205" s="12" t="s">
        <v>411</v>
      </c>
      <c r="E205" s="16"/>
      <c r="F205" s="9" t="str">
        <f aca="false">IF($E205="","",IFERROR(INDEX(担当者マスタ!$B$2:$B$101,MATCH($E205,担当者マスタ!$A$2:$A$101,0)),"※マスタ未登録"))</f>
        <v/>
      </c>
      <c r="G205" s="11" t="n">
        <v>40.606</v>
      </c>
      <c r="H205" s="11" t="n">
        <v>0</v>
      </c>
      <c r="I205" s="11" t="n">
        <v>46.052</v>
      </c>
      <c r="J205" s="11" t="n">
        <v>20.44</v>
      </c>
      <c r="K205" s="11" t="n">
        <v>25.68</v>
      </c>
      <c r="L205" s="11" t="n">
        <v>0</v>
      </c>
      <c r="M205" s="11" t="n">
        <f aca="false">SUM(G205:L205)</f>
        <v>132.778</v>
      </c>
      <c r="N205" s="11" t="n">
        <v>10.232</v>
      </c>
      <c r="O205" s="11" t="n">
        <v>0</v>
      </c>
      <c r="P205" s="11" t="n">
        <v>8.484</v>
      </c>
      <c r="Q205" s="11" t="n">
        <v>5.147</v>
      </c>
      <c r="R205" s="11" t="n">
        <v>6.99</v>
      </c>
      <c r="S205" s="11" t="n">
        <v>0</v>
      </c>
      <c r="T205" s="11" t="n">
        <f aca="false">SUM(N205:S205)</f>
        <v>30.853</v>
      </c>
      <c r="U205" s="11" t="n">
        <v>29.8</v>
      </c>
      <c r="V205" s="11" t="n">
        <v>0</v>
      </c>
      <c r="W205" s="11" t="n">
        <v>12.975</v>
      </c>
      <c r="X205" s="11" t="n">
        <v>0</v>
      </c>
      <c r="Y205" s="11" t="n">
        <v>39</v>
      </c>
      <c r="Z205" s="11" t="n">
        <v>0</v>
      </c>
      <c r="AA205" s="11" t="n">
        <f aca="false">SUM(U205:Z205)</f>
        <v>81.775</v>
      </c>
      <c r="AB205" s="11" t="n">
        <v>5.4</v>
      </c>
      <c r="AC205" s="11" t="n">
        <v>0</v>
      </c>
      <c r="AD205" s="11" t="n">
        <v>2.109</v>
      </c>
      <c r="AE205" s="11" t="n">
        <v>0</v>
      </c>
      <c r="AF205" s="11" t="n">
        <v>6.452</v>
      </c>
      <c r="AG205" s="11" t="n">
        <v>0</v>
      </c>
      <c r="AH205" s="11" t="n">
        <f aca="false">SUM(AB205:AG205)</f>
        <v>13.961</v>
      </c>
    </row>
    <row r="206" customFormat="false" ht="15" hidden="false" customHeight="false" outlineLevel="2" collapsed="false">
      <c r="A206" s="8" t="s">
        <v>478</v>
      </c>
      <c r="B206" s="12" t="s">
        <v>479</v>
      </c>
      <c r="C206" s="8" t="s">
        <v>410</v>
      </c>
      <c r="D206" s="12" t="s">
        <v>411</v>
      </c>
      <c r="E206" s="16"/>
      <c r="F206" s="9" t="str">
        <f aca="false">IF($E206="","",IFERROR(INDEX(担当者マスタ!$B$2:$B$101,MATCH($E206,担当者マスタ!$A$2:$A$101,0)),"※マスタ未登録"))</f>
        <v/>
      </c>
      <c r="G206" s="11" t="n">
        <v>12.318</v>
      </c>
      <c r="H206" s="11" t="n">
        <v>26.465</v>
      </c>
      <c r="I206" s="11" t="n">
        <v>56.395</v>
      </c>
      <c r="J206" s="11" t="n">
        <v>39.9</v>
      </c>
      <c r="K206" s="11" t="n">
        <v>70.59</v>
      </c>
      <c r="L206" s="11" t="n">
        <v>0</v>
      </c>
      <c r="M206" s="11" t="n">
        <f aca="false">SUM(G206:L206)</f>
        <v>205.668</v>
      </c>
      <c r="N206" s="11" t="n">
        <v>4.288</v>
      </c>
      <c r="O206" s="11" t="n">
        <v>7.049</v>
      </c>
      <c r="P206" s="11" t="n">
        <v>28.615</v>
      </c>
      <c r="Q206" s="11" t="n">
        <v>9.99</v>
      </c>
      <c r="R206" s="11" t="n">
        <v>18.6</v>
      </c>
      <c r="S206" s="11" t="n">
        <v>0</v>
      </c>
      <c r="T206" s="11" t="n">
        <f aca="false">SUM(N206:S206)</f>
        <v>68.542</v>
      </c>
      <c r="U206" s="11" t="n">
        <v>0</v>
      </c>
      <c r="V206" s="11" t="n">
        <v>125.825</v>
      </c>
      <c r="W206" s="11" t="n">
        <v>40</v>
      </c>
      <c r="X206" s="11" t="n">
        <v>5.995</v>
      </c>
      <c r="Y206" s="11" t="n">
        <v>0</v>
      </c>
      <c r="Z206" s="11" t="n">
        <v>0</v>
      </c>
      <c r="AA206" s="11" t="n">
        <f aca="false">SUM(U206:Z206)</f>
        <v>171.82</v>
      </c>
      <c r="AB206" s="11" t="n">
        <v>0</v>
      </c>
      <c r="AC206" s="11" t="n">
        <v>33.155</v>
      </c>
      <c r="AD206" s="11" t="n">
        <v>10</v>
      </c>
      <c r="AE206" s="11" t="n">
        <v>2.215</v>
      </c>
      <c r="AF206" s="11" t="n">
        <v>0</v>
      </c>
      <c r="AG206" s="11" t="n">
        <v>0</v>
      </c>
      <c r="AH206" s="11" t="n">
        <f aca="false">SUM(AB206:AG206)</f>
        <v>45.37</v>
      </c>
    </row>
    <row r="207" customFormat="false" ht="15" hidden="false" customHeight="false" outlineLevel="2" collapsed="false">
      <c r="A207" s="8" t="s">
        <v>480</v>
      </c>
      <c r="B207" s="9" t="s">
        <v>481</v>
      </c>
      <c r="C207" s="8" t="s">
        <v>410</v>
      </c>
      <c r="D207" s="12" t="s">
        <v>411</v>
      </c>
      <c r="E207" s="16"/>
      <c r="F207" s="9" t="str">
        <f aca="false">IF($E207="","",IFERROR(INDEX(担当者マスタ!$B$2:$B$101,MATCH($E207,担当者マスタ!$A$2:$A$101,0)),"※マスタ未登録"))</f>
        <v/>
      </c>
      <c r="G207" s="11" t="n">
        <v>42.6</v>
      </c>
      <c r="H207" s="11" t="n">
        <v>0</v>
      </c>
      <c r="I207" s="11" t="n">
        <v>9.2</v>
      </c>
      <c r="J207" s="11" t="n">
        <v>28.6</v>
      </c>
      <c r="K207" s="11" t="n">
        <v>0</v>
      </c>
      <c r="L207" s="11" t="n">
        <v>0</v>
      </c>
      <c r="M207" s="11" t="n">
        <f aca="false">SUM(G207:L207)</f>
        <v>80.4</v>
      </c>
      <c r="N207" s="11" t="n">
        <v>15.6</v>
      </c>
      <c r="O207" s="11" t="n">
        <v>0</v>
      </c>
      <c r="P207" s="11" t="n">
        <v>2</v>
      </c>
      <c r="Q207" s="11" t="n">
        <v>9.6</v>
      </c>
      <c r="R207" s="11" t="n">
        <v>0</v>
      </c>
      <c r="S207" s="11" t="n">
        <v>0</v>
      </c>
      <c r="T207" s="11" t="n">
        <f aca="false">SUM(N207:S207)</f>
        <v>27.2</v>
      </c>
      <c r="U207" s="11" t="n">
        <v>0</v>
      </c>
      <c r="V207" s="11" t="n">
        <v>0</v>
      </c>
      <c r="W207" s="11" t="n">
        <v>0</v>
      </c>
      <c r="X207" s="11" t="n">
        <v>21.3</v>
      </c>
      <c r="Y207" s="11" t="n">
        <v>0</v>
      </c>
      <c r="Z207" s="11" t="n">
        <v>0</v>
      </c>
      <c r="AA207" s="11" t="n">
        <f aca="false">SUM(U207:Z207)</f>
        <v>21.3</v>
      </c>
      <c r="AB207" s="11" t="n">
        <v>0</v>
      </c>
      <c r="AC207" s="11" t="n">
        <v>0</v>
      </c>
      <c r="AD207" s="11" t="n">
        <v>0</v>
      </c>
      <c r="AE207" s="11" t="n">
        <v>7.8</v>
      </c>
      <c r="AF207" s="11" t="n">
        <v>0</v>
      </c>
      <c r="AG207" s="11" t="n">
        <v>0</v>
      </c>
      <c r="AH207" s="11" t="n">
        <f aca="false">SUM(AB207:AG207)</f>
        <v>7.8</v>
      </c>
    </row>
    <row r="208" customFormat="false" ht="15" hidden="false" customHeight="false" outlineLevel="2" collapsed="false">
      <c r="A208" s="8" t="s">
        <v>482</v>
      </c>
      <c r="B208" s="12" t="s">
        <v>483</v>
      </c>
      <c r="C208" s="8" t="s">
        <v>410</v>
      </c>
      <c r="D208" s="12" t="s">
        <v>411</v>
      </c>
      <c r="E208" s="16"/>
      <c r="F208" s="9" t="str">
        <f aca="false">IF($E208="","",IFERROR(INDEX(担当者マスタ!$B$2:$B$101,MATCH($E208,担当者マスタ!$A$2:$A$101,0)),"※マスタ未登録"))</f>
        <v/>
      </c>
      <c r="G208" s="11" t="n">
        <v>10.68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f aca="false">SUM(G208:L208)</f>
        <v>10.68</v>
      </c>
      <c r="N208" s="11" t="n">
        <v>2.68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f aca="false">SUM(N208:S208)</f>
        <v>2.68</v>
      </c>
      <c r="U208" s="11" t="n">
        <v>0</v>
      </c>
      <c r="V208" s="11" t="n">
        <v>9.01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f aca="false">SUM(U208:Z208)</f>
        <v>9.01</v>
      </c>
      <c r="AB208" s="11" t="n">
        <v>0</v>
      </c>
      <c r="AC208" s="11" t="n">
        <v>3.01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n">
        <f aca="false">SUM(AB208:AG208)</f>
        <v>3.01</v>
      </c>
    </row>
    <row r="209" customFormat="false" ht="15" hidden="false" customHeight="false" outlineLevel="2" collapsed="false">
      <c r="A209" s="8" t="s">
        <v>484</v>
      </c>
      <c r="B209" s="12" t="s">
        <v>485</v>
      </c>
      <c r="C209" s="8" t="s">
        <v>410</v>
      </c>
      <c r="D209" s="12" t="s">
        <v>411</v>
      </c>
      <c r="E209" s="16"/>
      <c r="F209" s="9" t="str">
        <f aca="false">IF($E209="","",IFERROR(INDEX(担当者マスタ!$B$2:$B$101,MATCH($E209,担当者マスタ!$A$2:$A$101,0)),"※マスタ未登録"))</f>
        <v/>
      </c>
      <c r="G209" s="11" t="n">
        <v>25.69</v>
      </c>
      <c r="H209" s="11" t="n">
        <v>30.8</v>
      </c>
      <c r="I209" s="11" t="n">
        <v>0</v>
      </c>
      <c r="J209" s="11" t="n">
        <v>120.746</v>
      </c>
      <c r="K209" s="11" t="n">
        <v>0</v>
      </c>
      <c r="L209" s="11" t="n">
        <v>0</v>
      </c>
      <c r="M209" s="11" t="n">
        <f aca="false">SUM(G209:L209)</f>
        <v>177.236</v>
      </c>
      <c r="N209" s="11" t="n">
        <v>9.22</v>
      </c>
      <c r="O209" s="11" t="n">
        <v>14.59</v>
      </c>
      <c r="P209" s="11" t="n">
        <v>0</v>
      </c>
      <c r="Q209" s="11" t="n">
        <v>34.326</v>
      </c>
      <c r="R209" s="11" t="n">
        <v>0</v>
      </c>
      <c r="S209" s="11" t="n">
        <v>0</v>
      </c>
      <c r="T209" s="11" t="n">
        <f aca="false">SUM(N209:S209)</f>
        <v>58.136</v>
      </c>
      <c r="U209" s="11" t="n">
        <v>0</v>
      </c>
      <c r="V209" s="11" t="n">
        <v>39.6</v>
      </c>
      <c r="W209" s="11" t="n">
        <v>0</v>
      </c>
      <c r="X209" s="11" t="n">
        <v>0</v>
      </c>
      <c r="Y209" s="11" t="n">
        <v>82.4</v>
      </c>
      <c r="Z209" s="11" t="n">
        <v>0</v>
      </c>
      <c r="AA209" s="11" t="n">
        <f aca="false">SUM(U209:Z209)</f>
        <v>122</v>
      </c>
      <c r="AB209" s="11" t="n">
        <v>0</v>
      </c>
      <c r="AC209" s="11" t="n">
        <v>17.52</v>
      </c>
      <c r="AD209" s="11" t="n">
        <v>0</v>
      </c>
      <c r="AE209" s="11" t="n">
        <v>0</v>
      </c>
      <c r="AF209" s="11" t="n">
        <v>20.6</v>
      </c>
      <c r="AG209" s="11" t="n">
        <v>0</v>
      </c>
      <c r="AH209" s="11" t="n">
        <f aca="false">SUM(AB209:AG209)</f>
        <v>38.12</v>
      </c>
    </row>
    <row r="210" customFormat="false" ht="15" hidden="false" customHeight="false" outlineLevel="2" collapsed="false">
      <c r="A210" s="8" t="s">
        <v>486</v>
      </c>
      <c r="B210" s="9" t="s">
        <v>487</v>
      </c>
      <c r="C210" s="8" t="s">
        <v>410</v>
      </c>
      <c r="D210" s="12" t="s">
        <v>411</v>
      </c>
      <c r="E210" s="16"/>
      <c r="F210" s="9" t="str">
        <f aca="false">IF($E210="","",IFERROR(INDEX(担当者マスタ!$B$2:$B$101,MATCH($E210,担当者マスタ!$A$2:$A$101,0)),"※マスタ未登録"))</f>
        <v/>
      </c>
      <c r="G210" s="11" t="n">
        <v>26.14</v>
      </c>
      <c r="H210" s="11" t="n">
        <v>18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f aca="false">SUM(G210:L210)</f>
        <v>44.14</v>
      </c>
      <c r="N210" s="11" t="n">
        <v>9.44</v>
      </c>
      <c r="O210" s="11" t="n">
        <v>6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f aca="false">SUM(N210:S210)</f>
        <v>15.44</v>
      </c>
      <c r="U210" s="11" t="n">
        <v>0</v>
      </c>
      <c r="V210" s="11" t="n">
        <v>0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f aca="false">SUM(U210:Z210)</f>
        <v>0</v>
      </c>
      <c r="AB210" s="11" t="n">
        <v>0</v>
      </c>
      <c r="AC210" s="11" t="n">
        <v>0</v>
      </c>
      <c r="AD210" s="11" t="n">
        <v>0</v>
      </c>
      <c r="AE210" s="11" t="n">
        <v>0</v>
      </c>
      <c r="AF210" s="11" t="n">
        <v>0</v>
      </c>
      <c r="AG210" s="11" t="n">
        <v>0</v>
      </c>
      <c r="AH210" s="11" t="n">
        <f aca="false">SUM(AB210:AG210)</f>
        <v>0</v>
      </c>
    </row>
    <row r="211" customFormat="false" ht="15" hidden="false" customHeight="false" outlineLevel="2" collapsed="false">
      <c r="A211" s="8" t="s">
        <v>488</v>
      </c>
      <c r="B211" s="12" t="s">
        <v>489</v>
      </c>
      <c r="C211" s="8" t="s">
        <v>410</v>
      </c>
      <c r="D211" s="12" t="s">
        <v>411</v>
      </c>
      <c r="E211" s="16"/>
      <c r="F211" s="9" t="str">
        <f aca="false">IF($E211="","",IFERROR(INDEX(担当者マスタ!$B$2:$B$101,MATCH($E211,担当者マスタ!$A$2:$A$101,0)),"※マスタ未登録"))</f>
        <v/>
      </c>
      <c r="G211" s="11" t="n">
        <v>0</v>
      </c>
      <c r="H211" s="11" t="n">
        <v>0</v>
      </c>
      <c r="I211" s="11" t="n">
        <v>16.8</v>
      </c>
      <c r="J211" s="11" t="n">
        <v>51.2</v>
      </c>
      <c r="K211" s="11" t="n">
        <v>0</v>
      </c>
      <c r="L211" s="11" t="n">
        <v>0</v>
      </c>
      <c r="M211" s="11" t="n">
        <f aca="false">SUM(G211:L211)</f>
        <v>68</v>
      </c>
      <c r="N211" s="11" t="n">
        <v>0</v>
      </c>
      <c r="O211" s="11" t="n">
        <v>0</v>
      </c>
      <c r="P211" s="11" t="n">
        <v>4.92</v>
      </c>
      <c r="Q211" s="11" t="n">
        <v>10.5</v>
      </c>
      <c r="R211" s="11" t="n">
        <v>0</v>
      </c>
      <c r="S211" s="11" t="n">
        <v>0</v>
      </c>
      <c r="T211" s="11" t="n">
        <f aca="false">SUM(N211:S211)</f>
        <v>15.42</v>
      </c>
      <c r="U211" s="11" t="n">
        <v>0</v>
      </c>
      <c r="V211" s="11" t="n">
        <v>0</v>
      </c>
      <c r="W211" s="11" t="n">
        <v>62.09</v>
      </c>
      <c r="X211" s="11" t="n">
        <v>0</v>
      </c>
      <c r="Y211" s="11" t="n">
        <v>0</v>
      </c>
      <c r="Z211" s="11" t="n">
        <v>29.7</v>
      </c>
      <c r="AA211" s="11" t="n">
        <f aca="false">SUM(U211:Z211)</f>
        <v>91.79</v>
      </c>
      <c r="AB211" s="11" t="n">
        <v>0</v>
      </c>
      <c r="AC211" s="11" t="n">
        <v>0</v>
      </c>
      <c r="AD211" s="11" t="n">
        <v>11.63</v>
      </c>
      <c r="AE211" s="11" t="n">
        <v>0</v>
      </c>
      <c r="AF211" s="11" t="n">
        <v>0</v>
      </c>
      <c r="AG211" s="11" t="n">
        <v>5.5</v>
      </c>
      <c r="AH211" s="11" t="n">
        <f aca="false">SUM(AB211:AG211)</f>
        <v>17.13</v>
      </c>
    </row>
    <row r="212" customFormat="false" ht="15" hidden="false" customHeight="false" outlineLevel="2" collapsed="false">
      <c r="A212" s="8" t="s">
        <v>490</v>
      </c>
      <c r="B212" s="12" t="s">
        <v>491</v>
      </c>
      <c r="C212" s="8" t="s">
        <v>410</v>
      </c>
      <c r="D212" s="12" t="s">
        <v>411</v>
      </c>
      <c r="E212" s="16"/>
      <c r="F212" s="9" t="str">
        <f aca="false">IF($E212="","",IFERROR(INDEX(担当者マスタ!$B$2:$B$101,MATCH($E212,担当者マスタ!$A$2:$A$101,0)),"※マスタ未登録"))</f>
        <v/>
      </c>
      <c r="G212" s="11" t="n">
        <v>20.145</v>
      </c>
      <c r="H212" s="11" t="n">
        <v>0</v>
      </c>
      <c r="I212" s="11" t="n">
        <v>0</v>
      </c>
      <c r="J212" s="11" t="n">
        <v>0</v>
      </c>
      <c r="K212" s="11" t="n">
        <v>12</v>
      </c>
      <c r="L212" s="11" t="n">
        <v>114.38</v>
      </c>
      <c r="M212" s="11" t="n">
        <f aca="false">SUM(G212:L212)</f>
        <v>146.525</v>
      </c>
      <c r="N212" s="11" t="n">
        <v>5.645</v>
      </c>
      <c r="O212" s="11" t="n">
        <v>0</v>
      </c>
      <c r="P212" s="11" t="n">
        <v>0</v>
      </c>
      <c r="Q212" s="11" t="n">
        <v>0</v>
      </c>
      <c r="R212" s="11" t="n">
        <v>2</v>
      </c>
      <c r="S212" s="11" t="n">
        <v>34.767</v>
      </c>
      <c r="T212" s="11" t="n">
        <f aca="false">SUM(N212:S212)</f>
        <v>42.412</v>
      </c>
      <c r="U212" s="11" t="n">
        <v>0</v>
      </c>
      <c r="V212" s="11" t="n">
        <v>0</v>
      </c>
      <c r="W212" s="11" t="n">
        <v>50</v>
      </c>
      <c r="X212" s="11" t="n">
        <v>20.145</v>
      </c>
      <c r="Y212" s="11" t="n">
        <v>23.12</v>
      </c>
      <c r="Z212" s="11" t="n">
        <v>10.4</v>
      </c>
      <c r="AA212" s="11" t="n">
        <f aca="false">SUM(U212:Z212)</f>
        <v>103.665</v>
      </c>
      <c r="AB212" s="11" t="n">
        <v>0</v>
      </c>
      <c r="AC212" s="11" t="n">
        <v>0</v>
      </c>
      <c r="AD212" s="11" t="n">
        <v>12.4</v>
      </c>
      <c r="AE212" s="11" t="n">
        <v>5.645</v>
      </c>
      <c r="AF212" s="11" t="n">
        <v>6.13</v>
      </c>
      <c r="AG212" s="11" t="n">
        <v>5.545</v>
      </c>
      <c r="AH212" s="11" t="n">
        <f aca="false">SUM(AB212:AG212)</f>
        <v>29.72</v>
      </c>
    </row>
    <row r="213" customFormat="false" ht="15" hidden="false" customHeight="false" outlineLevel="2" collapsed="false">
      <c r="A213" s="8" t="s">
        <v>492</v>
      </c>
      <c r="B213" s="12" t="s">
        <v>493</v>
      </c>
      <c r="C213" s="8" t="s">
        <v>410</v>
      </c>
      <c r="D213" s="12" t="s">
        <v>411</v>
      </c>
      <c r="E213" s="16"/>
      <c r="F213" s="9" t="str">
        <f aca="false">IF($E213="","",IFERROR(INDEX(担当者マスタ!$B$2:$B$101,MATCH($E213,担当者マスタ!$A$2:$A$101,0)),"※マスタ未登録"))</f>
        <v/>
      </c>
      <c r="G213" s="11" t="n">
        <v>0</v>
      </c>
      <c r="H213" s="11" t="n">
        <v>0</v>
      </c>
      <c r="I213" s="11" t="n">
        <v>5.232</v>
      </c>
      <c r="J213" s="11" t="n">
        <v>0</v>
      </c>
      <c r="K213" s="11" t="n">
        <v>0</v>
      </c>
      <c r="L213" s="11" t="n">
        <v>0</v>
      </c>
      <c r="M213" s="11" t="n">
        <f aca="false">SUM(G213:L213)</f>
        <v>5.232</v>
      </c>
      <c r="N213" s="11" t="n">
        <v>0</v>
      </c>
      <c r="O213" s="11" t="n">
        <v>0</v>
      </c>
      <c r="P213" s="11" t="n">
        <v>1.333</v>
      </c>
      <c r="Q213" s="11" t="n">
        <v>0</v>
      </c>
      <c r="R213" s="11" t="n">
        <v>0</v>
      </c>
      <c r="S213" s="11" t="n">
        <v>0</v>
      </c>
      <c r="T213" s="11" t="n">
        <f aca="false">SUM(N213:S213)</f>
        <v>1.333</v>
      </c>
      <c r="U213" s="11" t="n">
        <v>0</v>
      </c>
      <c r="V213" s="11" t="n">
        <v>0</v>
      </c>
      <c r="W213" s="11" t="n">
        <v>0</v>
      </c>
      <c r="X213" s="11" t="n">
        <v>1.565</v>
      </c>
      <c r="Y213" s="11" t="n">
        <v>2.092</v>
      </c>
      <c r="Z213" s="11" t="n">
        <v>0</v>
      </c>
      <c r="AA213" s="11" t="n">
        <f aca="false">SUM(U213:Z213)</f>
        <v>3.657</v>
      </c>
      <c r="AB213" s="11" t="n">
        <v>0</v>
      </c>
      <c r="AC213" s="11" t="n">
        <v>0</v>
      </c>
      <c r="AD213" s="11" t="n">
        <v>0</v>
      </c>
      <c r="AE213" s="11" t="n">
        <v>0.395</v>
      </c>
      <c r="AF213" s="11" t="n">
        <v>0.528</v>
      </c>
      <c r="AG213" s="11" t="n">
        <v>0</v>
      </c>
      <c r="AH213" s="11" t="n">
        <f aca="false">SUM(AB213:AG213)</f>
        <v>0.923</v>
      </c>
    </row>
    <row r="214" customFormat="false" ht="15" hidden="false" customHeight="false" outlineLevel="2" collapsed="false">
      <c r="A214" s="8" t="s">
        <v>494</v>
      </c>
      <c r="B214" s="12" t="s">
        <v>495</v>
      </c>
      <c r="C214" s="8" t="s">
        <v>410</v>
      </c>
      <c r="D214" s="12" t="s">
        <v>411</v>
      </c>
      <c r="E214" s="16"/>
      <c r="F214" s="9" t="str">
        <f aca="false">IF($E214="","",IFERROR(INDEX(担当者マスタ!$B$2:$B$101,MATCH($E214,担当者マスタ!$A$2:$A$101,0)),"※マスタ未登録"))</f>
        <v/>
      </c>
      <c r="G214" s="11" t="n">
        <v>19.93</v>
      </c>
      <c r="H214" s="11" t="n">
        <v>16.425</v>
      </c>
      <c r="I214" s="11" t="n">
        <v>30.025</v>
      </c>
      <c r="J214" s="11" t="n">
        <v>29.555</v>
      </c>
      <c r="K214" s="11" t="n">
        <v>16.39</v>
      </c>
      <c r="L214" s="11" t="n">
        <v>25.791</v>
      </c>
      <c r="M214" s="11" t="n">
        <f aca="false">SUM(G214:L214)</f>
        <v>138.116</v>
      </c>
      <c r="N214" s="11" t="n">
        <v>4.484</v>
      </c>
      <c r="O214" s="11" t="n">
        <v>3.848</v>
      </c>
      <c r="P214" s="11" t="n">
        <v>7.619</v>
      </c>
      <c r="Q214" s="11" t="n">
        <v>7.723</v>
      </c>
      <c r="R214" s="11" t="n">
        <v>4.323</v>
      </c>
      <c r="S214" s="11" t="n">
        <v>7.876</v>
      </c>
      <c r="T214" s="11" t="n">
        <f aca="false">SUM(N214:S214)</f>
        <v>35.873</v>
      </c>
      <c r="U214" s="11" t="n">
        <v>24.26</v>
      </c>
      <c r="V214" s="11" t="n">
        <v>22.178</v>
      </c>
      <c r="W214" s="11" t="n">
        <v>19.625</v>
      </c>
      <c r="X214" s="11" t="n">
        <v>27.59</v>
      </c>
      <c r="Y214" s="11" t="n">
        <v>25.372</v>
      </c>
      <c r="Z214" s="11" t="n">
        <v>11.51</v>
      </c>
      <c r="AA214" s="11" t="n">
        <f aca="false">SUM(U214:Z214)</f>
        <v>130.535</v>
      </c>
      <c r="AB214" s="11" t="n">
        <v>6.521</v>
      </c>
      <c r="AC214" s="11" t="n">
        <v>6.966</v>
      </c>
      <c r="AD214" s="11" t="n">
        <v>5.302</v>
      </c>
      <c r="AE214" s="11" t="n">
        <v>6.682</v>
      </c>
      <c r="AF214" s="11" t="n">
        <v>6.953</v>
      </c>
      <c r="AG214" s="11" t="n">
        <v>3.187</v>
      </c>
      <c r="AH214" s="11" t="n">
        <f aca="false">SUM(AB214:AG214)</f>
        <v>35.611</v>
      </c>
    </row>
    <row r="215" customFormat="false" ht="15" hidden="false" customHeight="false" outlineLevel="2" collapsed="false">
      <c r="A215" s="8" t="s">
        <v>496</v>
      </c>
      <c r="B215" s="12" t="s">
        <v>497</v>
      </c>
      <c r="C215" s="8" t="s">
        <v>410</v>
      </c>
      <c r="D215" s="12" t="s">
        <v>411</v>
      </c>
      <c r="E215" s="16"/>
      <c r="F215" s="9" t="str">
        <f aca="false">IF($E215="","",IFERROR(INDEX(担当者マスタ!$B$2:$B$101,MATCH($E215,担当者マスタ!$A$2:$A$101,0)),"※マスタ未登録"))</f>
        <v/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f aca="false">SUM(G215:L215)</f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f aca="false">SUM(N215:S215)</f>
        <v>0</v>
      </c>
      <c r="U215" s="11" t="n">
        <v>12.8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f aca="false">SUM(U215:Z215)</f>
        <v>12.8</v>
      </c>
      <c r="AB215" s="11" t="n">
        <v>4.08</v>
      </c>
      <c r="AC215" s="11" t="n">
        <v>0</v>
      </c>
      <c r="AD215" s="11" t="n">
        <v>0</v>
      </c>
      <c r="AE215" s="11" t="n">
        <v>0</v>
      </c>
      <c r="AF215" s="11" t="n">
        <v>0</v>
      </c>
      <c r="AG215" s="11" t="n">
        <v>0</v>
      </c>
      <c r="AH215" s="11" t="n">
        <f aca="false">SUM(AB215:AG215)</f>
        <v>4.08</v>
      </c>
    </row>
    <row r="216" customFormat="false" ht="15" hidden="false" customHeight="false" outlineLevel="2" collapsed="false">
      <c r="A216" s="8" t="s">
        <v>498</v>
      </c>
      <c r="B216" s="12" t="s">
        <v>499</v>
      </c>
      <c r="C216" s="8" t="s">
        <v>410</v>
      </c>
      <c r="D216" s="12" t="s">
        <v>411</v>
      </c>
      <c r="E216" s="16"/>
      <c r="F216" s="9" t="str">
        <f aca="false">IF($E216="","",IFERROR(INDEX(担当者マスタ!$B$2:$B$101,MATCH($E216,担当者マスタ!$A$2:$A$101,0)),"※マスタ未登録"))</f>
        <v/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24.68</v>
      </c>
      <c r="L216" s="11" t="n">
        <v>0</v>
      </c>
      <c r="M216" s="11" t="n">
        <f aca="false">SUM(G216:L216)</f>
        <v>24.68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7.61</v>
      </c>
      <c r="S216" s="11" t="n">
        <v>0</v>
      </c>
      <c r="T216" s="11" t="n">
        <f aca="false">SUM(N216:S216)</f>
        <v>7.61</v>
      </c>
      <c r="U216" s="11" t="n">
        <v>0</v>
      </c>
      <c r="V216" s="11" t="n">
        <v>10.934</v>
      </c>
      <c r="W216" s="11" t="n">
        <v>0</v>
      </c>
      <c r="X216" s="11" t="n">
        <v>20.688</v>
      </c>
      <c r="Y216" s="11" t="n">
        <v>88.96</v>
      </c>
      <c r="Z216" s="11" t="n">
        <v>2.21</v>
      </c>
      <c r="AA216" s="11" t="n">
        <f aca="false">SUM(U216:Z216)</f>
        <v>122.792</v>
      </c>
      <c r="AB216" s="11" t="n">
        <v>0</v>
      </c>
      <c r="AC216" s="11" t="n">
        <v>2.466</v>
      </c>
      <c r="AD216" s="11" t="n">
        <v>0</v>
      </c>
      <c r="AE216" s="11" t="n">
        <v>7.284</v>
      </c>
      <c r="AF216" s="11" t="n">
        <v>23</v>
      </c>
      <c r="AG216" s="11" t="n">
        <v>0.664</v>
      </c>
      <c r="AH216" s="11" t="n">
        <f aca="false">SUM(AB216:AG216)</f>
        <v>33.414</v>
      </c>
    </row>
    <row r="217" customFormat="false" ht="15" hidden="false" customHeight="false" outlineLevel="2" collapsed="false">
      <c r="A217" s="8" t="s">
        <v>500</v>
      </c>
      <c r="B217" s="12" t="s">
        <v>501</v>
      </c>
      <c r="C217" s="8" t="s">
        <v>410</v>
      </c>
      <c r="D217" s="12" t="s">
        <v>411</v>
      </c>
      <c r="E217" s="16"/>
      <c r="F217" s="9" t="str">
        <f aca="false">IF($E217="","",IFERROR(INDEX(担当者マスタ!$B$2:$B$101,MATCH($E217,担当者マスタ!$A$2:$A$101,0)),"※マスタ未登録"))</f>
        <v/>
      </c>
      <c r="G217" s="11" t="n">
        <v>0</v>
      </c>
      <c r="H217" s="11" t="n">
        <v>45.54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f aca="false">SUM(G217:L217)</f>
        <v>45.54</v>
      </c>
      <c r="N217" s="11" t="n">
        <v>0</v>
      </c>
      <c r="O217" s="11" t="n">
        <v>13.845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f aca="false">SUM(N217:S217)</f>
        <v>13.845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f aca="false">SUM(U217:Z217)</f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f aca="false">SUM(AB217:AG217)</f>
        <v>0</v>
      </c>
    </row>
    <row r="218" customFormat="false" ht="15" hidden="false" customHeight="false" outlineLevel="2" collapsed="false">
      <c r="A218" s="8" t="s">
        <v>502</v>
      </c>
      <c r="B218" s="12" t="s">
        <v>503</v>
      </c>
      <c r="C218" s="8" t="s">
        <v>410</v>
      </c>
      <c r="D218" s="12" t="s">
        <v>411</v>
      </c>
      <c r="E218" s="16"/>
      <c r="F218" s="9" t="str">
        <f aca="false">IF($E218="","",IFERROR(INDEX(担当者マスタ!$B$2:$B$101,MATCH($E218,担当者マスタ!$A$2:$A$101,0)),"※マスタ未登録"))</f>
        <v/>
      </c>
      <c r="G218" s="11" t="n">
        <v>0</v>
      </c>
      <c r="H218" s="11" t="n">
        <v>0</v>
      </c>
      <c r="I218" s="11" t="n">
        <v>0</v>
      </c>
      <c r="J218" s="11" t="n">
        <v>124.471</v>
      </c>
      <c r="K218" s="11" t="n">
        <v>0</v>
      </c>
      <c r="L218" s="11" t="n">
        <v>126.444</v>
      </c>
      <c r="M218" s="11" t="n">
        <f aca="false">SUM(G218:L218)</f>
        <v>250.915</v>
      </c>
      <c r="N218" s="11" t="n">
        <v>0</v>
      </c>
      <c r="O218" s="11" t="n">
        <v>0</v>
      </c>
      <c r="P218" s="11" t="n">
        <v>0</v>
      </c>
      <c r="Q218" s="11" t="n">
        <v>37.338</v>
      </c>
      <c r="R218" s="11" t="n">
        <v>0</v>
      </c>
      <c r="S218" s="11" t="n">
        <v>38.209</v>
      </c>
      <c r="T218" s="11" t="n">
        <f aca="false">SUM(N218:S218)</f>
        <v>75.547</v>
      </c>
      <c r="U218" s="11" t="n">
        <v>0</v>
      </c>
      <c r="V218" s="11" t="n">
        <v>8.214</v>
      </c>
      <c r="W218" s="11" t="n">
        <v>0</v>
      </c>
      <c r="X218" s="11" t="n">
        <v>4.493</v>
      </c>
      <c r="Y218" s="11" t="n">
        <v>20.6</v>
      </c>
      <c r="Z218" s="11" t="n">
        <v>4.781</v>
      </c>
      <c r="AA218" s="11" t="n">
        <f aca="false">SUM(U218:Z218)</f>
        <v>38.088</v>
      </c>
      <c r="AB218" s="11" t="n">
        <v>0</v>
      </c>
      <c r="AC218" s="11" t="n">
        <v>2.466</v>
      </c>
      <c r="AD218" s="11" t="n">
        <v>0</v>
      </c>
      <c r="AE218" s="11" t="n">
        <v>1.294</v>
      </c>
      <c r="AF218" s="11" t="n">
        <v>6.189</v>
      </c>
      <c r="AG218" s="11" t="n">
        <v>1.576</v>
      </c>
      <c r="AH218" s="11" t="n">
        <f aca="false">SUM(AB218:AG218)</f>
        <v>11.525</v>
      </c>
    </row>
    <row r="219" customFormat="false" ht="15" hidden="false" customHeight="false" outlineLevel="2" collapsed="false">
      <c r="A219" s="8" t="s">
        <v>504</v>
      </c>
      <c r="B219" s="12" t="s">
        <v>505</v>
      </c>
      <c r="C219" s="8" t="s">
        <v>410</v>
      </c>
      <c r="D219" s="12" t="s">
        <v>411</v>
      </c>
      <c r="E219" s="16"/>
      <c r="F219" s="9" t="str">
        <f aca="false">IF($E219="","",IFERROR(INDEX(担当者マスタ!$B$2:$B$101,MATCH($E219,担当者マスタ!$A$2:$A$101,0)),"※マスタ未登録"))</f>
        <v/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f aca="false">SUM(G219:L219)</f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f aca="false">SUM(N219:S219)</f>
        <v>0</v>
      </c>
      <c r="U219" s="11" t="n">
        <v>3.37</v>
      </c>
      <c r="V219" s="11" t="n">
        <v>1.83</v>
      </c>
      <c r="W219" s="11" t="n">
        <v>3.42</v>
      </c>
      <c r="X219" s="11" t="n">
        <v>3.37</v>
      </c>
      <c r="Y219" s="11" t="n">
        <v>10.75</v>
      </c>
      <c r="Z219" s="11" t="n">
        <v>3.66</v>
      </c>
      <c r="AA219" s="11" t="n">
        <f aca="false">SUM(U219:Z219)</f>
        <v>26.4</v>
      </c>
      <c r="AB219" s="11" t="n">
        <v>1.007</v>
      </c>
      <c r="AC219" s="11" t="n">
        <v>0.545</v>
      </c>
      <c r="AD219" s="11" t="n">
        <v>1.016</v>
      </c>
      <c r="AE219" s="11" t="n">
        <v>1.007</v>
      </c>
      <c r="AF219" s="11" t="n">
        <v>3.018</v>
      </c>
      <c r="AG219" s="11" t="n">
        <v>1.09</v>
      </c>
      <c r="AH219" s="11" t="n">
        <f aca="false">SUM(AB219:AG219)</f>
        <v>7.683</v>
      </c>
    </row>
    <row r="220" customFormat="false" ht="15" hidden="false" customHeight="false" outlineLevel="2" collapsed="false">
      <c r="A220" s="8" t="s">
        <v>506</v>
      </c>
      <c r="B220" s="12" t="s">
        <v>507</v>
      </c>
      <c r="C220" s="8" t="s">
        <v>410</v>
      </c>
      <c r="D220" s="12" t="s">
        <v>411</v>
      </c>
      <c r="E220" s="16"/>
      <c r="F220" s="9" t="str">
        <f aca="false">IF($E220="","",IFERROR(INDEX(担当者マスタ!$B$2:$B$101,MATCH($E220,担当者マスタ!$A$2:$A$101,0)),"※マスタ未登録"))</f>
        <v/>
      </c>
      <c r="G220" s="11" t="n">
        <v>43.516</v>
      </c>
      <c r="H220" s="11" t="n">
        <v>75.199</v>
      </c>
      <c r="I220" s="11" t="n">
        <v>140.454</v>
      </c>
      <c r="J220" s="11" t="n">
        <v>98.919</v>
      </c>
      <c r="K220" s="11" t="n">
        <v>82.03</v>
      </c>
      <c r="L220" s="11" t="n">
        <v>65.41</v>
      </c>
      <c r="M220" s="11" t="n">
        <f aca="false">SUM(G220:L220)</f>
        <v>505.528</v>
      </c>
      <c r="N220" s="11" t="n">
        <v>17.409</v>
      </c>
      <c r="O220" s="11" t="n">
        <v>23.563</v>
      </c>
      <c r="P220" s="11" t="n">
        <v>53.586</v>
      </c>
      <c r="Q220" s="11" t="n">
        <v>34.053</v>
      </c>
      <c r="R220" s="11" t="n">
        <v>25.605</v>
      </c>
      <c r="S220" s="11" t="n">
        <v>25.116</v>
      </c>
      <c r="T220" s="11" t="n">
        <f aca="false">SUM(N220:S220)</f>
        <v>179.332</v>
      </c>
      <c r="U220" s="11" t="n">
        <v>25.366</v>
      </c>
      <c r="V220" s="11" t="n">
        <v>116.719</v>
      </c>
      <c r="W220" s="11" t="n">
        <v>221.124</v>
      </c>
      <c r="X220" s="11" t="n">
        <v>64.695</v>
      </c>
      <c r="Y220" s="11" t="n">
        <v>77.11</v>
      </c>
      <c r="Z220" s="11" t="n">
        <v>47.564</v>
      </c>
      <c r="AA220" s="11" t="n">
        <f aca="false">SUM(U220:Z220)</f>
        <v>552.578</v>
      </c>
      <c r="AB220" s="11" t="n">
        <v>9.017</v>
      </c>
      <c r="AC220" s="11" t="n">
        <v>37.518</v>
      </c>
      <c r="AD220" s="11" t="n">
        <v>78.747</v>
      </c>
      <c r="AE220" s="11" t="n">
        <v>22.921</v>
      </c>
      <c r="AF220" s="11" t="n">
        <v>21.969</v>
      </c>
      <c r="AG220" s="11" t="n">
        <v>14.467</v>
      </c>
      <c r="AH220" s="11" t="n">
        <f aca="false">SUM(AB220:AG220)</f>
        <v>184.639</v>
      </c>
    </row>
    <row r="221" customFormat="false" ht="15" hidden="false" customHeight="false" outlineLevel="2" collapsed="false">
      <c r="A221" s="8" t="s">
        <v>508</v>
      </c>
      <c r="B221" s="12" t="s">
        <v>509</v>
      </c>
      <c r="C221" s="8" t="s">
        <v>410</v>
      </c>
      <c r="D221" s="12" t="s">
        <v>411</v>
      </c>
      <c r="E221" s="16"/>
      <c r="F221" s="9" t="str">
        <f aca="false">IF($E221="","",IFERROR(INDEX(担当者マスタ!$B$2:$B$101,MATCH($E221,担当者マスタ!$A$2:$A$101,0)),"※マスタ未登録"))</f>
        <v/>
      </c>
      <c r="G221" s="11" t="n">
        <v>53.703</v>
      </c>
      <c r="H221" s="11" t="n">
        <v>66.1</v>
      </c>
      <c r="I221" s="11" t="n">
        <v>74.498</v>
      </c>
      <c r="J221" s="11" t="n">
        <v>46.268</v>
      </c>
      <c r="K221" s="11" t="n">
        <v>20.177</v>
      </c>
      <c r="L221" s="11" t="n">
        <v>67.365</v>
      </c>
      <c r="M221" s="11" t="n">
        <f aca="false">SUM(G221:L221)</f>
        <v>328.111</v>
      </c>
      <c r="N221" s="11" t="n">
        <v>13.166</v>
      </c>
      <c r="O221" s="11" t="n">
        <v>15.13</v>
      </c>
      <c r="P221" s="11" t="n">
        <v>20.588</v>
      </c>
      <c r="Q221" s="11" t="n">
        <v>11.978</v>
      </c>
      <c r="R221" s="11" t="n">
        <v>4.862</v>
      </c>
      <c r="S221" s="11" t="n">
        <v>21.45</v>
      </c>
      <c r="T221" s="11" t="n">
        <f aca="false">SUM(N221:S221)</f>
        <v>87.174</v>
      </c>
      <c r="U221" s="11" t="n">
        <v>45.218</v>
      </c>
      <c r="V221" s="11" t="n">
        <v>89.954</v>
      </c>
      <c r="W221" s="11" t="n">
        <v>20.208</v>
      </c>
      <c r="X221" s="11" t="n">
        <v>113.548</v>
      </c>
      <c r="Y221" s="11" t="n">
        <v>32.652</v>
      </c>
      <c r="Z221" s="11" t="n">
        <v>25.16</v>
      </c>
      <c r="AA221" s="11" t="n">
        <f aca="false">SUM(U221:Z221)</f>
        <v>326.74</v>
      </c>
      <c r="AB221" s="11" t="n">
        <v>13.688</v>
      </c>
      <c r="AC221" s="11" t="n">
        <v>25.324</v>
      </c>
      <c r="AD221" s="11" t="n">
        <v>6.098</v>
      </c>
      <c r="AE221" s="11" t="n">
        <v>35.568</v>
      </c>
      <c r="AF221" s="11" t="n">
        <v>10.392</v>
      </c>
      <c r="AG221" s="11" t="n">
        <v>9.56</v>
      </c>
      <c r="AH221" s="11" t="n">
        <f aca="false">SUM(AB221:AG221)</f>
        <v>100.63</v>
      </c>
    </row>
    <row r="222" customFormat="false" ht="15" hidden="false" customHeight="false" outlineLevel="2" collapsed="false">
      <c r="A222" s="8" t="s">
        <v>510</v>
      </c>
      <c r="B222" s="12" t="s">
        <v>511</v>
      </c>
      <c r="C222" s="8" t="s">
        <v>410</v>
      </c>
      <c r="D222" s="12" t="s">
        <v>411</v>
      </c>
      <c r="E222" s="16"/>
      <c r="F222" s="9" t="str">
        <f aca="false">IF($E222="","",IFERROR(INDEX(担当者マスタ!$B$2:$B$101,MATCH($E222,担当者マスタ!$A$2:$A$101,0)),"※マスタ未登録"))</f>
        <v/>
      </c>
      <c r="G222" s="11" t="n">
        <v>22.648</v>
      </c>
      <c r="H222" s="11" t="n">
        <v>0</v>
      </c>
      <c r="I222" s="11" t="n">
        <v>0</v>
      </c>
      <c r="J222" s="11" t="n">
        <v>0</v>
      </c>
      <c r="K222" s="11" t="n">
        <v>52.146</v>
      </c>
      <c r="L222" s="11" t="n">
        <v>0</v>
      </c>
      <c r="M222" s="11" t="n">
        <f aca="false">SUM(G222:L222)</f>
        <v>74.794</v>
      </c>
      <c r="N222" s="11" t="n">
        <v>5.056</v>
      </c>
      <c r="O222" s="11" t="n">
        <v>0</v>
      </c>
      <c r="P222" s="11" t="n">
        <v>0</v>
      </c>
      <c r="Q222" s="11" t="n">
        <v>0</v>
      </c>
      <c r="R222" s="11" t="n">
        <v>12.241</v>
      </c>
      <c r="S222" s="11" t="n">
        <v>0</v>
      </c>
      <c r="T222" s="11" t="n">
        <f aca="false">SUM(N222:S222)</f>
        <v>17.297</v>
      </c>
      <c r="U222" s="11" t="n">
        <v>0</v>
      </c>
      <c r="V222" s="11" t="n">
        <v>10.39</v>
      </c>
      <c r="W222" s="11" t="n">
        <v>0</v>
      </c>
      <c r="X222" s="11" t="n">
        <v>0</v>
      </c>
      <c r="Y222" s="11" t="n">
        <v>22.648</v>
      </c>
      <c r="Z222" s="11" t="n">
        <v>8.28</v>
      </c>
      <c r="AA222" s="11" t="n">
        <f aca="false">SUM(U222:Z222)</f>
        <v>41.318</v>
      </c>
      <c r="AB222" s="11" t="n">
        <v>0</v>
      </c>
      <c r="AC222" s="11" t="n">
        <v>3.445</v>
      </c>
      <c r="AD222" s="11" t="n">
        <v>0</v>
      </c>
      <c r="AE222" s="11" t="n">
        <v>0</v>
      </c>
      <c r="AF222" s="11" t="n">
        <v>5.056</v>
      </c>
      <c r="AG222" s="11" t="n">
        <v>2.07</v>
      </c>
      <c r="AH222" s="11" t="n">
        <f aca="false">SUM(AB222:AG222)</f>
        <v>10.571</v>
      </c>
    </row>
    <row r="223" customFormat="false" ht="15" hidden="false" customHeight="false" outlineLevel="2" collapsed="false">
      <c r="A223" s="8" t="s">
        <v>512</v>
      </c>
      <c r="B223" s="12" t="s">
        <v>513</v>
      </c>
      <c r="C223" s="8" t="s">
        <v>410</v>
      </c>
      <c r="D223" s="12" t="s">
        <v>411</v>
      </c>
      <c r="E223" s="16"/>
      <c r="F223" s="9" t="str">
        <f aca="false">IF($E223="","",IFERROR(INDEX(担当者マスタ!$B$2:$B$101,MATCH($E223,担当者マスタ!$A$2:$A$101,0)),"※マスタ未登録"))</f>
        <v/>
      </c>
      <c r="G223" s="11" t="n">
        <v>30.919</v>
      </c>
      <c r="H223" s="11" t="n">
        <v>34.099</v>
      </c>
      <c r="I223" s="11" t="n">
        <v>90.431</v>
      </c>
      <c r="J223" s="11" t="n">
        <v>9.192</v>
      </c>
      <c r="K223" s="11" t="n">
        <v>13.414</v>
      </c>
      <c r="L223" s="11" t="n">
        <v>1.857</v>
      </c>
      <c r="M223" s="11" t="n">
        <f aca="false">SUM(G223:L223)</f>
        <v>179.912</v>
      </c>
      <c r="N223" s="11" t="n">
        <v>7.718</v>
      </c>
      <c r="O223" s="11" t="n">
        <v>8.794</v>
      </c>
      <c r="P223" s="11" t="n">
        <v>18.719</v>
      </c>
      <c r="Q223" s="11" t="n">
        <v>2.297</v>
      </c>
      <c r="R223" s="11" t="n">
        <v>3.377</v>
      </c>
      <c r="S223" s="11" t="n">
        <v>0.417</v>
      </c>
      <c r="T223" s="11" t="n">
        <f aca="false">SUM(N223:S223)</f>
        <v>41.322</v>
      </c>
      <c r="U223" s="11" t="n">
        <v>24.183</v>
      </c>
      <c r="V223" s="11" t="n">
        <v>16.116</v>
      </c>
      <c r="W223" s="11" t="n">
        <v>150.251</v>
      </c>
      <c r="X223" s="11" t="n">
        <v>2.322</v>
      </c>
      <c r="Y223" s="11" t="n">
        <v>12.89</v>
      </c>
      <c r="Z223" s="11" t="n">
        <v>4.55</v>
      </c>
      <c r="AA223" s="11" t="n">
        <f aca="false">SUM(U223:Z223)</f>
        <v>210.312</v>
      </c>
      <c r="AB223" s="11" t="n">
        <v>5.298</v>
      </c>
      <c r="AC223" s="11" t="n">
        <v>3.476</v>
      </c>
      <c r="AD223" s="11" t="n">
        <v>31.745</v>
      </c>
      <c r="AE223" s="11" t="n">
        <v>0.582</v>
      </c>
      <c r="AF223" s="11" t="n">
        <v>2.959</v>
      </c>
      <c r="AG223" s="11" t="n">
        <v>0.874</v>
      </c>
      <c r="AH223" s="11" t="n">
        <f aca="false">SUM(AB223:AG223)</f>
        <v>44.934</v>
      </c>
    </row>
    <row r="224" customFormat="false" ht="15" hidden="false" customHeight="false" outlineLevel="2" collapsed="false">
      <c r="A224" s="8" t="s">
        <v>514</v>
      </c>
      <c r="B224" s="12" t="s">
        <v>515</v>
      </c>
      <c r="C224" s="8" t="s">
        <v>410</v>
      </c>
      <c r="D224" s="12" t="s">
        <v>411</v>
      </c>
      <c r="E224" s="16"/>
      <c r="F224" s="9" t="str">
        <f aca="false">IF($E224="","",IFERROR(INDEX(担当者マスタ!$B$2:$B$101,MATCH($E224,担当者マスタ!$A$2:$A$101,0)),"※マスタ未登録"))</f>
        <v/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f aca="false">SUM(G224:L224)</f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f aca="false">SUM(N224:S224)</f>
        <v>0</v>
      </c>
      <c r="U224" s="11" t="n">
        <v>0</v>
      </c>
      <c r="V224" s="11" t="n">
        <v>0</v>
      </c>
      <c r="W224" s="11" t="n">
        <v>4.65</v>
      </c>
      <c r="X224" s="11" t="n">
        <v>0</v>
      </c>
      <c r="Y224" s="11" t="n">
        <v>4.65</v>
      </c>
      <c r="Z224" s="11" t="n">
        <v>0</v>
      </c>
      <c r="AA224" s="11" t="n">
        <f aca="false">SUM(U224:Z224)</f>
        <v>9.3</v>
      </c>
      <c r="AB224" s="11" t="n">
        <v>0</v>
      </c>
      <c r="AC224" s="11" t="n">
        <v>0</v>
      </c>
      <c r="AD224" s="11" t="n">
        <v>0.72</v>
      </c>
      <c r="AE224" s="11" t="n">
        <v>0</v>
      </c>
      <c r="AF224" s="11" t="n">
        <v>0.72</v>
      </c>
      <c r="AG224" s="11" t="n">
        <v>0</v>
      </c>
      <c r="AH224" s="11" t="n">
        <f aca="false">SUM(AB224:AG224)</f>
        <v>1.44</v>
      </c>
    </row>
    <row r="225" customFormat="false" ht="15" hidden="false" customHeight="false" outlineLevel="2" collapsed="false">
      <c r="A225" s="8" t="s">
        <v>516</v>
      </c>
      <c r="B225" s="12" t="s">
        <v>517</v>
      </c>
      <c r="C225" s="8" t="s">
        <v>410</v>
      </c>
      <c r="D225" s="12" t="s">
        <v>411</v>
      </c>
      <c r="E225" s="16"/>
      <c r="F225" s="9" t="str">
        <f aca="false">IF($E225="","",IFERROR(INDEX(担当者マスタ!$B$2:$B$101,MATCH($E225,担当者マスタ!$A$2:$A$101,0)),"※マスタ未登録"))</f>
        <v/>
      </c>
      <c r="G225" s="11" t="n">
        <v>377.761</v>
      </c>
      <c r="H225" s="11" t="n">
        <v>279.066</v>
      </c>
      <c r="I225" s="11" t="n">
        <v>433.027</v>
      </c>
      <c r="J225" s="11" t="n">
        <v>285.277</v>
      </c>
      <c r="K225" s="11" t="n">
        <v>230.753</v>
      </c>
      <c r="L225" s="11" t="n">
        <v>395.09</v>
      </c>
      <c r="M225" s="11" t="n">
        <f aca="false">SUM(G225:L225)</f>
        <v>2000.974</v>
      </c>
      <c r="N225" s="11" t="n">
        <v>104.801</v>
      </c>
      <c r="O225" s="11" t="n">
        <v>78.158</v>
      </c>
      <c r="P225" s="11" t="n">
        <v>128.825</v>
      </c>
      <c r="Q225" s="11" t="n">
        <v>79.767</v>
      </c>
      <c r="R225" s="11" t="n">
        <v>64.646</v>
      </c>
      <c r="S225" s="11" t="n">
        <v>112.147</v>
      </c>
      <c r="T225" s="11" t="n">
        <f aca="false">SUM(N225:S225)</f>
        <v>568.344</v>
      </c>
      <c r="U225" s="11" t="n">
        <v>125.876</v>
      </c>
      <c r="V225" s="11" t="n">
        <v>144.277</v>
      </c>
      <c r="W225" s="11" t="n">
        <v>131.544</v>
      </c>
      <c r="X225" s="11" t="n">
        <v>126.693</v>
      </c>
      <c r="Y225" s="11" t="n">
        <v>100.303</v>
      </c>
      <c r="Z225" s="11" t="n">
        <v>113.373</v>
      </c>
      <c r="AA225" s="11" t="n">
        <f aca="false">SUM(U225:Z225)</f>
        <v>742.066</v>
      </c>
      <c r="AB225" s="11" t="n">
        <v>29.038</v>
      </c>
      <c r="AC225" s="11" t="n">
        <v>37.162</v>
      </c>
      <c r="AD225" s="11" t="n">
        <v>31.99</v>
      </c>
      <c r="AE225" s="11" t="n">
        <v>36.8</v>
      </c>
      <c r="AF225" s="11" t="n">
        <v>22.424</v>
      </c>
      <c r="AG225" s="11" t="n">
        <v>29.566</v>
      </c>
      <c r="AH225" s="11" t="n">
        <f aca="false">SUM(AB225:AG225)</f>
        <v>186.98</v>
      </c>
    </row>
    <row r="226" customFormat="false" ht="15" hidden="false" customHeight="false" outlineLevel="2" collapsed="false">
      <c r="A226" s="8" t="s">
        <v>518</v>
      </c>
      <c r="B226" s="12" t="s">
        <v>519</v>
      </c>
      <c r="C226" s="8" t="s">
        <v>410</v>
      </c>
      <c r="D226" s="12" t="s">
        <v>411</v>
      </c>
      <c r="E226" s="16"/>
      <c r="F226" s="9" t="str">
        <f aca="false">IF($E226="","",IFERROR(INDEX(担当者マスタ!$B$2:$B$101,MATCH($E226,担当者マスタ!$A$2:$A$101,0)),"※マスタ未登録"))</f>
        <v/>
      </c>
      <c r="G226" s="11" t="n">
        <v>47.108</v>
      </c>
      <c r="H226" s="11" t="n">
        <v>44.561</v>
      </c>
      <c r="I226" s="11" t="n">
        <v>88.362</v>
      </c>
      <c r="J226" s="11" t="n">
        <v>6.091</v>
      </c>
      <c r="K226" s="11" t="n">
        <v>22.222</v>
      </c>
      <c r="L226" s="11" t="n">
        <v>42.353</v>
      </c>
      <c r="M226" s="11" t="n">
        <f aca="false">SUM(G226:L226)</f>
        <v>250.697</v>
      </c>
      <c r="N226" s="11" t="n">
        <v>10.067</v>
      </c>
      <c r="O226" s="11" t="n">
        <v>9.925</v>
      </c>
      <c r="P226" s="11" t="n">
        <v>19.166</v>
      </c>
      <c r="Q226" s="11" t="n">
        <v>1.305</v>
      </c>
      <c r="R226" s="11" t="n">
        <v>4.813</v>
      </c>
      <c r="S226" s="11" t="n">
        <v>9.312</v>
      </c>
      <c r="T226" s="11" t="n">
        <f aca="false">SUM(N226:S226)</f>
        <v>54.588</v>
      </c>
      <c r="U226" s="11" t="n">
        <v>35.221</v>
      </c>
      <c r="V226" s="11" t="n">
        <v>35.732</v>
      </c>
      <c r="W226" s="11" t="n">
        <v>34.28</v>
      </c>
      <c r="X226" s="11" t="n">
        <v>26.334</v>
      </c>
      <c r="Y226" s="11" t="n">
        <v>40.541</v>
      </c>
      <c r="Z226" s="11" t="n">
        <v>35.344</v>
      </c>
      <c r="AA226" s="11" t="n">
        <f aca="false">SUM(U226:Z226)</f>
        <v>207.452</v>
      </c>
      <c r="AB226" s="11" t="n">
        <v>7.824</v>
      </c>
      <c r="AC226" s="11" t="n">
        <v>7.906</v>
      </c>
      <c r="AD226" s="11" t="n">
        <v>7.244</v>
      </c>
      <c r="AE226" s="11" t="n">
        <v>5.6</v>
      </c>
      <c r="AF226" s="11" t="n">
        <v>9.085</v>
      </c>
      <c r="AG226" s="11" t="n">
        <v>7.744</v>
      </c>
      <c r="AH226" s="11" t="n">
        <f aca="false">SUM(AB226:AG226)</f>
        <v>45.403</v>
      </c>
    </row>
    <row r="227" customFormat="false" ht="15" hidden="false" customHeight="false" outlineLevel="2" collapsed="false">
      <c r="A227" s="8" t="s">
        <v>520</v>
      </c>
      <c r="B227" s="12" t="s">
        <v>521</v>
      </c>
      <c r="C227" s="8" t="s">
        <v>410</v>
      </c>
      <c r="D227" s="12" t="s">
        <v>411</v>
      </c>
      <c r="E227" s="16"/>
      <c r="F227" s="9" t="str">
        <f aca="false">IF($E227="","",IFERROR(INDEX(担当者マスタ!$B$2:$B$101,MATCH($E227,担当者マスタ!$A$2:$A$101,0)),"※マスタ未登録"))</f>
        <v/>
      </c>
      <c r="G227" s="11" t="n">
        <v>26.617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f aca="false">SUM(G227:L227)</f>
        <v>26.617</v>
      </c>
      <c r="N227" s="11" t="n">
        <v>5.468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f aca="false">SUM(N227:S227)</f>
        <v>5.468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f aca="false">SUM(U227:Z227)</f>
        <v>0</v>
      </c>
      <c r="AB227" s="11" t="n">
        <v>0</v>
      </c>
      <c r="AC227" s="11" t="n">
        <v>0</v>
      </c>
      <c r="AD227" s="11" t="n">
        <v>0</v>
      </c>
      <c r="AE227" s="11" t="n">
        <v>0</v>
      </c>
      <c r="AF227" s="11" t="n">
        <v>0</v>
      </c>
      <c r="AG227" s="11" t="n">
        <v>0</v>
      </c>
      <c r="AH227" s="11" t="n">
        <f aca="false">SUM(AB227:AG227)</f>
        <v>0</v>
      </c>
    </row>
    <row r="228" customFormat="false" ht="15" hidden="false" customHeight="false" outlineLevel="2" collapsed="false">
      <c r="A228" s="8" t="s">
        <v>522</v>
      </c>
      <c r="B228" s="12" t="s">
        <v>523</v>
      </c>
      <c r="C228" s="8" t="s">
        <v>410</v>
      </c>
      <c r="D228" s="12" t="s">
        <v>411</v>
      </c>
      <c r="E228" s="16"/>
      <c r="F228" s="9" t="str">
        <f aca="false">IF($E228="","",IFERROR(INDEX(担当者マスタ!$B$2:$B$101,MATCH($E228,担当者マスタ!$A$2:$A$101,0)),"※マスタ未登録"))</f>
        <v/>
      </c>
      <c r="G228" s="11" t="n">
        <v>33.835</v>
      </c>
      <c r="H228" s="11" t="n">
        <v>34.627</v>
      </c>
      <c r="I228" s="11" t="n">
        <v>79.634</v>
      </c>
      <c r="J228" s="11" t="n">
        <v>41.634</v>
      </c>
      <c r="K228" s="11" t="n">
        <v>45.154</v>
      </c>
      <c r="L228" s="11" t="n">
        <v>37.557</v>
      </c>
      <c r="M228" s="11" t="n">
        <f aca="false">SUM(G228:L228)</f>
        <v>272.441</v>
      </c>
      <c r="N228" s="11" t="n">
        <v>6.955</v>
      </c>
      <c r="O228" s="11" t="n">
        <v>7.483</v>
      </c>
      <c r="P228" s="11" t="n">
        <v>19.157</v>
      </c>
      <c r="Q228" s="11" t="n">
        <v>8.957</v>
      </c>
      <c r="R228" s="11" t="n">
        <v>10.047</v>
      </c>
      <c r="S228" s="11" t="n">
        <v>8.296</v>
      </c>
      <c r="T228" s="11" t="n">
        <f aca="false">SUM(N228:S228)</f>
        <v>60.895</v>
      </c>
      <c r="U228" s="11" t="n">
        <v>29.882</v>
      </c>
      <c r="V228" s="11" t="n">
        <v>32.664</v>
      </c>
      <c r="W228" s="11" t="n">
        <v>36.201</v>
      </c>
      <c r="X228" s="11" t="n">
        <v>45.788</v>
      </c>
      <c r="Y228" s="11" t="n">
        <v>38.709</v>
      </c>
      <c r="Z228" s="11" t="n">
        <v>113.252</v>
      </c>
      <c r="AA228" s="11" t="n">
        <f aca="false">SUM(U228:Z228)</f>
        <v>296.496</v>
      </c>
      <c r="AB228" s="11" t="n">
        <v>6.507</v>
      </c>
      <c r="AC228" s="11" t="n">
        <v>6.879</v>
      </c>
      <c r="AD228" s="11" t="n">
        <v>9.644</v>
      </c>
      <c r="AE228" s="11" t="n">
        <v>10.027</v>
      </c>
      <c r="AF228" s="11" t="n">
        <v>9.037</v>
      </c>
      <c r="AG228" s="11" t="n">
        <v>23.32</v>
      </c>
      <c r="AH228" s="11" t="n">
        <f aca="false">SUM(AB228:AG228)</f>
        <v>65.414</v>
      </c>
    </row>
    <row r="229" customFormat="false" ht="15" hidden="false" customHeight="false" outlineLevel="2" collapsed="false">
      <c r="A229" s="8" t="s">
        <v>524</v>
      </c>
      <c r="B229" s="12" t="s">
        <v>525</v>
      </c>
      <c r="C229" s="8" t="s">
        <v>410</v>
      </c>
      <c r="D229" s="12" t="s">
        <v>411</v>
      </c>
      <c r="E229" s="16"/>
      <c r="F229" s="9" t="str">
        <f aca="false">IF($E229="","",IFERROR(INDEX(担当者マスタ!$B$2:$B$101,MATCH($E229,担当者マスタ!$A$2:$A$101,0)),"※マスタ未登録"))</f>
        <v/>
      </c>
      <c r="G229" s="11" t="n">
        <v>194.83</v>
      </c>
      <c r="H229" s="11" t="n">
        <v>125.934</v>
      </c>
      <c r="I229" s="11" t="n">
        <v>136.892</v>
      </c>
      <c r="J229" s="11" t="n">
        <v>136.844</v>
      </c>
      <c r="K229" s="11" t="n">
        <v>172.54</v>
      </c>
      <c r="L229" s="11" t="n">
        <v>96.702</v>
      </c>
      <c r="M229" s="11" t="n">
        <f aca="false">SUM(G229:L229)</f>
        <v>863.742</v>
      </c>
      <c r="N229" s="11" t="n">
        <v>67.624</v>
      </c>
      <c r="O229" s="11" t="n">
        <v>40.846</v>
      </c>
      <c r="P229" s="11" t="n">
        <v>49.304</v>
      </c>
      <c r="Q229" s="11" t="n">
        <v>46.432</v>
      </c>
      <c r="R229" s="11" t="n">
        <v>56.976</v>
      </c>
      <c r="S229" s="11" t="n">
        <v>34.454</v>
      </c>
      <c r="T229" s="11" t="n">
        <f aca="false">SUM(N229:S229)</f>
        <v>295.636</v>
      </c>
      <c r="U229" s="11" t="n">
        <v>166.588</v>
      </c>
      <c r="V229" s="11" t="n">
        <v>67.406</v>
      </c>
      <c r="W229" s="11" t="n">
        <v>132.282</v>
      </c>
      <c r="X229" s="11" t="n">
        <v>161.569</v>
      </c>
      <c r="Y229" s="11" t="n">
        <v>123.802</v>
      </c>
      <c r="Z229" s="11" t="n">
        <v>171.382</v>
      </c>
      <c r="AA229" s="11" t="n">
        <f aca="false">SUM(U229:Z229)</f>
        <v>823.029</v>
      </c>
      <c r="AB229" s="11" t="n">
        <v>57.68</v>
      </c>
      <c r="AC229" s="11" t="n">
        <v>25.266</v>
      </c>
      <c r="AD229" s="11" t="n">
        <v>47.414</v>
      </c>
      <c r="AE229" s="11" t="n">
        <v>61.784</v>
      </c>
      <c r="AF229" s="11" t="n">
        <v>47.286</v>
      </c>
      <c r="AG229" s="11" t="n">
        <v>64.582</v>
      </c>
      <c r="AH229" s="11" t="n">
        <f aca="false">SUM(AB229:AG229)</f>
        <v>304.012</v>
      </c>
    </row>
    <row r="230" customFormat="false" ht="15" hidden="false" customHeight="false" outlineLevel="2" collapsed="false">
      <c r="A230" s="8" t="s">
        <v>526</v>
      </c>
      <c r="B230" s="9" t="s">
        <v>527</v>
      </c>
      <c r="C230" s="8" t="s">
        <v>410</v>
      </c>
      <c r="D230" s="12" t="s">
        <v>411</v>
      </c>
      <c r="E230" s="16"/>
      <c r="F230" s="9" t="str">
        <f aca="false">IF($E230="","",IFERROR(INDEX(担当者マスタ!$B$2:$B$101,MATCH($E230,担当者マスタ!$A$2:$A$101,0)),"※マスタ未登録"))</f>
        <v/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282</v>
      </c>
      <c r="L230" s="11" t="n">
        <v>0</v>
      </c>
      <c r="M230" s="11" t="n">
        <f aca="false">SUM(G230:L230)</f>
        <v>282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63</v>
      </c>
      <c r="S230" s="11" t="n">
        <v>0</v>
      </c>
      <c r="T230" s="11" t="n">
        <f aca="false">SUM(N230:S230)</f>
        <v>63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f aca="false">SUM(U230:Z230)</f>
        <v>0</v>
      </c>
      <c r="AB230" s="11" t="n">
        <v>0</v>
      </c>
      <c r="AC230" s="11" t="n">
        <v>0</v>
      </c>
      <c r="AD230" s="11" t="n">
        <v>0</v>
      </c>
      <c r="AE230" s="11" t="n">
        <v>0</v>
      </c>
      <c r="AF230" s="11" t="n">
        <v>0</v>
      </c>
      <c r="AG230" s="11" t="n">
        <v>0</v>
      </c>
      <c r="AH230" s="11" t="n">
        <f aca="false">SUM(AB230:AG230)</f>
        <v>0</v>
      </c>
    </row>
    <row r="231" customFormat="false" ht="15" hidden="false" customHeight="false" outlineLevel="2" collapsed="false">
      <c r="A231" s="8" t="s">
        <v>528</v>
      </c>
      <c r="B231" s="12" t="s">
        <v>529</v>
      </c>
      <c r="C231" s="8" t="s">
        <v>410</v>
      </c>
      <c r="D231" s="12" t="s">
        <v>411</v>
      </c>
      <c r="E231" s="16"/>
      <c r="F231" s="9" t="str">
        <f aca="false">IF($E231="","",IFERROR(INDEX(担当者マスタ!$B$2:$B$101,MATCH($E231,担当者マスタ!$A$2:$A$101,0)),"※マスタ未登録"))</f>
        <v/>
      </c>
      <c r="G231" s="11" t="n">
        <v>0</v>
      </c>
      <c r="H231" s="11" t="n">
        <v>0</v>
      </c>
      <c r="I231" s="11" t="n">
        <v>18.4</v>
      </c>
      <c r="J231" s="11" t="n">
        <v>0</v>
      </c>
      <c r="K231" s="11" t="n">
        <v>0</v>
      </c>
      <c r="L231" s="11" t="n">
        <v>0</v>
      </c>
      <c r="M231" s="11" t="n">
        <f aca="false">SUM(G231:L231)</f>
        <v>18.4</v>
      </c>
      <c r="N231" s="11" t="n">
        <v>0</v>
      </c>
      <c r="O231" s="11" t="n">
        <v>0</v>
      </c>
      <c r="P231" s="11" t="n">
        <v>5.6</v>
      </c>
      <c r="Q231" s="11" t="n">
        <v>0</v>
      </c>
      <c r="R231" s="11" t="n">
        <v>0</v>
      </c>
      <c r="S231" s="11" t="n">
        <v>0</v>
      </c>
      <c r="T231" s="11" t="n">
        <f aca="false">SUM(N231:S231)</f>
        <v>5.6</v>
      </c>
      <c r="U231" s="11" t="n">
        <v>0</v>
      </c>
      <c r="V231" s="11" t="n">
        <v>0</v>
      </c>
      <c r="W231" s="11" t="n">
        <v>12.24</v>
      </c>
      <c r="X231" s="11" t="n">
        <v>0</v>
      </c>
      <c r="Y231" s="11" t="n">
        <v>0</v>
      </c>
      <c r="Z231" s="11" t="n">
        <v>0</v>
      </c>
      <c r="AA231" s="11" t="n">
        <f aca="false">SUM(U231:Z231)</f>
        <v>12.24</v>
      </c>
      <c r="AB231" s="11" t="n">
        <v>0</v>
      </c>
      <c r="AC231" s="11" t="n">
        <v>0</v>
      </c>
      <c r="AD231" s="11" t="n">
        <v>3.13</v>
      </c>
      <c r="AE231" s="11" t="n">
        <v>0</v>
      </c>
      <c r="AF231" s="11" t="n">
        <v>0</v>
      </c>
      <c r="AG231" s="11" t="n">
        <v>0</v>
      </c>
      <c r="AH231" s="11" t="n">
        <f aca="false">SUM(AB231:AG231)</f>
        <v>3.13</v>
      </c>
    </row>
    <row r="232" customFormat="false" ht="15" hidden="false" customHeight="false" outlineLevel="2" collapsed="false">
      <c r="A232" s="8" t="s">
        <v>530</v>
      </c>
      <c r="B232" s="12" t="s">
        <v>531</v>
      </c>
      <c r="C232" s="8" t="s">
        <v>410</v>
      </c>
      <c r="D232" s="12" t="s">
        <v>411</v>
      </c>
      <c r="E232" s="16"/>
      <c r="F232" s="9" t="str">
        <f aca="false">IF($E232="","",IFERROR(INDEX(担当者マスタ!$B$2:$B$101,MATCH($E232,担当者マスタ!$A$2:$A$101,0)),"※マスタ未登録"))</f>
        <v/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f aca="false">SUM(G232:L232)</f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f aca="false">SUM(N232:S232)</f>
        <v>0</v>
      </c>
      <c r="U232" s="11" t="n">
        <v>0</v>
      </c>
      <c r="V232" s="11" t="n">
        <v>0</v>
      </c>
      <c r="W232" s="11" t="n">
        <v>34.5</v>
      </c>
      <c r="X232" s="11" t="n">
        <v>0</v>
      </c>
      <c r="Y232" s="11" t="n">
        <v>0</v>
      </c>
      <c r="Z232" s="11" t="n">
        <v>0</v>
      </c>
      <c r="AA232" s="11" t="n">
        <f aca="false">SUM(U232:Z232)</f>
        <v>34.5</v>
      </c>
      <c r="AB232" s="11" t="n">
        <v>0</v>
      </c>
      <c r="AC232" s="11" t="n">
        <v>0</v>
      </c>
      <c r="AD232" s="11" t="n">
        <v>6.9</v>
      </c>
      <c r="AE232" s="11" t="n">
        <v>0</v>
      </c>
      <c r="AF232" s="11" t="n">
        <v>0</v>
      </c>
      <c r="AG232" s="11" t="n">
        <v>0</v>
      </c>
      <c r="AH232" s="11" t="n">
        <f aca="false">SUM(AB232:AG232)</f>
        <v>6.9</v>
      </c>
    </row>
    <row r="233" customFormat="false" ht="15" hidden="false" customHeight="false" outlineLevel="2" collapsed="false">
      <c r="A233" s="8" t="s">
        <v>532</v>
      </c>
      <c r="B233" s="12" t="s">
        <v>533</v>
      </c>
      <c r="C233" s="8" t="s">
        <v>410</v>
      </c>
      <c r="D233" s="12" t="s">
        <v>411</v>
      </c>
      <c r="E233" s="16"/>
      <c r="F233" s="9" t="str">
        <f aca="false">IF($E233="","",IFERROR(INDEX(担当者マスタ!$B$2:$B$101,MATCH($E233,担当者マスタ!$A$2:$A$101,0)),"※マスタ未登録"))</f>
        <v/>
      </c>
      <c r="G233" s="11" t="n">
        <v>1634.29</v>
      </c>
      <c r="H233" s="11" t="n">
        <v>1473.74</v>
      </c>
      <c r="I233" s="11" t="n">
        <v>1527.486</v>
      </c>
      <c r="J233" s="11" t="n">
        <v>1696.4</v>
      </c>
      <c r="K233" s="11" t="n">
        <v>1422.15</v>
      </c>
      <c r="L233" s="11" t="n">
        <v>1994.15</v>
      </c>
      <c r="M233" s="11" t="n">
        <f aca="false">SUM(G233:L233)</f>
        <v>9748.216</v>
      </c>
      <c r="N233" s="11" t="n">
        <v>281.09</v>
      </c>
      <c r="O233" s="11" t="n">
        <v>237.02</v>
      </c>
      <c r="P233" s="11" t="n">
        <v>256.83</v>
      </c>
      <c r="Q233" s="11" t="n">
        <v>301.58</v>
      </c>
      <c r="R233" s="11" t="n">
        <v>237.52</v>
      </c>
      <c r="S233" s="11" t="n">
        <v>373.75</v>
      </c>
      <c r="T233" s="11" t="n">
        <f aca="false">SUM(N233:S233)</f>
        <v>1687.79</v>
      </c>
      <c r="U233" s="11" t="n">
        <v>2169.8</v>
      </c>
      <c r="V233" s="11" t="n">
        <v>1443.95</v>
      </c>
      <c r="W233" s="11" t="n">
        <v>1929.98</v>
      </c>
      <c r="X233" s="11" t="n">
        <v>1460.94</v>
      </c>
      <c r="Y233" s="11" t="n">
        <v>1558.82</v>
      </c>
      <c r="Z233" s="11" t="n">
        <v>1399.09</v>
      </c>
      <c r="AA233" s="11" t="n">
        <f aca="false">SUM(U233:Z233)</f>
        <v>9962.58</v>
      </c>
      <c r="AB233" s="11" t="n">
        <v>373.24</v>
      </c>
      <c r="AC233" s="11" t="n">
        <v>269.02</v>
      </c>
      <c r="AD233" s="11" t="n">
        <v>349.32</v>
      </c>
      <c r="AE233" s="11" t="n">
        <v>259.14</v>
      </c>
      <c r="AF233" s="11" t="n">
        <v>284.97</v>
      </c>
      <c r="AG233" s="11" t="n">
        <v>265.76</v>
      </c>
      <c r="AH233" s="11" t="n">
        <f aca="false">SUM(AB233:AG233)</f>
        <v>1801.45</v>
      </c>
    </row>
    <row r="234" customFormat="false" ht="15" hidden="false" customHeight="false" outlineLevel="2" collapsed="false">
      <c r="A234" s="8" t="s">
        <v>534</v>
      </c>
      <c r="B234" s="12" t="s">
        <v>535</v>
      </c>
      <c r="C234" s="8" t="s">
        <v>410</v>
      </c>
      <c r="D234" s="12" t="s">
        <v>411</v>
      </c>
      <c r="E234" s="16"/>
      <c r="F234" s="9" t="str">
        <f aca="false">IF($E234="","",IFERROR(INDEX(担当者マスタ!$B$2:$B$101,MATCH($E234,担当者マスタ!$A$2:$A$101,0)),"※マスタ未登録"))</f>
        <v/>
      </c>
      <c r="G234" s="11" t="n">
        <v>471.793</v>
      </c>
      <c r="H234" s="11" t="n">
        <v>329.77</v>
      </c>
      <c r="I234" s="11" t="n">
        <v>524.674</v>
      </c>
      <c r="J234" s="11" t="n">
        <v>420.218</v>
      </c>
      <c r="K234" s="11" t="n">
        <v>411.488</v>
      </c>
      <c r="L234" s="11" t="n">
        <v>582.727</v>
      </c>
      <c r="M234" s="11" t="n">
        <f aca="false">SUM(G234:L234)</f>
        <v>2740.67</v>
      </c>
      <c r="N234" s="11" t="n">
        <v>122.15</v>
      </c>
      <c r="O234" s="11" t="n">
        <v>70.145</v>
      </c>
      <c r="P234" s="11" t="n">
        <v>85.044</v>
      </c>
      <c r="Q234" s="11" t="n">
        <v>110.655</v>
      </c>
      <c r="R234" s="11" t="n">
        <v>62.278</v>
      </c>
      <c r="S234" s="11" t="n">
        <v>132.173</v>
      </c>
      <c r="T234" s="11" t="n">
        <f aca="false">SUM(N234:S234)</f>
        <v>582.445</v>
      </c>
      <c r="U234" s="11" t="n">
        <v>508.54</v>
      </c>
      <c r="V234" s="11" t="n">
        <v>486.644</v>
      </c>
      <c r="W234" s="11" t="n">
        <v>531.698</v>
      </c>
      <c r="X234" s="11" t="n">
        <v>520.003</v>
      </c>
      <c r="Y234" s="11" t="n">
        <v>722.116</v>
      </c>
      <c r="Z234" s="11" t="n">
        <v>742.618</v>
      </c>
      <c r="AA234" s="11" t="n">
        <f aca="false">SUM(U234:Z234)</f>
        <v>3511.619</v>
      </c>
      <c r="AB234" s="11" t="n">
        <v>110.672</v>
      </c>
      <c r="AC234" s="11" t="n">
        <v>99.223</v>
      </c>
      <c r="AD234" s="11" t="n">
        <v>130.428</v>
      </c>
      <c r="AE234" s="11" t="n">
        <v>139.568</v>
      </c>
      <c r="AF234" s="11" t="n">
        <v>160.846</v>
      </c>
      <c r="AG234" s="11" t="n">
        <v>145.507</v>
      </c>
      <c r="AH234" s="11" t="n">
        <f aca="false">SUM(AB234:AG234)</f>
        <v>786.244</v>
      </c>
    </row>
    <row r="235" customFormat="false" ht="15" hidden="false" customHeight="false" outlineLevel="2" collapsed="false">
      <c r="A235" s="8" t="s">
        <v>536</v>
      </c>
      <c r="B235" s="12" t="s">
        <v>537</v>
      </c>
      <c r="C235" s="8" t="s">
        <v>410</v>
      </c>
      <c r="D235" s="12" t="s">
        <v>411</v>
      </c>
      <c r="E235" s="16"/>
      <c r="F235" s="9" t="str">
        <f aca="false">IF($E235="","",IFERROR(INDEX(担当者マスタ!$B$2:$B$101,MATCH($E235,担当者マスタ!$A$2:$A$101,0)),"※マスタ未登録"))</f>
        <v/>
      </c>
      <c r="G235" s="11" t="n">
        <v>87.175</v>
      </c>
      <c r="H235" s="11" t="n">
        <v>79.024</v>
      </c>
      <c r="I235" s="11" t="n">
        <v>179.738</v>
      </c>
      <c r="J235" s="11" t="n">
        <v>119.708</v>
      </c>
      <c r="K235" s="11" t="n">
        <v>141.496</v>
      </c>
      <c r="L235" s="11" t="n">
        <v>144.642</v>
      </c>
      <c r="M235" s="11" t="n">
        <f aca="false">SUM(G235:L235)</f>
        <v>751.783</v>
      </c>
      <c r="N235" s="11" t="n">
        <v>18.218</v>
      </c>
      <c r="O235" s="11" t="n">
        <v>15.032</v>
      </c>
      <c r="P235" s="11" t="n">
        <v>33.131</v>
      </c>
      <c r="Q235" s="11" t="n">
        <v>23.47</v>
      </c>
      <c r="R235" s="11" t="n">
        <v>22.666</v>
      </c>
      <c r="S235" s="11" t="n">
        <v>28.095</v>
      </c>
      <c r="T235" s="11" t="n">
        <f aca="false">SUM(N235:S235)</f>
        <v>140.612</v>
      </c>
      <c r="U235" s="11" t="n">
        <v>344.273</v>
      </c>
      <c r="V235" s="11" t="n">
        <v>217.413</v>
      </c>
      <c r="W235" s="11" t="n">
        <v>181.76</v>
      </c>
      <c r="X235" s="11" t="n">
        <v>191.476</v>
      </c>
      <c r="Y235" s="11" t="n">
        <v>130.718</v>
      </c>
      <c r="Z235" s="11" t="n">
        <v>187.013</v>
      </c>
      <c r="AA235" s="11" t="n">
        <f aca="false">SUM(U235:Z235)</f>
        <v>1252.653</v>
      </c>
      <c r="AB235" s="11" t="n">
        <v>56.022</v>
      </c>
      <c r="AC235" s="11" t="n">
        <v>35.497</v>
      </c>
      <c r="AD235" s="11" t="n">
        <v>32.462</v>
      </c>
      <c r="AE235" s="11" t="n">
        <v>33.353</v>
      </c>
      <c r="AF235" s="11" t="n">
        <v>22.28</v>
      </c>
      <c r="AG235" s="11" t="n">
        <v>34.821</v>
      </c>
      <c r="AH235" s="11" t="n">
        <f aca="false">SUM(AB235:AG235)</f>
        <v>214.435</v>
      </c>
    </row>
    <row r="236" customFormat="false" ht="15" hidden="false" customHeight="false" outlineLevel="2" collapsed="false">
      <c r="A236" s="8" t="s">
        <v>538</v>
      </c>
      <c r="B236" s="12" t="s">
        <v>539</v>
      </c>
      <c r="C236" s="8" t="s">
        <v>410</v>
      </c>
      <c r="D236" s="12" t="s">
        <v>411</v>
      </c>
      <c r="E236" s="16"/>
      <c r="F236" s="9" t="str">
        <f aca="false">IF($E236="","",IFERROR(INDEX(担当者マスタ!$B$2:$B$101,MATCH($E236,担当者マスタ!$A$2:$A$101,0)),"※マスタ未登録"))</f>
        <v/>
      </c>
      <c r="G236" s="11" t="n">
        <v>0</v>
      </c>
      <c r="H236" s="11" t="n">
        <v>0</v>
      </c>
      <c r="I236" s="11" t="n">
        <v>0</v>
      </c>
      <c r="J236" s="11" t="n">
        <v>128.04</v>
      </c>
      <c r="K236" s="11" t="n">
        <v>0</v>
      </c>
      <c r="L236" s="11" t="n">
        <v>0</v>
      </c>
      <c r="M236" s="11" t="n">
        <f aca="false">SUM(G236:L236)</f>
        <v>128.04</v>
      </c>
      <c r="N236" s="11" t="n">
        <v>0</v>
      </c>
      <c r="O236" s="11" t="n">
        <v>0</v>
      </c>
      <c r="P236" s="11" t="n">
        <v>0</v>
      </c>
      <c r="Q236" s="11" t="n">
        <v>47.16</v>
      </c>
      <c r="R236" s="11" t="n">
        <v>0</v>
      </c>
      <c r="S236" s="11" t="n">
        <v>0</v>
      </c>
      <c r="T236" s="11" t="n">
        <f aca="false">SUM(N236:S236)</f>
        <v>47.16</v>
      </c>
      <c r="U236" s="11" t="n">
        <v>0</v>
      </c>
      <c r="V236" s="11" t="n">
        <v>0</v>
      </c>
      <c r="W236" s="11" t="n">
        <v>128.04</v>
      </c>
      <c r="X236" s="11" t="n">
        <v>0</v>
      </c>
      <c r="Y236" s="11" t="n">
        <v>0</v>
      </c>
      <c r="Z236" s="11" t="n">
        <v>0</v>
      </c>
      <c r="AA236" s="11" t="n">
        <f aca="false">SUM(U236:Z236)</f>
        <v>128.04</v>
      </c>
      <c r="AB236" s="11" t="n">
        <v>0</v>
      </c>
      <c r="AC236" s="11" t="n">
        <v>0</v>
      </c>
      <c r="AD236" s="11" t="n">
        <v>47.16</v>
      </c>
      <c r="AE236" s="11" t="n">
        <v>0</v>
      </c>
      <c r="AF236" s="11" t="n">
        <v>0</v>
      </c>
      <c r="AG236" s="11" t="n">
        <v>0</v>
      </c>
      <c r="AH236" s="11" t="n">
        <f aca="false">SUM(AB236:AG236)</f>
        <v>47.16</v>
      </c>
    </row>
    <row r="237" customFormat="false" ht="15" hidden="false" customHeight="false" outlineLevel="2" collapsed="false">
      <c r="A237" s="8" t="s">
        <v>540</v>
      </c>
      <c r="B237" s="12" t="s">
        <v>541</v>
      </c>
      <c r="C237" s="8" t="s">
        <v>410</v>
      </c>
      <c r="D237" s="12" t="s">
        <v>411</v>
      </c>
      <c r="E237" s="16"/>
      <c r="F237" s="9" t="str">
        <f aca="false">IF($E237="","",IFERROR(INDEX(担当者マスタ!$B$2:$B$101,MATCH($E237,担当者マスタ!$A$2:$A$101,0)),"※マスタ未登録"))</f>
        <v/>
      </c>
      <c r="G237" s="11" t="n">
        <v>0</v>
      </c>
      <c r="H237" s="11" t="n">
        <v>0</v>
      </c>
      <c r="I237" s="11" t="n">
        <v>22.6</v>
      </c>
      <c r="J237" s="11" t="n">
        <v>0</v>
      </c>
      <c r="K237" s="11" t="n">
        <v>1.72</v>
      </c>
      <c r="L237" s="11" t="n">
        <v>0</v>
      </c>
      <c r="M237" s="11" t="n">
        <f aca="false">SUM(G237:L237)</f>
        <v>24.32</v>
      </c>
      <c r="N237" s="11" t="n">
        <v>0</v>
      </c>
      <c r="O237" s="11" t="n">
        <v>0</v>
      </c>
      <c r="P237" s="11" t="n">
        <v>7.58</v>
      </c>
      <c r="Q237" s="11" t="n">
        <v>0</v>
      </c>
      <c r="R237" s="11" t="n">
        <v>0.503</v>
      </c>
      <c r="S237" s="11" t="n">
        <v>0</v>
      </c>
      <c r="T237" s="11" t="n">
        <f aca="false">SUM(N237:S237)</f>
        <v>8.083</v>
      </c>
      <c r="U237" s="11" t="n">
        <v>2.845</v>
      </c>
      <c r="V237" s="11" t="n">
        <v>27.288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f aca="false">SUM(U237:Z237)</f>
        <v>30.133</v>
      </c>
      <c r="AB237" s="11" t="n">
        <v>1.091</v>
      </c>
      <c r="AC237" s="11" t="n">
        <v>6.906</v>
      </c>
      <c r="AD237" s="11" t="n">
        <v>0</v>
      </c>
      <c r="AE237" s="11" t="n">
        <v>0</v>
      </c>
      <c r="AF237" s="11" t="n">
        <v>0</v>
      </c>
      <c r="AG237" s="11" t="n">
        <v>0</v>
      </c>
      <c r="AH237" s="11" t="n">
        <f aca="false">SUM(AB237:AG237)</f>
        <v>7.997</v>
      </c>
    </row>
    <row r="238" customFormat="false" ht="15" hidden="false" customHeight="false" outlineLevel="2" collapsed="false">
      <c r="A238" s="8" t="s">
        <v>542</v>
      </c>
      <c r="B238" s="12" t="s">
        <v>543</v>
      </c>
      <c r="C238" s="8" t="s">
        <v>410</v>
      </c>
      <c r="D238" s="12" t="s">
        <v>411</v>
      </c>
      <c r="E238" s="16"/>
      <c r="F238" s="9" t="str">
        <f aca="false">IF($E238="","",IFERROR(INDEX(担当者マスタ!$B$2:$B$101,MATCH($E238,担当者マスタ!$A$2:$A$101,0)),"※マスタ未登録"))</f>
        <v/>
      </c>
      <c r="G238" s="11" t="n">
        <v>0</v>
      </c>
      <c r="H238" s="11" t="n">
        <v>9.66</v>
      </c>
      <c r="I238" s="11" t="n">
        <v>11.58</v>
      </c>
      <c r="J238" s="11" t="n">
        <v>0</v>
      </c>
      <c r="K238" s="11" t="n">
        <v>0</v>
      </c>
      <c r="L238" s="11" t="n">
        <v>0</v>
      </c>
      <c r="M238" s="11" t="n">
        <f aca="false">SUM(G238:L238)</f>
        <v>21.24</v>
      </c>
      <c r="N238" s="11" t="n">
        <v>0</v>
      </c>
      <c r="O238" s="11" t="n">
        <v>3.42</v>
      </c>
      <c r="P238" s="11" t="n">
        <v>5.106</v>
      </c>
      <c r="Q238" s="11" t="n">
        <v>0</v>
      </c>
      <c r="R238" s="11" t="n">
        <v>0</v>
      </c>
      <c r="S238" s="11" t="n">
        <v>0</v>
      </c>
      <c r="T238" s="11" t="n">
        <f aca="false">SUM(N238:S238)</f>
        <v>8.526</v>
      </c>
      <c r="U238" s="11" t="n">
        <v>3.91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f aca="false">SUM(U238:Z238)</f>
        <v>3.91</v>
      </c>
      <c r="AB238" s="11" t="n">
        <v>1.36</v>
      </c>
      <c r="AC238" s="11" t="n">
        <v>0</v>
      </c>
      <c r="AD238" s="11" t="n">
        <v>0</v>
      </c>
      <c r="AE238" s="11" t="n">
        <v>0</v>
      </c>
      <c r="AF238" s="11" t="n">
        <v>0</v>
      </c>
      <c r="AG238" s="11" t="n">
        <v>0</v>
      </c>
      <c r="AH238" s="11" t="n">
        <f aca="false">SUM(AB238:AG238)</f>
        <v>1.36</v>
      </c>
    </row>
    <row r="239" customFormat="false" ht="15" hidden="false" customHeight="false" outlineLevel="2" collapsed="false">
      <c r="A239" s="8" t="s">
        <v>544</v>
      </c>
      <c r="B239" s="12" t="s">
        <v>545</v>
      </c>
      <c r="C239" s="8" t="s">
        <v>410</v>
      </c>
      <c r="D239" s="12" t="s">
        <v>411</v>
      </c>
      <c r="E239" s="16"/>
      <c r="F239" s="9" t="str">
        <f aca="false">IF($E239="","",IFERROR(INDEX(担当者マスタ!$B$2:$B$101,MATCH($E239,担当者マスタ!$A$2:$A$101,0)),"※マスタ未登録"))</f>
        <v/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40.2</v>
      </c>
      <c r="L239" s="11" t="n">
        <v>126.756</v>
      </c>
      <c r="M239" s="11" t="n">
        <f aca="false">SUM(G239:L239)</f>
        <v>166.956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11.2</v>
      </c>
      <c r="S239" s="11" t="n">
        <v>31.5</v>
      </c>
      <c r="T239" s="11" t="n">
        <f aca="false">SUM(N239:S239)</f>
        <v>42.7</v>
      </c>
      <c r="U239" s="11" t="n">
        <v>0</v>
      </c>
      <c r="V239" s="11" t="n">
        <v>31.689</v>
      </c>
      <c r="W239" s="11" t="n">
        <v>0</v>
      </c>
      <c r="X239" s="11" t="n">
        <v>142.746</v>
      </c>
      <c r="Y239" s="11" t="n">
        <v>0</v>
      </c>
      <c r="Z239" s="11" t="n">
        <v>126.756</v>
      </c>
      <c r="AA239" s="11" t="n">
        <f aca="false">SUM(U239:Z239)</f>
        <v>301.191</v>
      </c>
      <c r="AB239" s="11" t="n">
        <v>0</v>
      </c>
      <c r="AC239" s="11" t="n">
        <v>7.875</v>
      </c>
      <c r="AD239" s="11" t="n">
        <v>0</v>
      </c>
      <c r="AE239" s="11" t="n">
        <v>35.49</v>
      </c>
      <c r="AF239" s="11" t="n">
        <v>0</v>
      </c>
      <c r="AG239" s="11" t="n">
        <v>31.5</v>
      </c>
      <c r="AH239" s="11" t="n">
        <f aca="false">SUM(AB239:AG239)</f>
        <v>74.865</v>
      </c>
    </row>
    <row r="240" customFormat="false" ht="15" hidden="false" customHeight="false" outlineLevel="2" collapsed="false">
      <c r="A240" s="8" t="s">
        <v>546</v>
      </c>
      <c r="B240" s="12" t="s">
        <v>547</v>
      </c>
      <c r="C240" s="8" t="s">
        <v>410</v>
      </c>
      <c r="D240" s="12" t="s">
        <v>411</v>
      </c>
      <c r="E240" s="16"/>
      <c r="F240" s="9" t="str">
        <f aca="false">IF($E240="","",IFERROR(INDEX(担当者マスタ!$B$2:$B$101,MATCH($E240,担当者マスタ!$A$2:$A$101,0)),"※マスタ未登録"))</f>
        <v/>
      </c>
      <c r="G240" s="11" t="n">
        <v>12.88</v>
      </c>
      <c r="H240" s="11" t="n">
        <v>13.941</v>
      </c>
      <c r="I240" s="11" t="n">
        <v>3.664</v>
      </c>
      <c r="J240" s="11" t="n">
        <v>12.604</v>
      </c>
      <c r="K240" s="11" t="n">
        <v>1.98</v>
      </c>
      <c r="L240" s="11" t="n">
        <v>2.64</v>
      </c>
      <c r="M240" s="11" t="n">
        <f aca="false">SUM(G240:L240)</f>
        <v>47.709</v>
      </c>
      <c r="N240" s="11" t="n">
        <v>3.28</v>
      </c>
      <c r="O240" s="11" t="n">
        <v>3.545</v>
      </c>
      <c r="P240" s="11" t="n">
        <v>0.976</v>
      </c>
      <c r="Q240" s="11" t="n">
        <v>3.196</v>
      </c>
      <c r="R240" s="11" t="n">
        <v>0.54</v>
      </c>
      <c r="S240" s="11" t="n">
        <v>0.72</v>
      </c>
      <c r="T240" s="11" t="n">
        <f aca="false">SUM(N240:S240)</f>
        <v>12.257</v>
      </c>
      <c r="U240" s="11" t="n">
        <v>37.36</v>
      </c>
      <c r="V240" s="11" t="n">
        <v>12.88</v>
      </c>
      <c r="W240" s="11" t="n">
        <v>12.22</v>
      </c>
      <c r="X240" s="11" t="n">
        <v>0</v>
      </c>
      <c r="Y240" s="11" t="n">
        <v>12.88</v>
      </c>
      <c r="Z240" s="11" t="n">
        <v>33.13</v>
      </c>
      <c r="AA240" s="11" t="n">
        <f aca="false">SUM(U240:Z240)</f>
        <v>108.47</v>
      </c>
      <c r="AB240" s="11" t="n">
        <v>9.388</v>
      </c>
      <c r="AC240" s="11" t="n">
        <v>3.28</v>
      </c>
      <c r="AD240" s="11" t="n">
        <v>3.1</v>
      </c>
      <c r="AE240" s="11" t="n">
        <v>0</v>
      </c>
      <c r="AF240" s="11" t="n">
        <v>3.28</v>
      </c>
      <c r="AG240" s="11" t="n">
        <v>8.33</v>
      </c>
      <c r="AH240" s="11" t="n">
        <f aca="false">SUM(AB240:AG240)</f>
        <v>27.378</v>
      </c>
    </row>
    <row r="241" customFormat="false" ht="15" hidden="false" customHeight="false" outlineLevel="2" collapsed="false">
      <c r="A241" s="8" t="s">
        <v>548</v>
      </c>
      <c r="B241" s="12" t="s">
        <v>549</v>
      </c>
      <c r="C241" s="8" t="s">
        <v>410</v>
      </c>
      <c r="D241" s="12" t="s">
        <v>411</v>
      </c>
      <c r="E241" s="16"/>
      <c r="F241" s="9" t="str">
        <f aca="false">IF($E241="","",IFERROR(INDEX(担当者マスタ!$B$2:$B$101,MATCH($E241,担当者マスタ!$A$2:$A$101,0)),"※マスタ未登録"))</f>
        <v/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f aca="false">SUM(G241:L241)</f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f aca="false">SUM(N241:S241)</f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7.5</v>
      </c>
      <c r="AA241" s="11" t="n">
        <f aca="false">SUM(U241:Z241)</f>
        <v>7.5</v>
      </c>
      <c r="AB241" s="11" t="n">
        <v>0</v>
      </c>
      <c r="AC241" s="11" t="n">
        <v>0</v>
      </c>
      <c r="AD241" s="11" t="n">
        <v>0</v>
      </c>
      <c r="AE241" s="11" t="n">
        <v>0</v>
      </c>
      <c r="AF241" s="11" t="n">
        <v>0</v>
      </c>
      <c r="AG241" s="11" t="n">
        <v>1.1</v>
      </c>
      <c r="AH241" s="11" t="n">
        <f aca="false">SUM(AB241:AG241)</f>
        <v>1.1</v>
      </c>
    </row>
    <row r="242" customFormat="false" ht="15" hidden="false" customHeight="false" outlineLevel="2" collapsed="false">
      <c r="A242" s="8" t="s">
        <v>550</v>
      </c>
      <c r="B242" s="12" t="s">
        <v>551</v>
      </c>
      <c r="C242" s="8" t="s">
        <v>410</v>
      </c>
      <c r="D242" s="12" t="s">
        <v>411</v>
      </c>
      <c r="E242" s="16"/>
      <c r="F242" s="9" t="str">
        <f aca="false">IF($E242="","",IFERROR(INDEX(担当者マスタ!$B$2:$B$101,MATCH($E242,担当者マスタ!$A$2:$A$101,0)),"※マスタ未登録"))</f>
        <v/>
      </c>
      <c r="G242" s="11" t="n">
        <v>110.858</v>
      </c>
      <c r="H242" s="11" t="n">
        <v>73.788</v>
      </c>
      <c r="I242" s="11" t="n">
        <v>306.331</v>
      </c>
      <c r="J242" s="11" t="n">
        <v>135.297</v>
      </c>
      <c r="K242" s="11" t="n">
        <v>30.79</v>
      </c>
      <c r="L242" s="11" t="n">
        <v>42.355</v>
      </c>
      <c r="M242" s="11" t="n">
        <f aca="false">SUM(G242:L242)</f>
        <v>699.419</v>
      </c>
      <c r="N242" s="11" t="n">
        <v>34.163</v>
      </c>
      <c r="O242" s="11" t="n">
        <v>22.512</v>
      </c>
      <c r="P242" s="11" t="n">
        <v>102.82</v>
      </c>
      <c r="Q242" s="11" t="n">
        <v>50.345</v>
      </c>
      <c r="R242" s="11" t="n">
        <v>10.027</v>
      </c>
      <c r="S242" s="11" t="n">
        <v>11.964</v>
      </c>
      <c r="T242" s="11" t="n">
        <f aca="false">SUM(N242:S242)</f>
        <v>231.831</v>
      </c>
      <c r="U242" s="11" t="n">
        <v>159.159</v>
      </c>
      <c r="V242" s="11" t="n">
        <v>66.192</v>
      </c>
      <c r="W242" s="11" t="n">
        <v>105.232</v>
      </c>
      <c r="X242" s="11" t="n">
        <v>20.193</v>
      </c>
      <c r="Y242" s="11" t="n">
        <v>25.669</v>
      </c>
      <c r="Z242" s="11" t="n">
        <v>99.548</v>
      </c>
      <c r="AA242" s="11" t="n">
        <f aca="false">SUM(U242:Z242)</f>
        <v>475.993</v>
      </c>
      <c r="AB242" s="11" t="n">
        <v>60.65</v>
      </c>
      <c r="AC242" s="11" t="n">
        <v>23.349</v>
      </c>
      <c r="AD242" s="11" t="n">
        <v>36.761</v>
      </c>
      <c r="AE242" s="11" t="n">
        <v>4.988</v>
      </c>
      <c r="AF242" s="11" t="n">
        <v>7.704</v>
      </c>
      <c r="AG242" s="11" t="n">
        <v>33.953</v>
      </c>
      <c r="AH242" s="11" t="n">
        <f aca="false">SUM(AB242:AG242)</f>
        <v>167.405</v>
      </c>
    </row>
    <row r="243" customFormat="false" ht="15" hidden="false" customHeight="false" outlineLevel="2" collapsed="false">
      <c r="A243" s="8" t="s">
        <v>552</v>
      </c>
      <c r="B243" s="12" t="s">
        <v>553</v>
      </c>
      <c r="C243" s="8" t="s">
        <v>410</v>
      </c>
      <c r="D243" s="12" t="s">
        <v>411</v>
      </c>
      <c r="E243" s="16"/>
      <c r="F243" s="9" t="str">
        <f aca="false">IF($E243="","",IFERROR(INDEX(担当者マスタ!$B$2:$B$101,MATCH($E243,担当者マスタ!$A$2:$A$101,0)),"※マスタ未登録"))</f>
        <v/>
      </c>
      <c r="G243" s="11" t="n">
        <v>179.42</v>
      </c>
      <c r="H243" s="11" t="n">
        <v>158.02</v>
      </c>
      <c r="I243" s="11" t="n">
        <v>223.66</v>
      </c>
      <c r="J243" s="11" t="n">
        <v>0</v>
      </c>
      <c r="K243" s="11" t="n">
        <v>243.82</v>
      </c>
      <c r="L243" s="11" t="n">
        <v>300.6</v>
      </c>
      <c r="M243" s="11" t="n">
        <f aca="false">SUM(G243:L243)</f>
        <v>1105.52</v>
      </c>
      <c r="N243" s="11" t="n">
        <v>47.2</v>
      </c>
      <c r="O243" s="11" t="n">
        <v>37.4</v>
      </c>
      <c r="P243" s="11" t="n">
        <v>55.52</v>
      </c>
      <c r="Q243" s="11" t="n">
        <v>0</v>
      </c>
      <c r="R243" s="11" t="n">
        <v>68.6</v>
      </c>
      <c r="S243" s="11" t="n">
        <v>97.2</v>
      </c>
      <c r="T243" s="11" t="n">
        <f aca="false">SUM(N243:S243)</f>
        <v>305.92</v>
      </c>
      <c r="U243" s="11" t="n">
        <v>126.32</v>
      </c>
      <c r="V243" s="11" t="n">
        <v>385.25</v>
      </c>
      <c r="W243" s="11" t="n">
        <v>171.525</v>
      </c>
      <c r="X243" s="11" t="n">
        <v>53.1</v>
      </c>
      <c r="Y243" s="11" t="n">
        <v>0</v>
      </c>
      <c r="Z243" s="11" t="n">
        <v>270.995</v>
      </c>
      <c r="AA243" s="11" t="n">
        <f aca="false">SUM(U243:Z243)</f>
        <v>1007.19</v>
      </c>
      <c r="AB243" s="11" t="n">
        <v>33.4</v>
      </c>
      <c r="AC243" s="11" t="n">
        <v>116.2</v>
      </c>
      <c r="AD243" s="11" t="n">
        <v>40.65</v>
      </c>
      <c r="AE243" s="11" t="n">
        <v>13.8</v>
      </c>
      <c r="AF243" s="11" t="n">
        <v>0</v>
      </c>
      <c r="AG243" s="11" t="n">
        <v>74.8</v>
      </c>
      <c r="AH243" s="11" t="n">
        <f aca="false">SUM(AB243:AG243)</f>
        <v>278.85</v>
      </c>
    </row>
    <row r="244" customFormat="false" ht="15" hidden="false" customHeight="false" outlineLevel="2" collapsed="false">
      <c r="A244" s="8" t="s">
        <v>554</v>
      </c>
      <c r="B244" s="12" t="s">
        <v>555</v>
      </c>
      <c r="C244" s="8" t="s">
        <v>410</v>
      </c>
      <c r="D244" s="12" t="s">
        <v>411</v>
      </c>
      <c r="E244" s="16"/>
      <c r="F244" s="9" t="str">
        <f aca="false">IF($E244="","",IFERROR(INDEX(担当者マスタ!$B$2:$B$101,MATCH($E244,担当者マスタ!$A$2:$A$101,0)),"※マスタ未登録"))</f>
        <v/>
      </c>
      <c r="G244" s="11" t="n">
        <v>70.241</v>
      </c>
      <c r="H244" s="11" t="n">
        <v>74.136</v>
      </c>
      <c r="I244" s="11" t="n">
        <v>133.903</v>
      </c>
      <c r="J244" s="11" t="n">
        <v>32.986</v>
      </c>
      <c r="K244" s="11" t="n">
        <v>47.743</v>
      </c>
      <c r="L244" s="11" t="n">
        <v>80.943</v>
      </c>
      <c r="M244" s="11" t="n">
        <f aca="false">SUM(G244:L244)</f>
        <v>439.952</v>
      </c>
      <c r="N244" s="11" t="n">
        <v>15.12</v>
      </c>
      <c r="O244" s="11" t="n">
        <v>16.857</v>
      </c>
      <c r="P244" s="11" t="n">
        <v>30.645</v>
      </c>
      <c r="Q244" s="11" t="n">
        <v>6.894</v>
      </c>
      <c r="R244" s="11" t="n">
        <v>10.523</v>
      </c>
      <c r="S244" s="11" t="n">
        <v>17.185</v>
      </c>
      <c r="T244" s="11" t="n">
        <f aca="false">SUM(N244:S244)</f>
        <v>97.224</v>
      </c>
      <c r="U244" s="11" t="n">
        <v>83.743</v>
      </c>
      <c r="V244" s="11" t="n">
        <v>52.576</v>
      </c>
      <c r="W244" s="11" t="n">
        <v>77.396</v>
      </c>
      <c r="X244" s="11" t="n">
        <v>47.805</v>
      </c>
      <c r="Y244" s="11" t="n">
        <v>48.075</v>
      </c>
      <c r="Z244" s="11" t="n">
        <v>51.95</v>
      </c>
      <c r="AA244" s="11" t="n">
        <f aca="false">SUM(U244:Z244)</f>
        <v>361.545</v>
      </c>
      <c r="AB244" s="11" t="n">
        <v>18.114</v>
      </c>
      <c r="AC244" s="11" t="n">
        <v>11.065</v>
      </c>
      <c r="AD244" s="11" t="n">
        <v>17.425</v>
      </c>
      <c r="AE244" s="11" t="n">
        <v>10.496</v>
      </c>
      <c r="AF244" s="11" t="n">
        <v>11.082</v>
      </c>
      <c r="AG244" s="11" t="n">
        <v>10.79</v>
      </c>
      <c r="AH244" s="11" t="n">
        <f aca="false">SUM(AB244:AG244)</f>
        <v>78.972</v>
      </c>
    </row>
    <row r="245" customFormat="false" ht="15" hidden="false" customHeight="false" outlineLevel="2" collapsed="false">
      <c r="A245" s="8" t="s">
        <v>556</v>
      </c>
      <c r="B245" s="12" t="s">
        <v>557</v>
      </c>
      <c r="C245" s="8" t="s">
        <v>410</v>
      </c>
      <c r="D245" s="12" t="s">
        <v>411</v>
      </c>
      <c r="E245" s="16"/>
      <c r="F245" s="9" t="str">
        <f aca="false">IF($E245="","",IFERROR(INDEX(担当者マスタ!$B$2:$B$101,MATCH($E245,担当者マスタ!$A$2:$A$101,0)),"※マスタ未登録"))</f>
        <v/>
      </c>
      <c r="G245" s="11" t="n">
        <v>36.566</v>
      </c>
      <c r="H245" s="11" t="n">
        <v>40.794</v>
      </c>
      <c r="I245" s="11" t="n">
        <v>70.6</v>
      </c>
      <c r="J245" s="11" t="n">
        <v>25.357</v>
      </c>
      <c r="K245" s="11" t="n">
        <v>35.4</v>
      </c>
      <c r="L245" s="11" t="n">
        <v>45.811</v>
      </c>
      <c r="M245" s="11" t="n">
        <f aca="false">SUM(G245:L245)</f>
        <v>254.528</v>
      </c>
      <c r="N245" s="11" t="n">
        <v>7.586</v>
      </c>
      <c r="O245" s="11" t="n">
        <v>9.206</v>
      </c>
      <c r="P245" s="11" t="n">
        <v>15.972</v>
      </c>
      <c r="Q245" s="11" t="n">
        <v>5.431</v>
      </c>
      <c r="R245" s="11" t="n">
        <v>7.7</v>
      </c>
      <c r="S245" s="11" t="n">
        <v>10.409</v>
      </c>
      <c r="T245" s="11" t="n">
        <f aca="false">SUM(N245:S245)</f>
        <v>56.304</v>
      </c>
      <c r="U245" s="11" t="n">
        <v>55.471</v>
      </c>
      <c r="V245" s="11" t="n">
        <v>29.584</v>
      </c>
      <c r="W245" s="11" t="n">
        <v>45.706</v>
      </c>
      <c r="X245" s="11" t="n">
        <v>32.284</v>
      </c>
      <c r="Y245" s="11" t="n">
        <v>31.066</v>
      </c>
      <c r="Z245" s="11" t="n">
        <v>42.522</v>
      </c>
      <c r="AA245" s="11" t="n">
        <f aca="false">SUM(U245:Z245)</f>
        <v>236.633</v>
      </c>
      <c r="AB245" s="11" t="n">
        <v>12.34</v>
      </c>
      <c r="AC245" s="11" t="n">
        <v>6.604</v>
      </c>
      <c r="AD245" s="11" t="n">
        <v>10.895</v>
      </c>
      <c r="AE245" s="11" t="n">
        <v>7.116</v>
      </c>
      <c r="AF245" s="11" t="n">
        <v>6.739</v>
      </c>
      <c r="AG245" s="11" t="n">
        <v>10.115</v>
      </c>
      <c r="AH245" s="11" t="n">
        <f aca="false">SUM(AB245:AG245)</f>
        <v>53.809</v>
      </c>
    </row>
    <row r="246" customFormat="false" ht="15" hidden="false" customHeight="false" outlineLevel="2" collapsed="false">
      <c r="A246" s="8" t="s">
        <v>558</v>
      </c>
      <c r="B246" s="12" t="s">
        <v>559</v>
      </c>
      <c r="C246" s="8" t="s">
        <v>410</v>
      </c>
      <c r="D246" s="12" t="s">
        <v>411</v>
      </c>
      <c r="E246" s="16"/>
      <c r="F246" s="9" t="str">
        <f aca="false">IF($E246="","",IFERROR(INDEX(担当者マスタ!$B$2:$B$101,MATCH($E246,担当者マスタ!$A$2:$A$101,0)),"※マスタ未登録"))</f>
        <v/>
      </c>
      <c r="G246" s="11" t="n">
        <v>97.558</v>
      </c>
      <c r="H246" s="11" t="n">
        <v>85.285</v>
      </c>
      <c r="I246" s="11" t="n">
        <v>134.569</v>
      </c>
      <c r="J246" s="11" t="n">
        <v>78.603</v>
      </c>
      <c r="K246" s="11" t="n">
        <v>68.517</v>
      </c>
      <c r="L246" s="11" t="n">
        <v>75.553</v>
      </c>
      <c r="M246" s="11" t="n">
        <f aca="false">SUM(G246:L246)</f>
        <v>540.085</v>
      </c>
      <c r="N246" s="11" t="n">
        <v>22.341</v>
      </c>
      <c r="O246" s="11" t="n">
        <v>19.64</v>
      </c>
      <c r="P246" s="11" t="n">
        <v>32.019</v>
      </c>
      <c r="Q246" s="11" t="n">
        <v>17.609</v>
      </c>
      <c r="R246" s="11" t="n">
        <v>16.535</v>
      </c>
      <c r="S246" s="11" t="n">
        <v>16.949</v>
      </c>
      <c r="T246" s="11" t="n">
        <f aca="false">SUM(N246:S246)</f>
        <v>125.093</v>
      </c>
      <c r="U246" s="11" t="n">
        <v>88.423</v>
      </c>
      <c r="V246" s="11" t="n">
        <v>66.499</v>
      </c>
      <c r="W246" s="11" t="n">
        <v>88.562</v>
      </c>
      <c r="X246" s="11" t="n">
        <v>67.098</v>
      </c>
      <c r="Y246" s="11" t="n">
        <v>58.187</v>
      </c>
      <c r="Z246" s="11" t="n">
        <v>76.848</v>
      </c>
      <c r="AA246" s="11" t="n">
        <f aca="false">SUM(U246:Z246)</f>
        <v>445.617</v>
      </c>
      <c r="AB246" s="11" t="n">
        <v>23.25</v>
      </c>
      <c r="AC246" s="11" t="n">
        <v>15.093</v>
      </c>
      <c r="AD246" s="11" t="n">
        <v>20.988</v>
      </c>
      <c r="AE246" s="11" t="n">
        <v>15.3</v>
      </c>
      <c r="AF246" s="11" t="n">
        <v>13.702</v>
      </c>
      <c r="AG246" s="11" t="n">
        <v>18.229</v>
      </c>
      <c r="AH246" s="11" t="n">
        <f aca="false">SUM(AB246:AG246)</f>
        <v>106.562</v>
      </c>
    </row>
    <row r="247" customFormat="false" ht="15" hidden="false" customHeight="false" outlineLevel="2" collapsed="false">
      <c r="A247" s="8" t="s">
        <v>560</v>
      </c>
      <c r="B247" s="12" t="s">
        <v>561</v>
      </c>
      <c r="C247" s="8" t="s">
        <v>410</v>
      </c>
      <c r="D247" s="12" t="s">
        <v>411</v>
      </c>
      <c r="E247" s="16"/>
      <c r="F247" s="9" t="str">
        <f aca="false">IF($E247="","",IFERROR(INDEX(担当者マスタ!$B$2:$B$101,MATCH($E247,担当者マスタ!$A$2:$A$101,0)),"※マスタ未登録"))</f>
        <v/>
      </c>
      <c r="G247" s="11" t="n">
        <v>975.274</v>
      </c>
      <c r="H247" s="11" t="n">
        <v>230.405</v>
      </c>
      <c r="I247" s="11" t="n">
        <v>512.926</v>
      </c>
      <c r="J247" s="11" t="n">
        <v>4559.8</v>
      </c>
      <c r="K247" s="11" t="n">
        <v>575.761</v>
      </c>
      <c r="L247" s="11" t="n">
        <v>141.91</v>
      </c>
      <c r="M247" s="11" t="n">
        <f aca="false">SUM(G247:L247)</f>
        <v>6996.076</v>
      </c>
      <c r="N247" s="11" t="n">
        <v>284.052</v>
      </c>
      <c r="O247" s="11" t="n">
        <v>91.68</v>
      </c>
      <c r="P247" s="11" t="n">
        <v>167.386</v>
      </c>
      <c r="Q247" s="11" t="n">
        <v>1012.5</v>
      </c>
      <c r="R247" s="11" t="n">
        <v>128.547</v>
      </c>
      <c r="S247" s="11" t="n">
        <v>44.32</v>
      </c>
      <c r="T247" s="11" t="n">
        <f aca="false">SUM(N247:S247)</f>
        <v>1728.485</v>
      </c>
      <c r="U247" s="11" t="n">
        <v>489.31</v>
      </c>
      <c r="V247" s="11" t="n">
        <v>533.426</v>
      </c>
      <c r="W247" s="11" t="n">
        <v>143.412</v>
      </c>
      <c r="X247" s="11" t="n">
        <v>694.283</v>
      </c>
      <c r="Y247" s="11" t="n">
        <v>215.378</v>
      </c>
      <c r="Z247" s="11" t="n">
        <v>108.05</v>
      </c>
      <c r="AA247" s="11" t="n">
        <f aca="false">SUM(U247:Z247)</f>
        <v>2183.859</v>
      </c>
      <c r="AB247" s="11" t="n">
        <v>185.498</v>
      </c>
      <c r="AC247" s="11" t="n">
        <v>163.097</v>
      </c>
      <c r="AD247" s="11" t="n">
        <v>41.768</v>
      </c>
      <c r="AE247" s="11" t="n">
        <v>196.028</v>
      </c>
      <c r="AF247" s="11" t="n">
        <v>45.648</v>
      </c>
      <c r="AG247" s="11" t="n">
        <v>32</v>
      </c>
      <c r="AH247" s="11" t="n">
        <f aca="false">SUM(AB247:AG247)</f>
        <v>664.039</v>
      </c>
    </row>
    <row r="248" customFormat="false" ht="15" hidden="false" customHeight="false" outlineLevel="2" collapsed="false">
      <c r="A248" s="8" t="s">
        <v>562</v>
      </c>
      <c r="B248" s="9" t="s">
        <v>563</v>
      </c>
      <c r="C248" s="8" t="s">
        <v>410</v>
      </c>
      <c r="D248" s="12" t="s">
        <v>411</v>
      </c>
      <c r="E248" s="16"/>
      <c r="F248" s="9" t="str">
        <f aca="false">IF($E248="","",IFERROR(INDEX(担当者マスタ!$B$2:$B$101,MATCH($E248,担当者マスタ!$A$2:$A$101,0)),"※マスタ未登録"))</f>
        <v/>
      </c>
      <c r="G248" s="11" t="n">
        <v>7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f aca="false">SUM(G248:L248)</f>
        <v>7</v>
      </c>
      <c r="N248" s="11" t="n">
        <v>2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f aca="false">SUM(N248:S248)</f>
        <v>2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f aca="false">SUM(U248:Z248)</f>
        <v>0</v>
      </c>
      <c r="AB248" s="11" t="n">
        <v>0</v>
      </c>
      <c r="AC248" s="11" t="n">
        <v>0</v>
      </c>
      <c r="AD248" s="11" t="n">
        <v>0</v>
      </c>
      <c r="AE248" s="11" t="n">
        <v>0</v>
      </c>
      <c r="AF248" s="11" t="n">
        <v>0</v>
      </c>
      <c r="AG248" s="11" t="n">
        <v>0</v>
      </c>
      <c r="AH248" s="11" t="n">
        <f aca="false">SUM(AB248:AG248)</f>
        <v>0</v>
      </c>
    </row>
    <row r="249" customFormat="false" ht="15" hidden="false" customHeight="false" outlineLevel="2" collapsed="false">
      <c r="A249" s="8" t="s">
        <v>564</v>
      </c>
      <c r="B249" s="12" t="s">
        <v>565</v>
      </c>
      <c r="C249" s="8" t="s">
        <v>410</v>
      </c>
      <c r="D249" s="12" t="s">
        <v>411</v>
      </c>
      <c r="E249" s="16"/>
      <c r="F249" s="9" t="str">
        <f aca="false">IF($E249="","",IFERROR(INDEX(担当者マスタ!$B$2:$B$101,MATCH($E249,担当者マスタ!$A$2:$A$101,0)),"※マスタ未登録"))</f>
        <v/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38.72</v>
      </c>
      <c r="L249" s="11" t="n">
        <v>0</v>
      </c>
      <c r="M249" s="11" t="n">
        <f aca="false">SUM(G249:L249)</f>
        <v>38.72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7.568</v>
      </c>
      <c r="S249" s="11" t="n">
        <v>0</v>
      </c>
      <c r="T249" s="11" t="n">
        <f aca="false">SUM(N249:S249)</f>
        <v>7.568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24.8</v>
      </c>
      <c r="Z249" s="11" t="n">
        <v>0</v>
      </c>
      <c r="AA249" s="11" t="n">
        <f aca="false">SUM(U249:Z249)</f>
        <v>24.8</v>
      </c>
      <c r="AB249" s="11" t="n">
        <v>0</v>
      </c>
      <c r="AC249" s="11" t="n">
        <v>0</v>
      </c>
      <c r="AD249" s="11" t="n">
        <v>0</v>
      </c>
      <c r="AE249" s="11" t="n">
        <v>0</v>
      </c>
      <c r="AF249" s="11" t="n">
        <v>6.624</v>
      </c>
      <c r="AG249" s="11" t="n">
        <v>0</v>
      </c>
      <c r="AH249" s="11" t="n">
        <f aca="false">SUM(AB249:AG249)</f>
        <v>6.624</v>
      </c>
    </row>
    <row r="250" customFormat="false" ht="15" hidden="false" customHeight="false" outlineLevel="2" collapsed="false">
      <c r="A250" s="8" t="s">
        <v>566</v>
      </c>
      <c r="B250" s="12" t="s">
        <v>567</v>
      </c>
      <c r="C250" s="8" t="s">
        <v>410</v>
      </c>
      <c r="D250" s="12" t="s">
        <v>411</v>
      </c>
      <c r="E250" s="16"/>
      <c r="F250" s="9" t="str">
        <f aca="false">IF($E250="","",IFERROR(INDEX(担当者マスタ!$B$2:$B$101,MATCH($E250,担当者マスタ!$A$2:$A$101,0)),"※マスタ未登録"))</f>
        <v/>
      </c>
      <c r="G250" s="11" t="n">
        <v>0</v>
      </c>
      <c r="H250" s="11" t="n">
        <v>7.82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f aca="false">SUM(G250:L250)</f>
        <v>7.82</v>
      </c>
      <c r="N250" s="11" t="n">
        <v>0</v>
      </c>
      <c r="O250" s="11" t="n">
        <v>2.625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f aca="false">SUM(N250:S250)</f>
        <v>2.625</v>
      </c>
      <c r="U250" s="11" t="n">
        <v>24</v>
      </c>
      <c r="V250" s="11" t="n">
        <v>0</v>
      </c>
      <c r="W250" s="11" t="n">
        <v>0</v>
      </c>
      <c r="X250" s="11" t="n">
        <v>0</v>
      </c>
      <c r="Y250" s="11" t="n">
        <v>4.085</v>
      </c>
      <c r="Z250" s="11" t="n">
        <v>0</v>
      </c>
      <c r="AA250" s="11" t="n">
        <f aca="false">SUM(U250:Z250)</f>
        <v>28.085</v>
      </c>
      <c r="AB250" s="11" t="n">
        <v>5.72</v>
      </c>
      <c r="AC250" s="11" t="n">
        <v>0</v>
      </c>
      <c r="AD250" s="11" t="n">
        <v>0</v>
      </c>
      <c r="AE250" s="11" t="n">
        <v>0</v>
      </c>
      <c r="AF250" s="11" t="n">
        <v>0.654</v>
      </c>
      <c r="AG250" s="11" t="n">
        <v>0</v>
      </c>
      <c r="AH250" s="11" t="n">
        <f aca="false">SUM(AB250:AG250)</f>
        <v>6.374</v>
      </c>
    </row>
    <row r="251" customFormat="false" ht="15" hidden="false" customHeight="false" outlineLevel="2" collapsed="false">
      <c r="A251" s="8" t="s">
        <v>568</v>
      </c>
      <c r="B251" s="12" t="s">
        <v>569</v>
      </c>
      <c r="C251" s="8" t="s">
        <v>410</v>
      </c>
      <c r="D251" s="12" t="s">
        <v>411</v>
      </c>
      <c r="E251" s="16"/>
      <c r="F251" s="9" t="str">
        <f aca="false">IF($E251="","",IFERROR(INDEX(担当者マスタ!$B$2:$B$101,MATCH($E251,担当者マスタ!$A$2:$A$101,0)),"※マスタ未登録"))</f>
        <v/>
      </c>
      <c r="G251" s="11" t="n">
        <v>0</v>
      </c>
      <c r="H251" s="11" t="n">
        <v>2.116</v>
      </c>
      <c r="I251" s="11" t="n">
        <v>0</v>
      </c>
      <c r="J251" s="11" t="n">
        <v>0</v>
      </c>
      <c r="K251" s="11" t="n">
        <v>2.116</v>
      </c>
      <c r="L251" s="11" t="n">
        <v>0</v>
      </c>
      <c r="M251" s="11" t="n">
        <f aca="false">SUM(G251:L251)</f>
        <v>4.232</v>
      </c>
      <c r="N251" s="11" t="n">
        <v>0</v>
      </c>
      <c r="O251" s="11" t="n">
        <v>1.132</v>
      </c>
      <c r="P251" s="11" t="n">
        <v>0</v>
      </c>
      <c r="Q251" s="11" t="n">
        <v>0</v>
      </c>
      <c r="R251" s="11" t="n">
        <v>1.132</v>
      </c>
      <c r="S251" s="11" t="n">
        <v>0</v>
      </c>
      <c r="T251" s="11" t="n">
        <f aca="false">SUM(N251:S251)</f>
        <v>2.264</v>
      </c>
      <c r="U251" s="11" t="n">
        <v>0</v>
      </c>
      <c r="V251" s="11" t="n">
        <v>4.439</v>
      </c>
      <c r="W251" s="11" t="n">
        <v>0.95</v>
      </c>
      <c r="X251" s="11" t="n">
        <v>4.232</v>
      </c>
      <c r="Y251" s="11" t="n">
        <v>0</v>
      </c>
      <c r="Z251" s="11" t="n">
        <v>0.906</v>
      </c>
      <c r="AA251" s="11" t="n">
        <f aca="false">SUM(U251:Z251)</f>
        <v>10.527</v>
      </c>
      <c r="AB251" s="11" t="n">
        <v>0</v>
      </c>
      <c r="AC251" s="11" t="n">
        <v>1.925</v>
      </c>
      <c r="AD251" s="11" t="n">
        <v>0.665</v>
      </c>
      <c r="AE251" s="11" t="n">
        <v>2.264</v>
      </c>
      <c r="AF251" s="11" t="n">
        <v>0</v>
      </c>
      <c r="AG251" s="11" t="n">
        <v>0.453</v>
      </c>
      <c r="AH251" s="11" t="n">
        <f aca="false">SUM(AB251:AG251)</f>
        <v>5.307</v>
      </c>
    </row>
    <row r="252" customFormat="false" ht="15" hidden="false" customHeight="false" outlineLevel="2" collapsed="false">
      <c r="A252" s="8" t="s">
        <v>570</v>
      </c>
      <c r="B252" s="12" t="s">
        <v>571</v>
      </c>
      <c r="C252" s="8" t="s">
        <v>410</v>
      </c>
      <c r="D252" s="12" t="s">
        <v>411</v>
      </c>
      <c r="E252" s="16"/>
      <c r="F252" s="9" t="str">
        <f aca="false">IF($E252="","",IFERROR(INDEX(担当者マスタ!$B$2:$B$101,MATCH($E252,担当者マスタ!$A$2:$A$101,0)),"※マスタ未登録"))</f>
        <v/>
      </c>
      <c r="G252" s="11" t="n">
        <v>35.8</v>
      </c>
      <c r="H252" s="11" t="n">
        <v>431.928</v>
      </c>
      <c r="I252" s="11" t="n">
        <v>623.979</v>
      </c>
      <c r="J252" s="11" t="n">
        <v>348.008</v>
      </c>
      <c r="K252" s="11" t="n">
        <v>365.27</v>
      </c>
      <c r="L252" s="11" t="n">
        <v>589.34</v>
      </c>
      <c r="M252" s="11" t="n">
        <f aca="false">SUM(G252:L252)</f>
        <v>2394.325</v>
      </c>
      <c r="N252" s="11" t="n">
        <v>6.125</v>
      </c>
      <c r="O252" s="11" t="n">
        <v>94.968</v>
      </c>
      <c r="P252" s="11" t="n">
        <v>138.274</v>
      </c>
      <c r="Q252" s="11" t="n">
        <v>71.288</v>
      </c>
      <c r="R252" s="11" t="n">
        <v>75.55</v>
      </c>
      <c r="S252" s="11" t="n">
        <v>127.29</v>
      </c>
      <c r="T252" s="11" t="n">
        <f aca="false">SUM(N252:S252)</f>
        <v>513.495</v>
      </c>
      <c r="U252" s="11" t="n">
        <v>701.478</v>
      </c>
      <c r="V252" s="11" t="n">
        <v>212.92</v>
      </c>
      <c r="W252" s="11" t="n">
        <v>1017.505</v>
      </c>
      <c r="X252" s="11" t="n">
        <v>389.498</v>
      </c>
      <c r="Y252" s="11" t="n">
        <v>179.69</v>
      </c>
      <c r="Z252" s="11" t="n">
        <v>716.998</v>
      </c>
      <c r="AA252" s="11" t="n">
        <f aca="false">SUM(U252:Z252)</f>
        <v>3218.089</v>
      </c>
      <c r="AB252" s="11" t="n">
        <v>146.538</v>
      </c>
      <c r="AC252" s="11" t="n">
        <v>58.98</v>
      </c>
      <c r="AD252" s="11" t="n">
        <v>214.039</v>
      </c>
      <c r="AE252" s="11" t="n">
        <v>94.983</v>
      </c>
      <c r="AF252" s="11" t="n">
        <v>35.51</v>
      </c>
      <c r="AG252" s="11" t="n">
        <v>176.308</v>
      </c>
      <c r="AH252" s="11" t="n">
        <f aca="false">SUM(AB252:AG252)</f>
        <v>726.358</v>
      </c>
    </row>
    <row r="253" customFormat="false" ht="15" hidden="false" customHeight="false" outlineLevel="2" collapsed="false">
      <c r="A253" s="8" t="s">
        <v>572</v>
      </c>
      <c r="B253" s="12" t="s">
        <v>573</v>
      </c>
      <c r="C253" s="8" t="s">
        <v>410</v>
      </c>
      <c r="D253" s="12" t="s">
        <v>411</v>
      </c>
      <c r="E253" s="16"/>
      <c r="F253" s="9" t="str">
        <f aca="false">IF($E253="","",IFERROR(INDEX(担当者マスタ!$B$2:$B$101,MATCH($E253,担当者マスタ!$A$2:$A$101,0)),"※マスタ未登録"))</f>
        <v/>
      </c>
      <c r="G253" s="11" t="n">
        <v>23.13</v>
      </c>
      <c r="H253" s="11" t="n">
        <v>1304.9</v>
      </c>
      <c r="I253" s="11" t="n">
        <v>19.59</v>
      </c>
      <c r="J253" s="11" t="n">
        <v>42.33</v>
      </c>
      <c r="K253" s="11" t="n">
        <v>55.56</v>
      </c>
      <c r="L253" s="11" t="n">
        <v>80.66</v>
      </c>
      <c r="M253" s="11" t="n">
        <f aca="false">SUM(G253:L253)</f>
        <v>1526.17</v>
      </c>
      <c r="N253" s="11" t="n">
        <v>8.328</v>
      </c>
      <c r="O253" s="11" t="n">
        <v>215.92</v>
      </c>
      <c r="P253" s="11" t="n">
        <v>8.296</v>
      </c>
      <c r="Q253" s="11" t="n">
        <v>9.288</v>
      </c>
      <c r="R253" s="11" t="n">
        <v>12.6</v>
      </c>
      <c r="S253" s="11" t="n">
        <v>22.31</v>
      </c>
      <c r="T253" s="11" t="n">
        <f aca="false">SUM(N253:S253)</f>
        <v>276.742</v>
      </c>
      <c r="U253" s="11" t="n">
        <v>66.824</v>
      </c>
      <c r="V253" s="11" t="n">
        <v>977.19</v>
      </c>
      <c r="W253" s="11" t="n">
        <v>1313.88</v>
      </c>
      <c r="X253" s="11" t="n">
        <v>8.89</v>
      </c>
      <c r="Y253" s="11" t="n">
        <v>539.2</v>
      </c>
      <c r="Z253" s="11" t="n">
        <v>9.6</v>
      </c>
      <c r="AA253" s="11" t="n">
        <f aca="false">SUM(U253:Z253)</f>
        <v>2915.584</v>
      </c>
      <c r="AB253" s="11" t="n">
        <v>19.556</v>
      </c>
      <c r="AC253" s="11" t="n">
        <v>268.78</v>
      </c>
      <c r="AD253" s="11" t="n">
        <v>222.388</v>
      </c>
      <c r="AE253" s="11" t="n">
        <v>2.248</v>
      </c>
      <c r="AF253" s="11" t="n">
        <v>116.88</v>
      </c>
      <c r="AG253" s="11" t="n">
        <v>3.44</v>
      </c>
      <c r="AH253" s="11" t="n">
        <f aca="false">SUM(AB253:AG253)</f>
        <v>633.292</v>
      </c>
    </row>
    <row r="254" customFormat="false" ht="15" hidden="false" customHeight="false" outlineLevel="2" collapsed="false">
      <c r="A254" s="8" t="s">
        <v>574</v>
      </c>
      <c r="B254" s="12" t="s">
        <v>575</v>
      </c>
      <c r="C254" s="8" t="s">
        <v>410</v>
      </c>
      <c r="D254" s="12" t="s">
        <v>411</v>
      </c>
      <c r="E254" s="16"/>
      <c r="F254" s="9" t="str">
        <f aca="false">IF($E254="","",IFERROR(INDEX(担当者マスタ!$B$2:$B$101,MATCH($E254,担当者マスタ!$A$2:$A$101,0)),"※マスタ未登録"))</f>
        <v/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f aca="false">SUM(G254:L254)</f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f aca="false">SUM(N254:S254)</f>
        <v>0</v>
      </c>
      <c r="U254" s="11" t="n">
        <v>0</v>
      </c>
      <c r="V254" s="11" t="n">
        <v>0</v>
      </c>
      <c r="W254" s="11" t="n">
        <v>0</v>
      </c>
      <c r="X254" s="11" t="n">
        <v>5.16</v>
      </c>
      <c r="Y254" s="11" t="n">
        <v>0</v>
      </c>
      <c r="Z254" s="11" t="n">
        <v>0</v>
      </c>
      <c r="AA254" s="11" t="n">
        <f aca="false">SUM(U254:Z254)</f>
        <v>5.16</v>
      </c>
      <c r="AB254" s="11" t="n">
        <v>0</v>
      </c>
      <c r="AC254" s="11" t="n">
        <v>0</v>
      </c>
      <c r="AD254" s="11" t="n">
        <v>0</v>
      </c>
      <c r="AE254" s="11" t="n">
        <v>1.968</v>
      </c>
      <c r="AF254" s="11" t="n">
        <v>0</v>
      </c>
      <c r="AG254" s="11" t="n">
        <v>0</v>
      </c>
      <c r="AH254" s="11" t="n">
        <f aca="false">SUM(AB254:AG254)</f>
        <v>1.968</v>
      </c>
    </row>
    <row r="255" customFormat="false" ht="15" hidden="false" customHeight="false" outlineLevel="2" collapsed="false">
      <c r="A255" s="8" t="s">
        <v>576</v>
      </c>
      <c r="B255" s="12" t="s">
        <v>577</v>
      </c>
      <c r="C255" s="8" t="s">
        <v>410</v>
      </c>
      <c r="D255" s="12" t="s">
        <v>411</v>
      </c>
      <c r="E255" s="16"/>
      <c r="F255" s="9" t="str">
        <f aca="false">IF($E255="","",IFERROR(INDEX(担当者マスタ!$B$2:$B$101,MATCH($E255,担当者マスタ!$A$2:$A$101,0)),"※マスタ未登録"))</f>
        <v/>
      </c>
      <c r="G255" s="11" t="n">
        <v>10.95</v>
      </c>
      <c r="H255" s="11" t="n">
        <v>49.4</v>
      </c>
      <c r="I255" s="11" t="n">
        <v>12.1</v>
      </c>
      <c r="J255" s="11" t="n">
        <v>0</v>
      </c>
      <c r="K255" s="11" t="n">
        <v>12.6</v>
      </c>
      <c r="L255" s="11" t="n">
        <v>0</v>
      </c>
      <c r="M255" s="11" t="n">
        <f aca="false">SUM(G255:L255)</f>
        <v>85.05</v>
      </c>
      <c r="N255" s="11" t="n">
        <v>3.63</v>
      </c>
      <c r="O255" s="11" t="n">
        <v>23.5</v>
      </c>
      <c r="P255" s="11" t="n">
        <v>5.88</v>
      </c>
      <c r="Q255" s="11" t="n">
        <v>0</v>
      </c>
      <c r="R255" s="11" t="n">
        <v>5.28</v>
      </c>
      <c r="S255" s="11" t="n">
        <v>0</v>
      </c>
      <c r="T255" s="11" t="n">
        <f aca="false">SUM(N255:S255)</f>
        <v>38.29</v>
      </c>
      <c r="U255" s="11" t="n">
        <v>0</v>
      </c>
      <c r="V255" s="11" t="n">
        <v>0</v>
      </c>
      <c r="W255" s="11" t="n">
        <v>62.13</v>
      </c>
      <c r="X255" s="11" t="n">
        <v>76.74</v>
      </c>
      <c r="Y255" s="11" t="n">
        <v>0</v>
      </c>
      <c r="Z255" s="11" t="n">
        <v>0</v>
      </c>
      <c r="AA255" s="11" t="n">
        <f aca="false">SUM(U255:Z255)</f>
        <v>138.87</v>
      </c>
      <c r="AB255" s="11" t="n">
        <v>0</v>
      </c>
      <c r="AC255" s="11" t="n">
        <v>0</v>
      </c>
      <c r="AD255" s="11" t="n">
        <v>28.058</v>
      </c>
      <c r="AE255" s="11" t="n">
        <v>34.88</v>
      </c>
      <c r="AF255" s="11" t="n">
        <v>0</v>
      </c>
      <c r="AG255" s="11" t="n">
        <v>0</v>
      </c>
      <c r="AH255" s="11" t="n">
        <f aca="false">SUM(AB255:AG255)</f>
        <v>62.938</v>
      </c>
    </row>
    <row r="256" customFormat="false" ht="15" hidden="false" customHeight="false" outlineLevel="2" collapsed="false">
      <c r="A256" s="8" t="s">
        <v>578</v>
      </c>
      <c r="B256" s="12" t="s">
        <v>579</v>
      </c>
      <c r="C256" s="8" t="s">
        <v>410</v>
      </c>
      <c r="D256" s="12" t="s">
        <v>411</v>
      </c>
      <c r="E256" s="16"/>
      <c r="F256" s="9" t="str">
        <f aca="false">IF($E256="","",IFERROR(INDEX(担当者マスタ!$B$2:$B$101,MATCH($E256,担当者マスタ!$A$2:$A$101,0)),"※マスタ未登録"))</f>
        <v/>
      </c>
      <c r="G256" s="11" t="n">
        <v>64.82</v>
      </c>
      <c r="H256" s="11" t="n">
        <v>7.5</v>
      </c>
      <c r="I256" s="11" t="n">
        <v>46.772</v>
      </c>
      <c r="J256" s="11" t="n">
        <v>6.2</v>
      </c>
      <c r="K256" s="11" t="n">
        <v>0</v>
      </c>
      <c r="L256" s="11" t="n">
        <v>0</v>
      </c>
      <c r="M256" s="11" t="n">
        <f aca="false">SUM(G256:L256)</f>
        <v>125.292</v>
      </c>
      <c r="N256" s="11" t="n">
        <v>17.004</v>
      </c>
      <c r="O256" s="11" t="n">
        <v>1.8</v>
      </c>
      <c r="P256" s="11" t="n">
        <v>13.496</v>
      </c>
      <c r="Q256" s="11" t="n">
        <v>1</v>
      </c>
      <c r="R256" s="11" t="n">
        <v>0</v>
      </c>
      <c r="S256" s="11" t="n">
        <v>0</v>
      </c>
      <c r="T256" s="11" t="n">
        <f aca="false">SUM(N256:S256)</f>
        <v>33.3</v>
      </c>
      <c r="U256" s="11" t="n">
        <v>36.9</v>
      </c>
      <c r="V256" s="11" t="n">
        <v>26.7</v>
      </c>
      <c r="W256" s="11" t="n">
        <v>9.3</v>
      </c>
      <c r="X256" s="11" t="n">
        <v>9.6</v>
      </c>
      <c r="Y256" s="11" t="n">
        <v>0</v>
      </c>
      <c r="Z256" s="11" t="n">
        <v>0</v>
      </c>
      <c r="AA256" s="11" t="n">
        <f aca="false">SUM(U256:Z256)</f>
        <v>82.5</v>
      </c>
      <c r="AB256" s="11" t="n">
        <v>9.84</v>
      </c>
      <c r="AC256" s="11" t="n">
        <v>7.469</v>
      </c>
      <c r="AD256" s="11" t="n">
        <v>2.4</v>
      </c>
      <c r="AE256" s="11" t="n">
        <v>2.37</v>
      </c>
      <c r="AF256" s="11" t="n">
        <v>0</v>
      </c>
      <c r="AG256" s="11" t="n">
        <v>0</v>
      </c>
      <c r="AH256" s="11" t="n">
        <f aca="false">SUM(AB256:AG256)</f>
        <v>22.079</v>
      </c>
    </row>
    <row r="257" customFormat="false" ht="15" hidden="false" customHeight="false" outlineLevel="2" collapsed="false">
      <c r="A257" s="8" t="s">
        <v>580</v>
      </c>
      <c r="B257" s="12" t="s">
        <v>581</v>
      </c>
      <c r="C257" s="8" t="s">
        <v>410</v>
      </c>
      <c r="D257" s="12" t="s">
        <v>411</v>
      </c>
      <c r="E257" s="16"/>
      <c r="F257" s="9" t="str">
        <f aca="false">IF($E257="","",IFERROR(INDEX(担当者マスタ!$B$2:$B$101,MATCH($E257,担当者マスタ!$A$2:$A$101,0)),"※マスタ未登録"))</f>
        <v/>
      </c>
      <c r="G257" s="11" t="n">
        <v>9.6</v>
      </c>
      <c r="H257" s="11" t="n">
        <v>87.2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f aca="false">SUM(G257:L257)</f>
        <v>96.8</v>
      </c>
      <c r="N257" s="11" t="n">
        <v>2.4</v>
      </c>
      <c r="O257" s="11" t="n">
        <v>21.82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f aca="false">SUM(N257:S257)</f>
        <v>24.22</v>
      </c>
      <c r="U257" s="11" t="n">
        <v>186.5</v>
      </c>
      <c r="V257" s="11" t="n">
        <v>255.6</v>
      </c>
      <c r="W257" s="11" t="n">
        <v>0</v>
      </c>
      <c r="X257" s="11" t="n">
        <v>0</v>
      </c>
      <c r="Y257" s="11" t="n">
        <v>0</v>
      </c>
      <c r="Z257" s="11" t="n">
        <v>0</v>
      </c>
      <c r="AA257" s="11" t="n">
        <f aca="false">SUM(U257:Z257)</f>
        <v>442.1</v>
      </c>
      <c r="AB257" s="11" t="n">
        <v>30.9</v>
      </c>
      <c r="AC257" s="11" t="n">
        <v>70.38</v>
      </c>
      <c r="AD257" s="11" t="n">
        <v>0</v>
      </c>
      <c r="AE257" s="11" t="n">
        <v>0</v>
      </c>
      <c r="AF257" s="11" t="n">
        <v>0</v>
      </c>
      <c r="AG257" s="11" t="n">
        <v>0</v>
      </c>
      <c r="AH257" s="11" t="n">
        <f aca="false">SUM(AB257:AG257)</f>
        <v>101.28</v>
      </c>
    </row>
    <row r="258" customFormat="false" ht="15" hidden="false" customHeight="false" outlineLevel="2" collapsed="false">
      <c r="A258" s="8" t="s">
        <v>582</v>
      </c>
      <c r="B258" s="12" t="s">
        <v>583</v>
      </c>
      <c r="C258" s="8" t="s">
        <v>410</v>
      </c>
      <c r="D258" s="12" t="s">
        <v>411</v>
      </c>
      <c r="E258" s="16"/>
      <c r="F258" s="9" t="str">
        <f aca="false">IF($E258="","",IFERROR(INDEX(担当者マスタ!$B$2:$B$101,MATCH($E258,担当者マスタ!$A$2:$A$101,0)),"※マスタ未登録"))</f>
        <v/>
      </c>
      <c r="G258" s="11" t="n">
        <v>0</v>
      </c>
      <c r="H258" s="11" t="n">
        <v>0</v>
      </c>
      <c r="I258" s="11" t="n">
        <v>0</v>
      </c>
      <c r="J258" s="11" t="n">
        <v>148.5</v>
      </c>
      <c r="K258" s="11" t="n">
        <v>0</v>
      </c>
      <c r="L258" s="11" t="n">
        <v>118</v>
      </c>
      <c r="M258" s="11" t="n">
        <f aca="false">SUM(G258:L258)</f>
        <v>266.5</v>
      </c>
      <c r="N258" s="11" t="n">
        <v>0</v>
      </c>
      <c r="O258" s="11" t="n">
        <v>0</v>
      </c>
      <c r="P258" s="11" t="n">
        <v>0</v>
      </c>
      <c r="Q258" s="11" t="n">
        <v>37.25</v>
      </c>
      <c r="R258" s="11" t="n">
        <v>0</v>
      </c>
      <c r="S258" s="11" t="n">
        <v>29.8</v>
      </c>
      <c r="T258" s="11" t="n">
        <f aca="false">SUM(N258:S258)</f>
        <v>67.05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f aca="false">SUM(U258:Z258)</f>
        <v>0</v>
      </c>
      <c r="AB258" s="11" t="n">
        <v>0</v>
      </c>
      <c r="AC258" s="11" t="n">
        <v>0</v>
      </c>
      <c r="AD258" s="11" t="n">
        <v>0</v>
      </c>
      <c r="AE258" s="11" t="n">
        <v>0</v>
      </c>
      <c r="AF258" s="11" t="n">
        <v>0</v>
      </c>
      <c r="AG258" s="11" t="n">
        <v>0</v>
      </c>
      <c r="AH258" s="11" t="n">
        <f aca="false">SUM(AB258:AG258)</f>
        <v>0</v>
      </c>
    </row>
    <row r="259" customFormat="false" ht="15" hidden="false" customHeight="false" outlineLevel="2" collapsed="false">
      <c r="A259" s="8" t="s">
        <v>584</v>
      </c>
      <c r="B259" s="9" t="s">
        <v>585</v>
      </c>
      <c r="C259" s="8" t="s">
        <v>410</v>
      </c>
      <c r="D259" s="12" t="s">
        <v>411</v>
      </c>
      <c r="E259" s="16"/>
      <c r="F259" s="9" t="str">
        <f aca="false">IF($E259="","",IFERROR(INDEX(担当者マスタ!$B$2:$B$101,MATCH($E259,担当者マスタ!$A$2:$A$101,0)),"※マスタ未登録"))</f>
        <v/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f aca="false">SUM(G259:L259)</f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f aca="false">SUM(N259:S259)</f>
        <v>0</v>
      </c>
      <c r="U259" s="11" t="n">
        <v>217.13</v>
      </c>
      <c r="V259" s="11" t="n">
        <v>232.168</v>
      </c>
      <c r="W259" s="11" t="n">
        <v>497.134</v>
      </c>
      <c r="X259" s="11" t="n">
        <v>401.502</v>
      </c>
      <c r="Y259" s="11" t="n">
        <v>342.684</v>
      </c>
      <c r="Z259" s="11" t="n">
        <v>413.37</v>
      </c>
      <c r="AA259" s="11" t="n">
        <f aca="false">SUM(U259:Z259)</f>
        <v>2103.988</v>
      </c>
      <c r="AB259" s="11" t="n">
        <v>41.249</v>
      </c>
      <c r="AC259" s="11" t="n">
        <v>41.703</v>
      </c>
      <c r="AD259" s="11" t="n">
        <v>90.081</v>
      </c>
      <c r="AE259" s="11" t="n">
        <v>69.151</v>
      </c>
      <c r="AF259" s="11" t="n">
        <v>68.212</v>
      </c>
      <c r="AG259" s="11" t="n">
        <v>87.396</v>
      </c>
      <c r="AH259" s="11" t="n">
        <f aca="false">SUM(AB259:AG259)</f>
        <v>397.792</v>
      </c>
    </row>
    <row r="260" customFormat="false" ht="15" hidden="false" customHeight="false" outlineLevel="2" collapsed="false">
      <c r="A260" s="8" t="s">
        <v>586</v>
      </c>
      <c r="B260" s="12" t="s">
        <v>587</v>
      </c>
      <c r="C260" s="8" t="s">
        <v>410</v>
      </c>
      <c r="D260" s="12" t="s">
        <v>411</v>
      </c>
      <c r="E260" s="16"/>
      <c r="F260" s="9" t="str">
        <f aca="false">IF($E260="","",IFERROR(INDEX(担当者マスタ!$B$2:$B$101,MATCH($E260,担当者マスタ!$A$2:$A$101,0)),"※マスタ未登録"))</f>
        <v/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f aca="false">SUM(G260:L260)</f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f aca="false">SUM(N260:S260)</f>
        <v>0</v>
      </c>
      <c r="U260" s="11" t="n">
        <v>30.4</v>
      </c>
      <c r="V260" s="11" t="n">
        <v>30.4</v>
      </c>
      <c r="W260" s="11" t="n">
        <v>15.2</v>
      </c>
      <c r="X260" s="11" t="n">
        <v>30.4</v>
      </c>
      <c r="Y260" s="11" t="n">
        <v>30.4</v>
      </c>
      <c r="Z260" s="11" t="n">
        <v>30.4</v>
      </c>
      <c r="AA260" s="11" t="n">
        <f aca="false">SUM(U260:Z260)</f>
        <v>167.2</v>
      </c>
      <c r="AB260" s="11" t="n">
        <v>3.54</v>
      </c>
      <c r="AC260" s="11" t="n">
        <v>3.54</v>
      </c>
      <c r="AD260" s="11" t="n">
        <v>1.77</v>
      </c>
      <c r="AE260" s="11" t="n">
        <v>3.54</v>
      </c>
      <c r="AF260" s="11" t="n">
        <v>3.54</v>
      </c>
      <c r="AG260" s="11" t="n">
        <v>3.54</v>
      </c>
      <c r="AH260" s="11" t="n">
        <f aca="false">SUM(AB260:AG260)</f>
        <v>19.47</v>
      </c>
    </row>
    <row r="261" customFormat="false" ht="15" hidden="false" customHeight="false" outlineLevel="2" collapsed="false">
      <c r="A261" s="8" t="s">
        <v>588</v>
      </c>
      <c r="B261" s="12" t="s">
        <v>589</v>
      </c>
      <c r="C261" s="8" t="s">
        <v>410</v>
      </c>
      <c r="D261" s="12" t="s">
        <v>411</v>
      </c>
      <c r="E261" s="16"/>
      <c r="F261" s="9" t="str">
        <f aca="false">IF($E261="","",IFERROR(INDEX(担当者マスタ!$B$2:$B$101,MATCH($E261,担当者マスタ!$A$2:$A$101,0)),"※マスタ未登録"))</f>
        <v/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f aca="false">SUM(G261:L261)</f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f aca="false">SUM(N261:S261)</f>
        <v>0</v>
      </c>
      <c r="U261" s="11" t="n">
        <v>0</v>
      </c>
      <c r="V261" s="11" t="n">
        <v>89.712</v>
      </c>
      <c r="W261" s="11" t="n">
        <v>0</v>
      </c>
      <c r="X261" s="11" t="n">
        <v>0</v>
      </c>
      <c r="Y261" s="11" t="n">
        <v>0</v>
      </c>
      <c r="Z261" s="11" t="n">
        <v>269.136</v>
      </c>
      <c r="AA261" s="11" t="n">
        <f aca="false">SUM(U261:Z261)</f>
        <v>358.848</v>
      </c>
      <c r="AB261" s="11" t="n">
        <v>0</v>
      </c>
      <c r="AC261" s="11" t="n">
        <v>11.6827</v>
      </c>
      <c r="AD261" s="11" t="n">
        <v>0</v>
      </c>
      <c r="AE261" s="11" t="n">
        <v>0</v>
      </c>
      <c r="AF261" s="11" t="n">
        <v>0</v>
      </c>
      <c r="AG261" s="11" t="n">
        <v>35.0482</v>
      </c>
      <c r="AH261" s="11" t="n">
        <f aca="false">SUM(AB261:AG261)</f>
        <v>46.7309</v>
      </c>
    </row>
    <row r="262" customFormat="false" ht="15" hidden="false" customHeight="false" outlineLevel="2" collapsed="false">
      <c r="A262" s="8" t="s">
        <v>590</v>
      </c>
      <c r="B262" s="12" t="s">
        <v>591</v>
      </c>
      <c r="C262" s="8" t="s">
        <v>410</v>
      </c>
      <c r="D262" s="12" t="s">
        <v>411</v>
      </c>
      <c r="E262" s="16"/>
      <c r="F262" s="9" t="str">
        <f aca="false">IF($E262="","",IFERROR(INDEX(担当者マスタ!$B$2:$B$101,MATCH($E262,担当者マスタ!$A$2:$A$101,0)),"※マスタ未登録"))</f>
        <v/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f aca="false">SUM(G262:L262)</f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f aca="false">SUM(N262:S262)</f>
        <v>0</v>
      </c>
      <c r="U262" s="11" t="n">
        <v>0</v>
      </c>
      <c r="V262" s="11" t="n">
        <v>0</v>
      </c>
      <c r="W262" s="11" t="n">
        <v>5.28</v>
      </c>
      <c r="X262" s="11" t="n">
        <v>3.96</v>
      </c>
      <c r="Y262" s="11" t="n">
        <v>17.424</v>
      </c>
      <c r="Z262" s="11" t="n">
        <v>14.784</v>
      </c>
      <c r="AA262" s="11" t="n">
        <f aca="false">SUM(U262:Z262)</f>
        <v>41.448</v>
      </c>
      <c r="AB262" s="11" t="n">
        <v>0</v>
      </c>
      <c r="AC262" s="11" t="n">
        <v>0</v>
      </c>
      <c r="AD262" s="11" t="n">
        <v>0.96</v>
      </c>
      <c r="AE262" s="11" t="n">
        <v>0.72</v>
      </c>
      <c r="AF262" s="11" t="n">
        <v>3.924</v>
      </c>
      <c r="AG262" s="11" t="n">
        <v>2.904</v>
      </c>
      <c r="AH262" s="11" t="n">
        <f aca="false">SUM(AB262:AG262)</f>
        <v>8.508</v>
      </c>
    </row>
    <row r="263" customFormat="false" ht="15" hidden="false" customHeight="false" outlineLevel="2" collapsed="false">
      <c r="A263" s="8" t="s">
        <v>592</v>
      </c>
      <c r="B263" s="9" t="s">
        <v>593</v>
      </c>
      <c r="C263" s="8" t="s">
        <v>410</v>
      </c>
      <c r="D263" s="12" t="s">
        <v>411</v>
      </c>
      <c r="E263" s="16"/>
      <c r="F263" s="9" t="str">
        <f aca="false">IF($E263="","",IFERROR(INDEX(担当者マスタ!$B$2:$B$101,MATCH($E263,担当者マスタ!$A$2:$A$101,0)),"※マスタ未登録"))</f>
        <v/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f aca="false">SUM(G263:L263)</f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f aca="false">SUM(N263:S263)</f>
        <v>0</v>
      </c>
      <c r="U263" s="11" t="n">
        <v>64.949</v>
      </c>
      <c r="V263" s="11" t="n">
        <v>0</v>
      </c>
      <c r="W263" s="11" t="n">
        <v>0</v>
      </c>
      <c r="X263" s="11" t="n">
        <v>0</v>
      </c>
      <c r="Y263" s="11" t="n">
        <v>0</v>
      </c>
      <c r="Z263" s="11" t="n">
        <v>0</v>
      </c>
      <c r="AA263" s="11" t="n">
        <f aca="false">SUM(U263:Z263)</f>
        <v>64.949</v>
      </c>
      <c r="AB263" s="11" t="n">
        <v>8.454</v>
      </c>
      <c r="AC263" s="11" t="n">
        <v>0</v>
      </c>
      <c r="AD263" s="11" t="n">
        <v>0</v>
      </c>
      <c r="AE263" s="11" t="n">
        <v>0</v>
      </c>
      <c r="AF263" s="11" t="n">
        <v>0</v>
      </c>
      <c r="AG263" s="11" t="n">
        <v>0</v>
      </c>
      <c r="AH263" s="11" t="n">
        <f aca="false">SUM(AB263:AG263)</f>
        <v>8.454</v>
      </c>
    </row>
    <row r="264" customFormat="false" ht="15" hidden="false" customHeight="false" outlineLevel="2" collapsed="false">
      <c r="A264" s="8" t="s">
        <v>594</v>
      </c>
      <c r="B264" s="12" t="s">
        <v>595</v>
      </c>
      <c r="C264" s="8" t="s">
        <v>410</v>
      </c>
      <c r="D264" s="12" t="s">
        <v>411</v>
      </c>
      <c r="E264" s="16"/>
      <c r="F264" s="9" t="str">
        <f aca="false">IF($E264="","",IFERROR(INDEX(担当者マスタ!$B$2:$B$101,MATCH($E264,担当者マスタ!$A$2:$A$101,0)),"※マスタ未登録"))</f>
        <v/>
      </c>
      <c r="G264" s="11" t="n">
        <v>0</v>
      </c>
      <c r="H264" s="11" t="n">
        <v>0</v>
      </c>
      <c r="I264" s="11" t="n">
        <v>115</v>
      </c>
      <c r="J264" s="11" t="n">
        <v>0</v>
      </c>
      <c r="K264" s="11" t="n">
        <v>0</v>
      </c>
      <c r="L264" s="11" t="n">
        <v>0</v>
      </c>
      <c r="M264" s="11" t="n">
        <f aca="false">SUM(G264:L264)</f>
        <v>115</v>
      </c>
      <c r="N264" s="11" t="n">
        <v>0</v>
      </c>
      <c r="O264" s="11" t="n">
        <v>0</v>
      </c>
      <c r="P264" s="11" t="n">
        <v>20.36</v>
      </c>
      <c r="Q264" s="11" t="n">
        <v>0</v>
      </c>
      <c r="R264" s="11" t="n">
        <v>0</v>
      </c>
      <c r="S264" s="11" t="n">
        <v>0</v>
      </c>
      <c r="T264" s="11" t="n">
        <f aca="false">SUM(N264:S264)</f>
        <v>20.36</v>
      </c>
      <c r="U264" s="11" t="n">
        <v>0</v>
      </c>
      <c r="V264" s="11" t="n">
        <v>0</v>
      </c>
      <c r="W264" s="11" t="n">
        <v>0</v>
      </c>
      <c r="X264" s="11" t="n">
        <v>137.7</v>
      </c>
      <c r="Y264" s="11" t="n">
        <v>143.85</v>
      </c>
      <c r="Z264" s="11" t="n">
        <v>0</v>
      </c>
      <c r="AA264" s="11" t="n">
        <f aca="false">SUM(U264:Z264)</f>
        <v>281.55</v>
      </c>
      <c r="AB264" s="11" t="n">
        <v>0</v>
      </c>
      <c r="AC264" s="11" t="n">
        <v>0</v>
      </c>
      <c r="AD264" s="11" t="n">
        <v>0</v>
      </c>
      <c r="AE264" s="11" t="n">
        <v>24.03</v>
      </c>
      <c r="AF264" s="11" t="n">
        <v>28.35</v>
      </c>
      <c r="AG264" s="11" t="n">
        <v>0</v>
      </c>
      <c r="AH264" s="11" t="n">
        <f aca="false">SUM(AB264:AG264)</f>
        <v>52.38</v>
      </c>
    </row>
    <row r="265" customFormat="false" ht="15" hidden="false" customHeight="false" outlineLevel="2" collapsed="false">
      <c r="A265" s="8" t="s">
        <v>596</v>
      </c>
      <c r="B265" s="12" t="s">
        <v>597</v>
      </c>
      <c r="C265" s="8" t="s">
        <v>410</v>
      </c>
      <c r="D265" s="12" t="s">
        <v>411</v>
      </c>
      <c r="E265" s="16"/>
      <c r="F265" s="9" t="str">
        <f aca="false">IF($E265="","",IFERROR(INDEX(担当者マスタ!$B$2:$B$101,MATCH($E265,担当者マスタ!$A$2:$A$101,0)),"※マスタ未登録"))</f>
        <v/>
      </c>
      <c r="G265" s="11" t="n">
        <v>972.46</v>
      </c>
      <c r="H265" s="11" t="n">
        <v>772.49</v>
      </c>
      <c r="I265" s="11" t="n">
        <v>853.48</v>
      </c>
      <c r="J265" s="11" t="n">
        <v>506.23</v>
      </c>
      <c r="K265" s="11" t="n">
        <v>858.27</v>
      </c>
      <c r="L265" s="11" t="n">
        <v>780.826</v>
      </c>
      <c r="M265" s="11" t="n">
        <f aca="false">SUM(G265:L265)</f>
        <v>4743.756</v>
      </c>
      <c r="N265" s="11" t="n">
        <v>176.455</v>
      </c>
      <c r="O265" s="11" t="n">
        <v>129.395</v>
      </c>
      <c r="P265" s="11" t="n">
        <v>152.96</v>
      </c>
      <c r="Q265" s="11" t="n">
        <v>90.885</v>
      </c>
      <c r="R265" s="11" t="n">
        <v>125.685</v>
      </c>
      <c r="S265" s="11" t="n">
        <v>136.607</v>
      </c>
      <c r="T265" s="11" t="n">
        <f aca="false">SUM(N265:S265)</f>
        <v>811.987</v>
      </c>
      <c r="U265" s="11" t="n">
        <v>767.26</v>
      </c>
      <c r="V265" s="11" t="n">
        <v>865.17</v>
      </c>
      <c r="W265" s="11" t="n">
        <v>682.72</v>
      </c>
      <c r="X265" s="11" t="n">
        <v>733.58</v>
      </c>
      <c r="Y265" s="11" t="n">
        <v>579.66</v>
      </c>
      <c r="Z265" s="11" t="n">
        <v>580.42</v>
      </c>
      <c r="AA265" s="11" t="n">
        <f aca="false">SUM(U265:Z265)</f>
        <v>4208.81</v>
      </c>
      <c r="AB265" s="11" t="n">
        <v>139.46</v>
      </c>
      <c r="AC265" s="11" t="n">
        <v>196.085</v>
      </c>
      <c r="AD265" s="11" t="n">
        <v>125.38</v>
      </c>
      <c r="AE265" s="11" t="n">
        <v>132.27</v>
      </c>
      <c r="AF265" s="11" t="n">
        <v>99.59</v>
      </c>
      <c r="AG265" s="11" t="n">
        <v>100.72</v>
      </c>
      <c r="AH265" s="11" t="n">
        <f aca="false">SUM(AB265:AG265)</f>
        <v>793.505</v>
      </c>
    </row>
    <row r="266" customFormat="false" ht="15" hidden="false" customHeight="false" outlineLevel="2" collapsed="false">
      <c r="A266" s="8" t="s">
        <v>598</v>
      </c>
      <c r="B266" s="12" t="s">
        <v>599</v>
      </c>
      <c r="C266" s="8" t="s">
        <v>410</v>
      </c>
      <c r="D266" s="12" t="s">
        <v>411</v>
      </c>
      <c r="E266" s="16"/>
      <c r="F266" s="9" t="str">
        <f aca="false">IF($E266="","",IFERROR(INDEX(担当者マスタ!$B$2:$B$101,MATCH($E266,担当者マスタ!$A$2:$A$101,0)),"※マスタ未登録"))</f>
        <v/>
      </c>
      <c r="G266" s="11" t="n">
        <v>67.95</v>
      </c>
      <c r="H266" s="11" t="n">
        <v>44</v>
      </c>
      <c r="I266" s="11" t="n">
        <v>59.25</v>
      </c>
      <c r="J266" s="11" t="n">
        <v>71.75</v>
      </c>
      <c r="K266" s="11" t="n">
        <v>103.25</v>
      </c>
      <c r="L266" s="11" t="n">
        <v>21.5</v>
      </c>
      <c r="M266" s="11" t="n">
        <f aca="false">SUM(G266:L266)</f>
        <v>367.7</v>
      </c>
      <c r="N266" s="11" t="n">
        <v>13.75</v>
      </c>
      <c r="O266" s="11" t="n">
        <v>8.9</v>
      </c>
      <c r="P266" s="11" t="n">
        <v>11.87</v>
      </c>
      <c r="Q266" s="11" t="n">
        <v>14.4</v>
      </c>
      <c r="R266" s="11" t="n">
        <v>21.87</v>
      </c>
      <c r="S266" s="11" t="n">
        <v>4.02</v>
      </c>
      <c r="T266" s="11" t="n">
        <f aca="false">SUM(N266:S266)</f>
        <v>74.81</v>
      </c>
      <c r="U266" s="11" t="n">
        <v>96.25</v>
      </c>
      <c r="V266" s="11" t="n">
        <v>46.25</v>
      </c>
      <c r="W266" s="11" t="n">
        <v>120.2</v>
      </c>
      <c r="X266" s="11" t="n">
        <v>127.75</v>
      </c>
      <c r="Y266" s="11" t="n">
        <v>127.45</v>
      </c>
      <c r="Z266" s="11" t="n">
        <v>166.55</v>
      </c>
      <c r="AA266" s="11" t="n">
        <f aca="false">SUM(U266:Z266)</f>
        <v>684.45</v>
      </c>
      <c r="AB266" s="11" t="n">
        <v>22.45</v>
      </c>
      <c r="AC266" s="11" t="n">
        <v>9.45</v>
      </c>
      <c r="AD266" s="11" t="n">
        <v>22.92</v>
      </c>
      <c r="AE266" s="11" t="n">
        <v>26.55</v>
      </c>
      <c r="AF266" s="11" t="n">
        <v>28.125</v>
      </c>
      <c r="AG266" s="11" t="n">
        <v>32.145</v>
      </c>
      <c r="AH266" s="11" t="n">
        <f aca="false">SUM(AB266:AG266)</f>
        <v>141.64</v>
      </c>
    </row>
    <row r="267" customFormat="false" ht="15" hidden="false" customHeight="false" outlineLevel="2" collapsed="false">
      <c r="A267" s="8" t="s">
        <v>600</v>
      </c>
      <c r="B267" s="12" t="s">
        <v>601</v>
      </c>
      <c r="C267" s="8" t="s">
        <v>410</v>
      </c>
      <c r="D267" s="12" t="s">
        <v>411</v>
      </c>
      <c r="E267" s="16"/>
      <c r="F267" s="9" t="str">
        <f aca="false">IF($E267="","",IFERROR(INDEX(担当者マスタ!$B$2:$B$101,MATCH($E267,担当者マスタ!$A$2:$A$101,0)),"※マスタ未登録"))</f>
        <v/>
      </c>
      <c r="G267" s="11" t="n">
        <v>245.384</v>
      </c>
      <c r="H267" s="11" t="n">
        <v>301.75</v>
      </c>
      <c r="I267" s="11" t="n">
        <v>183.6</v>
      </c>
      <c r="J267" s="11" t="n">
        <v>269.6</v>
      </c>
      <c r="K267" s="11" t="n">
        <v>347.35</v>
      </c>
      <c r="L267" s="11" t="n">
        <v>177.4</v>
      </c>
      <c r="M267" s="11" t="n">
        <f aca="false">SUM(G267:L267)</f>
        <v>1525.084</v>
      </c>
      <c r="N267" s="11" t="n">
        <v>71.228</v>
      </c>
      <c r="O267" s="11" t="n">
        <v>110.038</v>
      </c>
      <c r="P267" s="11" t="n">
        <v>59.4</v>
      </c>
      <c r="Q267" s="11" t="n">
        <v>102.4</v>
      </c>
      <c r="R267" s="11" t="n">
        <v>115.738</v>
      </c>
      <c r="S267" s="11" t="n">
        <v>66.3</v>
      </c>
      <c r="T267" s="11" t="n">
        <f aca="false">SUM(N267:S267)</f>
        <v>525.104</v>
      </c>
      <c r="U267" s="11" t="n">
        <v>346.35</v>
      </c>
      <c r="V267" s="11" t="n">
        <v>291.55</v>
      </c>
      <c r="W267" s="11" t="n">
        <v>401.21</v>
      </c>
      <c r="X267" s="11" t="n">
        <v>344.7</v>
      </c>
      <c r="Y267" s="11" t="n">
        <v>273.3</v>
      </c>
      <c r="Z267" s="11" t="n">
        <v>361.22</v>
      </c>
      <c r="AA267" s="11" t="n">
        <f aca="false">SUM(U267:Z267)</f>
        <v>2018.33</v>
      </c>
      <c r="AB267" s="11" t="n">
        <v>132.238</v>
      </c>
      <c r="AC267" s="11" t="n">
        <v>102.638</v>
      </c>
      <c r="AD267" s="11" t="n">
        <v>136.742</v>
      </c>
      <c r="AE267" s="11" t="n">
        <v>139.5</v>
      </c>
      <c r="AF267" s="11" t="n">
        <v>110.5</v>
      </c>
      <c r="AG267" s="11" t="n">
        <v>125.188</v>
      </c>
      <c r="AH267" s="11" t="n">
        <f aca="false">SUM(AB267:AG267)</f>
        <v>746.806</v>
      </c>
    </row>
    <row r="268" customFormat="false" ht="15" hidden="false" customHeight="false" outlineLevel="2" collapsed="false">
      <c r="A268" s="8" t="s">
        <v>602</v>
      </c>
      <c r="B268" s="12" t="s">
        <v>603</v>
      </c>
      <c r="C268" s="8" t="s">
        <v>410</v>
      </c>
      <c r="D268" s="12" t="s">
        <v>411</v>
      </c>
      <c r="E268" s="16"/>
      <c r="F268" s="9" t="str">
        <f aca="false">IF($E268="","",IFERROR(INDEX(担当者マスタ!$B$2:$B$101,MATCH($E268,担当者マスタ!$A$2:$A$101,0)),"※マスタ未登録"))</f>
        <v/>
      </c>
      <c r="G268" s="11" t="n">
        <v>103.76</v>
      </c>
      <c r="H268" s="11" t="n">
        <v>122.52</v>
      </c>
      <c r="I268" s="11" t="n">
        <v>111.44</v>
      </c>
      <c r="J268" s="11" t="n">
        <v>75.4</v>
      </c>
      <c r="K268" s="11" t="n">
        <v>137.9</v>
      </c>
      <c r="L268" s="11" t="n">
        <v>95.8</v>
      </c>
      <c r="M268" s="11" t="n">
        <f aca="false">SUM(G268:L268)</f>
        <v>646.82</v>
      </c>
      <c r="N268" s="11" t="n">
        <v>38.635</v>
      </c>
      <c r="O268" s="11" t="n">
        <v>46.32</v>
      </c>
      <c r="P268" s="11" t="n">
        <v>41.915</v>
      </c>
      <c r="Q268" s="11" t="n">
        <v>26.425</v>
      </c>
      <c r="R268" s="11" t="n">
        <v>47.65</v>
      </c>
      <c r="S268" s="11" t="n">
        <v>30.175</v>
      </c>
      <c r="T268" s="11" t="n">
        <f aca="false">SUM(N268:S268)</f>
        <v>231.12</v>
      </c>
      <c r="U268" s="11" t="n">
        <v>101.6</v>
      </c>
      <c r="V268" s="11" t="n">
        <v>85.2</v>
      </c>
      <c r="W268" s="11" t="n">
        <v>91.8</v>
      </c>
      <c r="X268" s="11" t="n">
        <v>68.8</v>
      </c>
      <c r="Y268" s="11" t="n">
        <v>81.8</v>
      </c>
      <c r="Z268" s="11" t="n">
        <v>150.8</v>
      </c>
      <c r="AA268" s="11" t="n">
        <f aca="false">SUM(U268:Z268)</f>
        <v>580</v>
      </c>
      <c r="AB268" s="11" t="n">
        <v>30.275</v>
      </c>
      <c r="AC268" s="11" t="n">
        <v>25.4</v>
      </c>
      <c r="AD268" s="11" t="n">
        <v>27.325</v>
      </c>
      <c r="AE268" s="11" t="n">
        <v>20.525</v>
      </c>
      <c r="AF268" s="11" t="n">
        <v>24.5</v>
      </c>
      <c r="AG268" s="11" t="n">
        <v>44.9</v>
      </c>
      <c r="AH268" s="11" t="n">
        <f aca="false">SUM(AB268:AG268)</f>
        <v>172.925</v>
      </c>
    </row>
    <row r="269" customFormat="false" ht="15" hidden="false" customHeight="false" outlineLevel="2" collapsed="false">
      <c r="A269" s="8" t="s">
        <v>604</v>
      </c>
      <c r="B269" s="12" t="s">
        <v>605</v>
      </c>
      <c r="C269" s="8" t="s">
        <v>410</v>
      </c>
      <c r="D269" s="12" t="s">
        <v>411</v>
      </c>
      <c r="E269" s="16"/>
      <c r="F269" s="9" t="str">
        <f aca="false">IF($E269="","",IFERROR(INDEX(担当者マスタ!$B$2:$B$101,MATCH($E269,担当者マスタ!$A$2:$A$101,0)),"※マスタ未登録"))</f>
        <v/>
      </c>
      <c r="G269" s="11" t="n">
        <v>110.15</v>
      </c>
      <c r="H269" s="11" t="n">
        <v>139.776</v>
      </c>
      <c r="I269" s="11" t="n">
        <v>141.96</v>
      </c>
      <c r="J269" s="11" t="n">
        <v>132.2</v>
      </c>
      <c r="K269" s="11" t="n">
        <v>94.3</v>
      </c>
      <c r="L269" s="11" t="n">
        <v>0</v>
      </c>
      <c r="M269" s="11" t="n">
        <f aca="false">SUM(G269:L269)</f>
        <v>618.386</v>
      </c>
      <c r="N269" s="11" t="n">
        <v>34.9</v>
      </c>
      <c r="O269" s="11" t="n">
        <v>18.2247</v>
      </c>
      <c r="P269" s="11" t="n">
        <v>30.57</v>
      </c>
      <c r="Q269" s="11" t="n">
        <v>37.2</v>
      </c>
      <c r="R269" s="11" t="n">
        <v>20.26</v>
      </c>
      <c r="S269" s="11" t="n">
        <v>0</v>
      </c>
      <c r="T269" s="11" t="n">
        <f aca="false">SUM(N269:S269)</f>
        <v>141.1547</v>
      </c>
      <c r="U269" s="11" t="n">
        <v>82.7</v>
      </c>
      <c r="V269" s="11" t="n">
        <v>36.84</v>
      </c>
      <c r="W269" s="11" t="n">
        <v>338.201</v>
      </c>
      <c r="X269" s="11" t="n">
        <v>220.936</v>
      </c>
      <c r="Y269" s="11" t="n">
        <v>149.4</v>
      </c>
      <c r="Z269" s="11" t="n">
        <v>105.42</v>
      </c>
      <c r="AA269" s="11" t="n">
        <f aca="false">SUM(U269:Z269)</f>
        <v>933.497</v>
      </c>
      <c r="AB269" s="11" t="n">
        <v>22.3</v>
      </c>
      <c r="AC269" s="11" t="n">
        <v>9.79</v>
      </c>
      <c r="AD269" s="11" t="n">
        <v>109.566</v>
      </c>
      <c r="AE269" s="11" t="n">
        <v>53.96</v>
      </c>
      <c r="AF269" s="11" t="n">
        <v>47.05</v>
      </c>
      <c r="AG269" s="11" t="n">
        <v>30.88</v>
      </c>
      <c r="AH269" s="11" t="n">
        <f aca="false">SUM(AB269:AG269)</f>
        <v>273.546</v>
      </c>
    </row>
    <row r="270" customFormat="false" ht="15" hidden="false" customHeight="false" outlineLevel="2" collapsed="false">
      <c r="A270" s="8" t="s">
        <v>606</v>
      </c>
      <c r="B270" s="12" t="s">
        <v>607</v>
      </c>
      <c r="C270" s="8" t="s">
        <v>410</v>
      </c>
      <c r="D270" s="12" t="s">
        <v>411</v>
      </c>
      <c r="E270" s="16"/>
      <c r="F270" s="9" t="str">
        <f aca="false">IF($E270="","",IFERROR(INDEX(担当者マスタ!$B$2:$B$101,MATCH($E270,担当者マスタ!$A$2:$A$101,0)),"※マスタ未登録"))</f>
        <v/>
      </c>
      <c r="G270" s="11" t="n">
        <v>24.7</v>
      </c>
      <c r="H270" s="11" t="n">
        <v>24.7</v>
      </c>
      <c r="I270" s="11" t="n">
        <v>0</v>
      </c>
      <c r="J270" s="11" t="n">
        <v>24.7</v>
      </c>
      <c r="K270" s="11" t="n">
        <v>24.7</v>
      </c>
      <c r="L270" s="11" t="n">
        <v>56.8</v>
      </c>
      <c r="M270" s="11" t="n">
        <f aca="false">SUM(G270:L270)</f>
        <v>155.6</v>
      </c>
      <c r="N270" s="11" t="n">
        <v>5.72</v>
      </c>
      <c r="O270" s="11" t="n">
        <v>5.72</v>
      </c>
      <c r="P270" s="11" t="n">
        <v>0</v>
      </c>
      <c r="Q270" s="11" t="n">
        <v>5.72</v>
      </c>
      <c r="R270" s="11" t="n">
        <v>3.58</v>
      </c>
      <c r="S270" s="11" t="n">
        <v>14.56</v>
      </c>
      <c r="T270" s="11" t="n">
        <f aca="false">SUM(N270:S270)</f>
        <v>35.3</v>
      </c>
      <c r="U270" s="11" t="n">
        <v>0</v>
      </c>
      <c r="V270" s="11" t="n">
        <v>0</v>
      </c>
      <c r="W270" s="11" t="n">
        <v>28.4</v>
      </c>
      <c r="X270" s="11" t="n">
        <v>0</v>
      </c>
      <c r="Y270" s="11" t="n">
        <v>28.4</v>
      </c>
      <c r="Z270" s="11" t="n">
        <v>0</v>
      </c>
      <c r="AA270" s="11" t="n">
        <f aca="false">SUM(U270:Z270)</f>
        <v>56.8</v>
      </c>
      <c r="AB270" s="11" t="n">
        <v>0</v>
      </c>
      <c r="AC270" s="11" t="n">
        <v>0</v>
      </c>
      <c r="AD270" s="11" t="n">
        <v>7.28</v>
      </c>
      <c r="AE270" s="11" t="n">
        <v>0</v>
      </c>
      <c r="AF270" s="11" t="n">
        <v>7.28</v>
      </c>
      <c r="AG270" s="11" t="n">
        <v>0</v>
      </c>
      <c r="AH270" s="11" t="n">
        <f aca="false">SUM(AB270:AG270)</f>
        <v>14.56</v>
      </c>
    </row>
    <row r="271" customFormat="false" ht="15" hidden="false" customHeight="false" outlineLevel="2" collapsed="false">
      <c r="A271" s="8" t="s">
        <v>608</v>
      </c>
      <c r="B271" s="12" t="s">
        <v>609</v>
      </c>
      <c r="C271" s="8" t="s">
        <v>410</v>
      </c>
      <c r="D271" s="12" t="s">
        <v>411</v>
      </c>
      <c r="E271" s="16"/>
      <c r="F271" s="9" t="str">
        <f aca="false">IF($E271="","",IFERROR(INDEX(担当者マスタ!$B$2:$B$101,MATCH($E271,担当者マスタ!$A$2:$A$101,0)),"※マスタ未登録"))</f>
        <v/>
      </c>
      <c r="G271" s="11" t="n">
        <v>49.882</v>
      </c>
      <c r="H271" s="11" t="n">
        <v>97.459</v>
      </c>
      <c r="I271" s="11" t="n">
        <v>92.497</v>
      </c>
      <c r="J271" s="11" t="n">
        <v>33.574</v>
      </c>
      <c r="K271" s="11" t="n">
        <v>56.116</v>
      </c>
      <c r="L271" s="11" t="n">
        <v>50.129</v>
      </c>
      <c r="M271" s="11" t="n">
        <f aca="false">SUM(G271:L271)</f>
        <v>379.657</v>
      </c>
      <c r="N271" s="11" t="n">
        <v>18.345</v>
      </c>
      <c r="O271" s="11" t="n">
        <v>35.442</v>
      </c>
      <c r="P271" s="11" t="n">
        <v>32.345</v>
      </c>
      <c r="Q271" s="11" t="n">
        <v>10.489</v>
      </c>
      <c r="R271" s="11" t="n">
        <v>18.759</v>
      </c>
      <c r="S271" s="11" t="n">
        <v>16.755</v>
      </c>
      <c r="T271" s="11" t="n">
        <f aca="false">SUM(N271:S271)</f>
        <v>132.135</v>
      </c>
      <c r="U271" s="11" t="n">
        <v>112.057</v>
      </c>
      <c r="V271" s="11" t="n">
        <v>128.404</v>
      </c>
      <c r="W271" s="11" t="n">
        <v>94.395</v>
      </c>
      <c r="X271" s="11" t="n">
        <v>45.589</v>
      </c>
      <c r="Y271" s="11" t="n">
        <v>95.038</v>
      </c>
      <c r="Z271" s="11" t="n">
        <v>66.39</v>
      </c>
      <c r="AA271" s="11" t="n">
        <f aca="false">SUM(U271:Z271)</f>
        <v>541.873</v>
      </c>
      <c r="AB271" s="11" t="n">
        <v>38.685</v>
      </c>
      <c r="AC271" s="11" t="n">
        <v>41.92</v>
      </c>
      <c r="AD271" s="11" t="n">
        <v>30.509</v>
      </c>
      <c r="AE271" s="11" t="n">
        <v>14.776</v>
      </c>
      <c r="AF271" s="11" t="n">
        <v>27.25</v>
      </c>
      <c r="AG271" s="11" t="n">
        <v>20.753</v>
      </c>
      <c r="AH271" s="11" t="n">
        <f aca="false">SUM(AB271:AG271)</f>
        <v>173.893</v>
      </c>
    </row>
    <row r="272" customFormat="false" ht="15" hidden="false" customHeight="false" outlineLevel="2" collapsed="false">
      <c r="A272" s="8" t="s">
        <v>610</v>
      </c>
      <c r="B272" s="9" t="s">
        <v>611</v>
      </c>
      <c r="C272" s="8" t="s">
        <v>410</v>
      </c>
      <c r="D272" s="12" t="s">
        <v>411</v>
      </c>
      <c r="E272" s="16"/>
      <c r="F272" s="9" t="str">
        <f aca="false">IF($E272="","",IFERROR(INDEX(担当者マスタ!$B$2:$B$101,MATCH($E272,担当者マスタ!$A$2:$A$101,0)),"※マスタ未登録"))</f>
        <v/>
      </c>
      <c r="G272" s="11" t="n">
        <v>0</v>
      </c>
      <c r="H272" s="11" t="n">
        <v>0</v>
      </c>
      <c r="I272" s="11" t="n">
        <v>31.5</v>
      </c>
      <c r="J272" s="11" t="n">
        <v>0</v>
      </c>
      <c r="K272" s="11" t="n">
        <v>0</v>
      </c>
      <c r="L272" s="11" t="n">
        <v>0</v>
      </c>
      <c r="M272" s="11" t="n">
        <f aca="false">SUM(G272:L272)</f>
        <v>31.5</v>
      </c>
      <c r="N272" s="11" t="n">
        <v>0</v>
      </c>
      <c r="O272" s="11" t="n">
        <v>0</v>
      </c>
      <c r="P272" s="11" t="n">
        <v>8.4</v>
      </c>
      <c r="Q272" s="11" t="n">
        <v>0</v>
      </c>
      <c r="R272" s="11" t="n">
        <v>0</v>
      </c>
      <c r="S272" s="11" t="n">
        <v>0</v>
      </c>
      <c r="T272" s="11" t="n">
        <f aca="false">SUM(N272:S272)</f>
        <v>8.4</v>
      </c>
      <c r="U272" s="11" t="n">
        <v>0</v>
      </c>
      <c r="V272" s="11" t="n">
        <v>0</v>
      </c>
      <c r="W272" s="11" t="n">
        <v>31.5</v>
      </c>
      <c r="X272" s="11" t="n">
        <v>0</v>
      </c>
      <c r="Y272" s="11" t="n">
        <v>0</v>
      </c>
      <c r="Z272" s="11" t="n">
        <v>0</v>
      </c>
      <c r="AA272" s="11" t="n">
        <f aca="false">SUM(U272:Z272)</f>
        <v>31.5</v>
      </c>
      <c r="AB272" s="11" t="n">
        <v>0</v>
      </c>
      <c r="AC272" s="11" t="n">
        <v>0</v>
      </c>
      <c r="AD272" s="11" t="n">
        <v>8.4</v>
      </c>
      <c r="AE272" s="11" t="n">
        <v>0</v>
      </c>
      <c r="AF272" s="11" t="n">
        <v>0</v>
      </c>
      <c r="AG272" s="11" t="n">
        <v>0</v>
      </c>
      <c r="AH272" s="11" t="n">
        <f aca="false">SUM(AB272:AG272)</f>
        <v>8.4</v>
      </c>
    </row>
    <row r="273" customFormat="false" ht="15" hidden="false" customHeight="false" outlineLevel="2" collapsed="false">
      <c r="A273" s="8" t="s">
        <v>612</v>
      </c>
      <c r="B273" s="9" t="s">
        <v>613</v>
      </c>
      <c r="C273" s="8" t="s">
        <v>410</v>
      </c>
      <c r="D273" s="12" t="s">
        <v>411</v>
      </c>
      <c r="E273" s="16"/>
      <c r="F273" s="9" t="str">
        <f aca="false">IF($E273="","",IFERROR(INDEX(担当者マスタ!$B$2:$B$101,MATCH($E273,担当者マスタ!$A$2:$A$101,0)),"※マスタ未登録"))</f>
        <v/>
      </c>
      <c r="G273" s="11" t="n">
        <v>27</v>
      </c>
      <c r="H273" s="11" t="n">
        <v>0</v>
      </c>
      <c r="I273" s="11" t="n">
        <v>0</v>
      </c>
      <c r="J273" s="11" t="n">
        <v>27</v>
      </c>
      <c r="K273" s="11" t="n">
        <v>0</v>
      </c>
      <c r="L273" s="11" t="n">
        <v>0</v>
      </c>
      <c r="M273" s="11" t="n">
        <f aca="false">SUM(G273:L273)</f>
        <v>54</v>
      </c>
      <c r="N273" s="11" t="n">
        <v>8.4</v>
      </c>
      <c r="O273" s="11" t="n">
        <v>0</v>
      </c>
      <c r="P273" s="11" t="n">
        <v>0</v>
      </c>
      <c r="Q273" s="11" t="n">
        <v>8.4</v>
      </c>
      <c r="R273" s="11" t="n">
        <v>0</v>
      </c>
      <c r="S273" s="11" t="n">
        <v>0</v>
      </c>
      <c r="T273" s="11" t="n">
        <f aca="false">SUM(N273:S273)</f>
        <v>16.8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54</v>
      </c>
      <c r="AA273" s="11" t="n">
        <f aca="false">SUM(U273:Z273)</f>
        <v>54</v>
      </c>
      <c r="AB273" s="11" t="n">
        <v>0</v>
      </c>
      <c r="AC273" s="11" t="n">
        <v>0</v>
      </c>
      <c r="AD273" s="11" t="n">
        <v>0</v>
      </c>
      <c r="AE273" s="11" t="n">
        <v>0</v>
      </c>
      <c r="AF273" s="11" t="n">
        <v>0</v>
      </c>
      <c r="AG273" s="11" t="n">
        <v>14.48</v>
      </c>
      <c r="AH273" s="11" t="n">
        <f aca="false">SUM(AB273:AG273)</f>
        <v>14.48</v>
      </c>
    </row>
    <row r="274" customFormat="false" ht="15" hidden="false" customHeight="false" outlineLevel="2" collapsed="false">
      <c r="A274" s="8" t="s">
        <v>614</v>
      </c>
      <c r="B274" s="12" t="s">
        <v>615</v>
      </c>
      <c r="C274" s="8" t="s">
        <v>410</v>
      </c>
      <c r="D274" s="12" t="s">
        <v>411</v>
      </c>
      <c r="E274" s="16"/>
      <c r="F274" s="9" t="str">
        <f aca="false">IF($E274="","",IFERROR(INDEX(担当者マスタ!$B$2:$B$101,MATCH($E274,担当者マスタ!$A$2:$A$101,0)),"※マスタ未登録"))</f>
        <v/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f aca="false">SUM(G274:L274)</f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f aca="false">SUM(N274:S274)</f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56</v>
      </c>
      <c r="AA274" s="11" t="n">
        <f aca="false">SUM(U274:Z274)</f>
        <v>56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14</v>
      </c>
      <c r="AH274" s="11" t="n">
        <f aca="false">SUM(AB274:AG274)</f>
        <v>14</v>
      </c>
    </row>
    <row r="275" customFormat="false" ht="15" hidden="false" customHeight="false" outlineLevel="2" collapsed="false">
      <c r="A275" s="8" t="s">
        <v>616</v>
      </c>
      <c r="B275" s="12" t="s">
        <v>617</v>
      </c>
      <c r="C275" s="8" t="s">
        <v>410</v>
      </c>
      <c r="D275" s="12" t="s">
        <v>411</v>
      </c>
      <c r="E275" s="16"/>
      <c r="F275" s="9" t="str">
        <f aca="false">IF($E275="","",IFERROR(INDEX(担当者マスタ!$B$2:$B$101,MATCH($E275,担当者マスタ!$A$2:$A$101,0)),"※マスタ未登録"))</f>
        <v/>
      </c>
      <c r="G275" s="11" t="n">
        <v>0</v>
      </c>
      <c r="H275" s="11" t="n">
        <v>203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f aca="false">SUM(G275:L275)</f>
        <v>203</v>
      </c>
      <c r="N275" s="11" t="n">
        <v>0</v>
      </c>
      <c r="O275" s="11" t="n">
        <v>53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f aca="false">SUM(N275:S275)</f>
        <v>53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f aca="false">SUM(U275:Z275)</f>
        <v>0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0</v>
      </c>
      <c r="AG275" s="11" t="n">
        <v>0</v>
      </c>
      <c r="AH275" s="11" t="n">
        <f aca="false">SUM(AB275:AG275)</f>
        <v>0</v>
      </c>
    </row>
    <row r="276" customFormat="false" ht="15" hidden="false" customHeight="false" outlineLevel="2" collapsed="false">
      <c r="A276" s="8" t="s">
        <v>618</v>
      </c>
      <c r="B276" s="12" t="s">
        <v>619</v>
      </c>
      <c r="C276" s="8" t="s">
        <v>410</v>
      </c>
      <c r="D276" s="12" t="s">
        <v>411</v>
      </c>
      <c r="E276" s="16"/>
      <c r="F276" s="9" t="str">
        <f aca="false">IF($E276="","",IFERROR(INDEX(担当者マスタ!$B$2:$B$101,MATCH($E276,担当者マスタ!$A$2:$A$101,0)),"※マスタ未登録"))</f>
        <v/>
      </c>
      <c r="G276" s="11" t="n">
        <v>0</v>
      </c>
      <c r="H276" s="11" t="n">
        <v>607.887</v>
      </c>
      <c r="I276" s="11" t="n">
        <v>0</v>
      </c>
      <c r="J276" s="11" t="n">
        <v>211.859</v>
      </c>
      <c r="K276" s="11" t="n">
        <v>495.703</v>
      </c>
      <c r="L276" s="11" t="n">
        <v>43</v>
      </c>
      <c r="M276" s="11" t="n">
        <f aca="false">SUM(G276:L276)</f>
        <v>1358.449</v>
      </c>
      <c r="N276" s="11" t="n">
        <v>0</v>
      </c>
      <c r="O276" s="11" t="n">
        <v>128.6205</v>
      </c>
      <c r="P276" s="11" t="n">
        <v>0</v>
      </c>
      <c r="Q276" s="11" t="n">
        <v>64.2388</v>
      </c>
      <c r="R276" s="11" t="n">
        <v>67.243</v>
      </c>
      <c r="S276" s="11" t="n">
        <v>6.94</v>
      </c>
      <c r="T276" s="11" t="n">
        <f aca="false">SUM(N276:S276)</f>
        <v>267.0423</v>
      </c>
      <c r="U276" s="11" t="n">
        <v>218.545</v>
      </c>
      <c r="V276" s="11" t="n">
        <v>45</v>
      </c>
      <c r="W276" s="11" t="n">
        <v>0</v>
      </c>
      <c r="X276" s="11" t="n">
        <v>383.7</v>
      </c>
      <c r="Y276" s="11" t="n">
        <v>541.471</v>
      </c>
      <c r="Z276" s="11" t="n">
        <v>51.828</v>
      </c>
      <c r="AA276" s="11" t="n">
        <f aca="false">SUM(U276:Z276)</f>
        <v>1240.544</v>
      </c>
      <c r="AB276" s="11" t="n">
        <v>47.7529</v>
      </c>
      <c r="AC276" s="11" t="n">
        <v>19.8</v>
      </c>
      <c r="AD276" s="11" t="n">
        <v>0</v>
      </c>
      <c r="AE276" s="11" t="n">
        <v>43.94</v>
      </c>
      <c r="AF276" s="11" t="n">
        <v>146.3023</v>
      </c>
      <c r="AG276" s="11" t="n">
        <v>15.596</v>
      </c>
      <c r="AH276" s="11" t="n">
        <f aca="false">SUM(AB276:AG276)</f>
        <v>273.3912</v>
      </c>
    </row>
    <row r="277" customFormat="false" ht="15" hidden="false" customHeight="false" outlineLevel="2" collapsed="false">
      <c r="A277" s="8" t="s">
        <v>620</v>
      </c>
      <c r="B277" s="12" t="s">
        <v>621</v>
      </c>
      <c r="C277" s="8" t="s">
        <v>410</v>
      </c>
      <c r="D277" s="12" t="s">
        <v>411</v>
      </c>
      <c r="E277" s="16"/>
      <c r="F277" s="9" t="str">
        <f aca="false">IF($E277="","",IFERROR(INDEX(担当者マスタ!$B$2:$B$101,MATCH($E277,担当者マスタ!$A$2:$A$101,0)),"※マスタ未登録"))</f>
        <v/>
      </c>
      <c r="G277" s="11" t="n">
        <v>33.18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f aca="false">SUM(G277:L277)</f>
        <v>33.18</v>
      </c>
      <c r="N277" s="11" t="n">
        <v>9.06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f aca="false">SUM(N277:S277)</f>
        <v>9.06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f aca="false">SUM(U277:Z277)</f>
        <v>0</v>
      </c>
      <c r="AB277" s="11" t="n">
        <v>0</v>
      </c>
      <c r="AC277" s="11" t="n">
        <v>0</v>
      </c>
      <c r="AD277" s="11" t="n">
        <v>0</v>
      </c>
      <c r="AE277" s="11" t="n">
        <v>0</v>
      </c>
      <c r="AF277" s="11" t="n">
        <v>0</v>
      </c>
      <c r="AG277" s="11" t="n">
        <v>0</v>
      </c>
      <c r="AH277" s="11" t="n">
        <f aca="false">SUM(AB277:AG277)</f>
        <v>0</v>
      </c>
    </row>
    <row r="278" customFormat="false" ht="15" hidden="false" customHeight="false" outlineLevel="2" collapsed="false">
      <c r="A278" s="8" t="s">
        <v>622</v>
      </c>
      <c r="B278" s="12" t="s">
        <v>623</v>
      </c>
      <c r="C278" s="8" t="s">
        <v>410</v>
      </c>
      <c r="D278" s="12" t="s">
        <v>411</v>
      </c>
      <c r="E278" s="16"/>
      <c r="F278" s="9" t="str">
        <f aca="false">IF($E278="","",IFERROR(INDEX(担当者マスタ!$B$2:$B$101,MATCH($E278,担当者マスタ!$A$2:$A$101,0)),"※マスタ未登録"))</f>
        <v/>
      </c>
      <c r="G278" s="11" t="n">
        <v>0</v>
      </c>
      <c r="H278" s="11" t="n">
        <v>17.6</v>
      </c>
      <c r="I278" s="11" t="n">
        <v>0</v>
      </c>
      <c r="J278" s="11" t="n">
        <v>17.6</v>
      </c>
      <c r="K278" s="11" t="n">
        <v>0</v>
      </c>
      <c r="L278" s="11" t="n">
        <v>0</v>
      </c>
      <c r="M278" s="11" t="n">
        <f aca="false">SUM(G278:L278)</f>
        <v>35.2</v>
      </c>
      <c r="N278" s="11" t="n">
        <v>0</v>
      </c>
      <c r="O278" s="11" t="n">
        <v>5.3</v>
      </c>
      <c r="P278" s="11" t="n">
        <v>0</v>
      </c>
      <c r="Q278" s="11" t="n">
        <v>5.3</v>
      </c>
      <c r="R278" s="11" t="n">
        <v>0</v>
      </c>
      <c r="S278" s="11" t="n">
        <v>0</v>
      </c>
      <c r="T278" s="11" t="n">
        <f aca="false">SUM(N278:S278)</f>
        <v>10.6</v>
      </c>
      <c r="U278" s="11" t="n">
        <v>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f aca="false">SUM(U278:Z278)</f>
        <v>0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0</v>
      </c>
      <c r="AH278" s="11" t="n">
        <f aca="false">SUM(AB278:AG278)</f>
        <v>0</v>
      </c>
    </row>
    <row r="279" customFormat="false" ht="15" hidden="false" customHeight="false" outlineLevel="2" collapsed="false">
      <c r="A279" s="8" t="s">
        <v>624</v>
      </c>
      <c r="B279" s="12" t="s">
        <v>625</v>
      </c>
      <c r="C279" s="8" t="s">
        <v>410</v>
      </c>
      <c r="D279" s="12" t="s">
        <v>411</v>
      </c>
      <c r="E279" s="16"/>
      <c r="F279" s="9" t="str">
        <f aca="false">IF($E279="","",IFERROR(INDEX(担当者マスタ!$B$2:$B$101,MATCH($E279,担当者マスタ!$A$2:$A$101,0)),"※マスタ未登録"))</f>
        <v/>
      </c>
      <c r="G279" s="11" t="n">
        <v>40.272</v>
      </c>
      <c r="H279" s="11" t="n">
        <v>79.3</v>
      </c>
      <c r="I279" s="11" t="n">
        <v>13.27</v>
      </c>
      <c r="J279" s="11" t="n">
        <v>12.91</v>
      </c>
      <c r="K279" s="11" t="n">
        <v>0</v>
      </c>
      <c r="L279" s="11" t="n">
        <v>3.55</v>
      </c>
      <c r="M279" s="11" t="n">
        <f aca="false">SUM(G279:L279)</f>
        <v>149.302</v>
      </c>
      <c r="N279" s="11" t="n">
        <v>14.342</v>
      </c>
      <c r="O279" s="11" t="n">
        <v>26.3</v>
      </c>
      <c r="P279" s="11" t="n">
        <v>5.408</v>
      </c>
      <c r="Q279" s="11" t="n">
        <v>4.035</v>
      </c>
      <c r="R279" s="11" t="n">
        <v>0</v>
      </c>
      <c r="S279" s="11" t="n">
        <v>1.3</v>
      </c>
      <c r="T279" s="11" t="n">
        <f aca="false">SUM(N279:S279)</f>
        <v>51.385</v>
      </c>
      <c r="U279" s="11" t="n">
        <v>36.45</v>
      </c>
      <c r="V279" s="11" t="n">
        <v>23.668</v>
      </c>
      <c r="W279" s="11" t="n">
        <v>8.8</v>
      </c>
      <c r="X279" s="11" t="n">
        <v>3.81</v>
      </c>
      <c r="Y279" s="11" t="n">
        <v>33.85</v>
      </c>
      <c r="Z279" s="11" t="n">
        <v>18.55</v>
      </c>
      <c r="AA279" s="11" t="n">
        <f aca="false">SUM(U279:Z279)</f>
        <v>125.128</v>
      </c>
      <c r="AB279" s="11" t="n">
        <v>12.198</v>
      </c>
      <c r="AC279" s="11" t="n">
        <v>7.466</v>
      </c>
      <c r="AD279" s="11" t="n">
        <v>3.6</v>
      </c>
      <c r="AE279" s="11" t="n">
        <v>1.3</v>
      </c>
      <c r="AF279" s="11" t="n">
        <v>11.308</v>
      </c>
      <c r="AG279" s="11" t="n">
        <v>6.35</v>
      </c>
      <c r="AH279" s="11" t="n">
        <f aca="false">SUM(AB279:AG279)</f>
        <v>42.222</v>
      </c>
    </row>
    <row r="280" customFormat="false" ht="15" hidden="false" customHeight="false" outlineLevel="2" collapsed="false">
      <c r="A280" s="8" t="s">
        <v>626</v>
      </c>
      <c r="B280" s="12" t="s">
        <v>627</v>
      </c>
      <c r="C280" s="8" t="s">
        <v>410</v>
      </c>
      <c r="D280" s="12" t="s">
        <v>411</v>
      </c>
      <c r="E280" s="16"/>
      <c r="F280" s="9" t="str">
        <f aca="false">IF($E280="","",IFERROR(INDEX(担当者マスタ!$B$2:$B$101,MATCH($E280,担当者マスタ!$A$2:$A$101,0)),"※マスタ未登録"))</f>
        <v/>
      </c>
      <c r="G280" s="11" t="n">
        <v>1561.424</v>
      </c>
      <c r="H280" s="11" t="n">
        <v>0</v>
      </c>
      <c r="I280" s="11" t="n">
        <v>654.72</v>
      </c>
      <c r="J280" s="11" t="n">
        <v>324</v>
      </c>
      <c r="K280" s="11" t="n">
        <v>334.4</v>
      </c>
      <c r="L280" s="11" t="n">
        <v>125</v>
      </c>
      <c r="M280" s="11" t="n">
        <f aca="false">SUM(G280:L280)</f>
        <v>2999.544</v>
      </c>
      <c r="N280" s="11" t="n">
        <v>559.634</v>
      </c>
      <c r="O280" s="11" t="n">
        <v>0</v>
      </c>
      <c r="P280" s="11" t="n">
        <v>256.96</v>
      </c>
      <c r="Q280" s="11" t="n">
        <v>88.8</v>
      </c>
      <c r="R280" s="11" t="n">
        <v>102.08</v>
      </c>
      <c r="S280" s="11" t="n">
        <v>34.8</v>
      </c>
      <c r="T280" s="11" t="n">
        <f aca="false">SUM(N280:S280)</f>
        <v>1042.274</v>
      </c>
      <c r="U280" s="11" t="n">
        <v>602.25</v>
      </c>
      <c r="V280" s="11" t="n">
        <v>2345.66</v>
      </c>
      <c r="W280" s="11" t="n">
        <v>1432.04</v>
      </c>
      <c r="X280" s="11" t="n">
        <v>0</v>
      </c>
      <c r="Y280" s="11" t="n">
        <v>2393.5</v>
      </c>
      <c r="Z280" s="11" t="n">
        <v>0</v>
      </c>
      <c r="AA280" s="11" t="n">
        <f aca="false">SUM(U280:Z280)</f>
        <v>6773.45</v>
      </c>
      <c r="AB280" s="11" t="n">
        <v>192.72</v>
      </c>
      <c r="AC280" s="11" t="n">
        <v>737.71</v>
      </c>
      <c r="AD280" s="11" t="n">
        <v>445.77</v>
      </c>
      <c r="AE280" s="11" t="n">
        <v>0</v>
      </c>
      <c r="AF280" s="11" t="n">
        <v>655.55</v>
      </c>
      <c r="AG280" s="11" t="n">
        <v>0</v>
      </c>
      <c r="AH280" s="11" t="n">
        <f aca="false">SUM(AB280:AG280)</f>
        <v>2031.75</v>
      </c>
    </row>
    <row r="281" customFormat="false" ht="15" hidden="false" customHeight="false" outlineLevel="2" collapsed="false">
      <c r="A281" s="8" t="s">
        <v>628</v>
      </c>
      <c r="B281" s="9" t="s">
        <v>629</v>
      </c>
      <c r="C281" s="8" t="s">
        <v>410</v>
      </c>
      <c r="D281" s="12" t="s">
        <v>411</v>
      </c>
      <c r="E281" s="16"/>
      <c r="F281" s="9" t="str">
        <f aca="false">IF($E281="","",IFERROR(INDEX(担当者マスタ!$B$2:$B$101,MATCH($E281,担当者マスタ!$A$2:$A$101,0)),"※マスタ未登録"))</f>
        <v/>
      </c>
      <c r="G281" s="11" t="n">
        <v>0</v>
      </c>
      <c r="H281" s="11" t="n">
        <v>24.48</v>
      </c>
      <c r="I281" s="11" t="n">
        <v>24.48</v>
      </c>
      <c r="J281" s="11" t="n">
        <v>0</v>
      </c>
      <c r="K281" s="11" t="n">
        <v>0</v>
      </c>
      <c r="L281" s="11" t="n">
        <v>21</v>
      </c>
      <c r="M281" s="11" t="n">
        <f aca="false">SUM(G281:L281)</f>
        <v>69.96</v>
      </c>
      <c r="N281" s="11" t="n">
        <v>0</v>
      </c>
      <c r="O281" s="11" t="n">
        <v>7.848</v>
      </c>
      <c r="P281" s="11" t="n">
        <v>7.848</v>
      </c>
      <c r="Q281" s="11" t="n">
        <v>0</v>
      </c>
      <c r="R281" s="11" t="n">
        <v>0</v>
      </c>
      <c r="S281" s="11" t="n">
        <v>8.46</v>
      </c>
      <c r="T281" s="11" t="n">
        <f aca="false">SUM(N281:S281)</f>
        <v>24.156</v>
      </c>
      <c r="U281" s="11" t="n">
        <v>0</v>
      </c>
      <c r="V281" s="11" t="n">
        <v>0</v>
      </c>
      <c r="W281" s="11" t="n">
        <v>24.48</v>
      </c>
      <c r="X281" s="11" t="n">
        <v>84</v>
      </c>
      <c r="Y281" s="11" t="n">
        <v>24.48</v>
      </c>
      <c r="Z281" s="11" t="n">
        <v>0</v>
      </c>
      <c r="AA281" s="11" t="n">
        <f aca="false">SUM(U281:Z281)</f>
        <v>132.96</v>
      </c>
      <c r="AB281" s="11" t="n">
        <v>0</v>
      </c>
      <c r="AC281" s="11" t="n">
        <v>0</v>
      </c>
      <c r="AD281" s="11" t="n">
        <v>7.848</v>
      </c>
      <c r="AE281" s="11" t="n">
        <v>33.84</v>
      </c>
      <c r="AF281" s="11" t="n">
        <v>7.848</v>
      </c>
      <c r="AG281" s="11" t="n">
        <v>0</v>
      </c>
      <c r="AH281" s="11" t="n">
        <f aca="false">SUM(AB281:AG281)</f>
        <v>49.536</v>
      </c>
    </row>
    <row r="282" customFormat="false" ht="15" hidden="false" customHeight="false" outlineLevel="2" collapsed="false">
      <c r="A282" s="8" t="s">
        <v>630</v>
      </c>
      <c r="B282" s="12" t="s">
        <v>631</v>
      </c>
      <c r="C282" s="8" t="s">
        <v>410</v>
      </c>
      <c r="D282" s="12" t="s">
        <v>411</v>
      </c>
      <c r="E282" s="16"/>
      <c r="F282" s="9" t="str">
        <f aca="false">IF($E282="","",IFERROR(INDEX(担当者マスタ!$B$2:$B$101,MATCH($E282,担当者マスタ!$A$2:$A$101,0)),"※マスタ未登録"))</f>
        <v/>
      </c>
      <c r="G282" s="11" t="n">
        <v>18.7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f aca="false">SUM(G282:L282)</f>
        <v>18.7</v>
      </c>
      <c r="N282" s="11" t="n">
        <v>2.625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f aca="false">SUM(N282:S282)</f>
        <v>2.625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f aca="false">SUM(U282:Z282)</f>
        <v>0</v>
      </c>
      <c r="AB282" s="11" t="n">
        <v>0</v>
      </c>
      <c r="AC282" s="11" t="n">
        <v>0</v>
      </c>
      <c r="AD282" s="11" t="n">
        <v>0</v>
      </c>
      <c r="AE282" s="11" t="n">
        <v>0</v>
      </c>
      <c r="AF282" s="11" t="n">
        <v>0</v>
      </c>
      <c r="AG282" s="11" t="n">
        <v>0</v>
      </c>
      <c r="AH282" s="11" t="n">
        <f aca="false">SUM(AB282:AG282)</f>
        <v>0</v>
      </c>
    </row>
    <row r="283" customFormat="false" ht="15" hidden="false" customHeight="false" outlineLevel="2" collapsed="false">
      <c r="A283" s="8" t="s">
        <v>632</v>
      </c>
      <c r="B283" s="12" t="s">
        <v>633</v>
      </c>
      <c r="C283" s="8" t="s">
        <v>410</v>
      </c>
      <c r="D283" s="12" t="s">
        <v>411</v>
      </c>
      <c r="E283" s="16"/>
      <c r="F283" s="9" t="str">
        <f aca="false">IF($E283="","",IFERROR(INDEX(担当者マスタ!$B$2:$B$101,MATCH($E283,担当者マスタ!$A$2:$A$101,0)),"※マスタ未登録"))</f>
        <v/>
      </c>
      <c r="G283" s="11" t="n">
        <v>0</v>
      </c>
      <c r="H283" s="11" t="n">
        <v>0</v>
      </c>
      <c r="I283" s="11" t="n">
        <v>94.1</v>
      </c>
      <c r="J283" s="11" t="n">
        <v>20</v>
      </c>
      <c r="K283" s="11" t="n">
        <v>133</v>
      </c>
      <c r="L283" s="11" t="n">
        <v>0</v>
      </c>
      <c r="M283" s="11" t="n">
        <f aca="false">SUM(G283:L283)</f>
        <v>247.1</v>
      </c>
      <c r="N283" s="11" t="n">
        <v>0</v>
      </c>
      <c r="O283" s="11" t="n">
        <v>0</v>
      </c>
      <c r="P283" s="11" t="n">
        <v>16.36</v>
      </c>
      <c r="Q283" s="11" t="n">
        <v>4</v>
      </c>
      <c r="R283" s="11" t="n">
        <v>37.8</v>
      </c>
      <c r="S283" s="11" t="n">
        <v>0</v>
      </c>
      <c r="T283" s="11" t="n">
        <f aca="false">SUM(N283:S283)</f>
        <v>58.16</v>
      </c>
      <c r="U283" s="11" t="n">
        <v>0</v>
      </c>
      <c r="V283" s="11" t="n">
        <v>0</v>
      </c>
      <c r="W283" s="11" t="n">
        <v>302.802</v>
      </c>
      <c r="X283" s="11" t="n">
        <v>0</v>
      </c>
      <c r="Y283" s="11" t="n">
        <v>0</v>
      </c>
      <c r="Z283" s="11" t="n">
        <v>33.52</v>
      </c>
      <c r="AA283" s="11" t="n">
        <f aca="false">SUM(U283:Z283)</f>
        <v>336.322</v>
      </c>
      <c r="AB283" s="11" t="n">
        <v>0</v>
      </c>
      <c r="AC283" s="11" t="n">
        <v>0</v>
      </c>
      <c r="AD283" s="11" t="n">
        <v>98.457</v>
      </c>
      <c r="AE283" s="11" t="n">
        <v>0</v>
      </c>
      <c r="AF283" s="11" t="n">
        <v>0</v>
      </c>
      <c r="AG283" s="11" t="n">
        <v>9.62</v>
      </c>
      <c r="AH283" s="11" t="n">
        <f aca="false">SUM(AB283:AG283)</f>
        <v>108.077</v>
      </c>
    </row>
    <row r="284" customFormat="false" ht="15" hidden="false" customHeight="false" outlineLevel="1" collapsed="false">
      <c r="A284" s="19"/>
      <c r="B284" s="19"/>
      <c r="C284" s="17" t="s">
        <v>1968</v>
      </c>
      <c r="D284" s="19" t="s">
        <v>411</v>
      </c>
      <c r="E284" s="19"/>
      <c r="F284" s="19"/>
      <c r="G284" s="18" t="n">
        <f aca="false">SUBTOTAL(9,G172:G283)</f>
        <v>19514.576</v>
      </c>
      <c r="H284" s="18" t="n">
        <f aca="false">SUBTOTAL(9,H172:H283)</f>
        <v>20774.678</v>
      </c>
      <c r="I284" s="18" t="n">
        <f aca="false">SUBTOTAL(9,I172:I283)</f>
        <v>25955.213</v>
      </c>
      <c r="J284" s="18" t="n">
        <f aca="false">SUBTOTAL(9,J172:J283)</f>
        <v>21925.815</v>
      </c>
      <c r="K284" s="18" t="n">
        <f aca="false">SUBTOTAL(9,K172:K283)</f>
        <v>15813.102</v>
      </c>
      <c r="L284" s="18" t="n">
        <f aca="false">SUBTOTAL(9,L172:L283)</f>
        <v>18170.544</v>
      </c>
      <c r="M284" s="18" t="n">
        <f aca="false">SUBTOTAL(9,M172:M283)</f>
        <v>122153.928</v>
      </c>
      <c r="N284" s="18" t="n">
        <f aca="false">SUBTOTAL(9,N172:N283)</f>
        <v>5243.112</v>
      </c>
      <c r="O284" s="18" t="n">
        <f aca="false">SUBTOTAL(9,O172:O283)</f>
        <v>4979.7962</v>
      </c>
      <c r="P284" s="18" t="n">
        <f aca="false">SUBTOTAL(9,P172:P283)</f>
        <v>6431.217</v>
      </c>
      <c r="Q284" s="18" t="n">
        <f aca="false">SUBTOTAL(9,Q172:Q283)</f>
        <v>5340.4798</v>
      </c>
      <c r="R284" s="18" t="n">
        <f aca="false">SUBTOTAL(9,R172:R283)</f>
        <v>3699.694</v>
      </c>
      <c r="S284" s="18" t="n">
        <f aca="false">SUBTOTAL(9,S172:S283)</f>
        <v>4408.023</v>
      </c>
      <c r="T284" s="18" t="n">
        <f aca="false">SUBTOTAL(9,T172:T283)</f>
        <v>30102.322</v>
      </c>
      <c r="U284" s="18" t="n">
        <f aca="false">SUBTOTAL(9,U172:U283)</f>
        <v>19071.017</v>
      </c>
      <c r="V284" s="18" t="n">
        <f aca="false">SUBTOTAL(9,V172:V283)</f>
        <v>19322.401</v>
      </c>
      <c r="W284" s="18" t="n">
        <f aca="false">SUBTOTAL(9,W172:W283)</f>
        <v>24141.572</v>
      </c>
      <c r="X284" s="18" t="n">
        <f aca="false">SUBTOTAL(9,X172:X283)</f>
        <v>17422.828</v>
      </c>
      <c r="Y284" s="18" t="n">
        <f aca="false">SUBTOTAL(9,Y172:Y283)</f>
        <v>19770.263</v>
      </c>
      <c r="Z284" s="18" t="n">
        <f aca="false">SUBTOTAL(9,Z172:Z283)</f>
        <v>19034.591</v>
      </c>
      <c r="AA284" s="18" t="n">
        <f aca="false">SUBTOTAL(9,AA172:AA283)</f>
        <v>118762.672</v>
      </c>
      <c r="AB284" s="18" t="n">
        <f aca="false">SUBTOTAL(9,AB172:AB283)</f>
        <v>4742.5649</v>
      </c>
      <c r="AC284" s="18" t="n">
        <f aca="false">SUBTOTAL(9,AC172:AC283)</f>
        <v>5156.3057</v>
      </c>
      <c r="AD284" s="18" t="n">
        <f aca="false">SUBTOTAL(9,AD172:AD283)</f>
        <v>6278.43</v>
      </c>
      <c r="AE284" s="18" t="n">
        <f aca="false">SUBTOTAL(9,AE172:AE283)</f>
        <v>4064.917</v>
      </c>
      <c r="AF284" s="18" t="n">
        <f aca="false">SUBTOTAL(9,AF172:AF283)</f>
        <v>4987.5633</v>
      </c>
      <c r="AG284" s="18" t="n">
        <f aca="false">SUBTOTAL(9,AG172:AG283)</f>
        <v>4895.7762</v>
      </c>
      <c r="AH284" s="18" t="n">
        <f aca="false">SUBTOTAL(9,AH172:AH283)</f>
        <v>30125.5571</v>
      </c>
    </row>
    <row r="285" customFormat="false" ht="15" hidden="false" customHeight="false" outlineLevel="2" collapsed="false">
      <c r="A285" s="8" t="s">
        <v>634</v>
      </c>
      <c r="B285" s="9" t="s">
        <v>635</v>
      </c>
      <c r="C285" s="8" t="s">
        <v>636</v>
      </c>
      <c r="D285" s="12" t="s">
        <v>637</v>
      </c>
      <c r="E285" s="10" t="str">
        <f aca="false">IFERROR(IF(INDEX(水産部X!$E$2:$E$118,MATCH($A285,水産部X!$A$2:$A$118,0))="","",INDEX(水産部X!$E$2:$E$118,MATCH($A285,水産部X!$A$2:$A$118,0))),"")</f>
        <v/>
      </c>
      <c r="F285" s="9" t="str">
        <f aca="false">IF($E285="","",IFERROR(INDEX(担当者マスタ!$B$2:$B$101,MATCH($E285,担当者マスタ!$A$2:$A$101,0)),"※マスタ未登録"))</f>
        <v/>
      </c>
      <c r="G285" s="11" t="n">
        <v>39.1</v>
      </c>
      <c r="H285" s="11" t="n">
        <v>14.423</v>
      </c>
      <c r="I285" s="11" t="n">
        <v>11.76</v>
      </c>
      <c r="J285" s="11" t="n">
        <v>17.036</v>
      </c>
      <c r="K285" s="11" t="n">
        <v>11.688</v>
      </c>
      <c r="L285" s="11" t="n">
        <v>8.097</v>
      </c>
      <c r="M285" s="11" t="n">
        <f aca="false">SUM(G285:L285)</f>
        <v>102.104</v>
      </c>
      <c r="N285" s="11" t="n">
        <v>20.201</v>
      </c>
      <c r="O285" s="11" t="n">
        <v>6.885</v>
      </c>
      <c r="P285" s="11" t="n">
        <v>5.061</v>
      </c>
      <c r="Q285" s="11" t="n">
        <v>7.85</v>
      </c>
      <c r="R285" s="11" t="n">
        <v>5.304</v>
      </c>
      <c r="S285" s="11" t="n">
        <v>3.461</v>
      </c>
      <c r="T285" s="11" t="n">
        <f aca="false">SUM(N285:S285)</f>
        <v>48.762</v>
      </c>
      <c r="U285" s="11" t="n">
        <v>26.513</v>
      </c>
      <c r="V285" s="11" t="n">
        <v>14.266</v>
      </c>
      <c r="W285" s="11" t="n">
        <v>18.887</v>
      </c>
      <c r="X285" s="11" t="n">
        <v>5.19</v>
      </c>
      <c r="Y285" s="11" t="n">
        <v>19.191</v>
      </c>
      <c r="Z285" s="11" t="n">
        <v>11.024</v>
      </c>
      <c r="AA285" s="11" t="n">
        <f aca="false">SUM(U285:Z285)</f>
        <v>95.071</v>
      </c>
      <c r="AB285" s="11" t="n">
        <v>12.505</v>
      </c>
      <c r="AC285" s="11" t="n">
        <v>5.797</v>
      </c>
      <c r="AD285" s="11" t="n">
        <v>8.625</v>
      </c>
      <c r="AE285" s="11" t="n">
        <v>2.248</v>
      </c>
      <c r="AF285" s="11" t="n">
        <v>9.099</v>
      </c>
      <c r="AG285" s="11" t="n">
        <v>4.024</v>
      </c>
      <c r="AH285" s="11" t="n">
        <f aca="false">SUM(AB285:AG285)</f>
        <v>42.298</v>
      </c>
    </row>
    <row r="286" customFormat="false" ht="15" hidden="false" customHeight="false" outlineLevel="2" collapsed="false">
      <c r="A286" s="8" t="s">
        <v>638</v>
      </c>
      <c r="B286" s="12" t="s">
        <v>639</v>
      </c>
      <c r="C286" s="8" t="s">
        <v>636</v>
      </c>
      <c r="D286" s="12" t="s">
        <v>637</v>
      </c>
      <c r="E286" s="10" t="str">
        <f aca="false">IFERROR(IF(INDEX(水産部X!$E$2:$E$118,MATCH($A286,水産部X!$A$2:$A$118,0))="","",INDEX(水産部X!$E$2:$E$118,MATCH($A286,水産部X!$A$2:$A$118,0))),"")</f>
        <v/>
      </c>
      <c r="F286" s="9" t="str">
        <f aca="false">IF($E286="","",IFERROR(INDEX(担当者マスタ!$B$2:$B$101,MATCH($E286,担当者マスタ!$A$2:$A$101,0)),"※マスタ未登録"))</f>
        <v/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f aca="false">SUM(G286:L286)</f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f aca="false">SUM(N286:S286)</f>
        <v>0</v>
      </c>
      <c r="U286" s="11" t="n">
        <v>7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f aca="false">SUM(U286:Z286)</f>
        <v>7</v>
      </c>
      <c r="AB286" s="11" t="n">
        <v>1.72</v>
      </c>
      <c r="AC286" s="11" t="n">
        <v>0</v>
      </c>
      <c r="AD286" s="11" t="n">
        <v>0</v>
      </c>
      <c r="AE286" s="11" t="n">
        <v>0</v>
      </c>
      <c r="AF286" s="11" t="n">
        <v>0</v>
      </c>
      <c r="AG286" s="11" t="n">
        <v>0</v>
      </c>
      <c r="AH286" s="11" t="n">
        <f aca="false">SUM(AB286:AG286)</f>
        <v>1.72</v>
      </c>
    </row>
    <row r="287" customFormat="false" ht="15" hidden="false" customHeight="false" outlineLevel="2" collapsed="false">
      <c r="A287" s="8" t="s">
        <v>640</v>
      </c>
      <c r="B287" s="9" t="s">
        <v>641</v>
      </c>
      <c r="C287" s="8" t="s">
        <v>636</v>
      </c>
      <c r="D287" s="12" t="s">
        <v>637</v>
      </c>
      <c r="E287" s="10" t="str">
        <f aca="false">IFERROR(IF(INDEX(水産部X!$E$2:$E$118,MATCH($A287,水産部X!$A$2:$A$118,0))="","",INDEX(水産部X!$E$2:$E$118,MATCH($A287,水産部X!$A$2:$A$118,0))),"")</f>
        <v/>
      </c>
      <c r="F287" s="9" t="str">
        <f aca="false">IF($E287="","",IFERROR(INDEX(担当者マスタ!$B$2:$B$101,MATCH($E287,担当者マスタ!$A$2:$A$101,0)),"※マスタ未登録"))</f>
        <v/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f aca="false">SUM(G287:L287)</f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f aca="false">SUM(N287:S287)</f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1.164</v>
      </c>
      <c r="AA287" s="11" t="n">
        <f aca="false">SUM(U287:Z287)</f>
        <v>1.164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0.495</v>
      </c>
      <c r="AH287" s="11" t="n">
        <f aca="false">SUM(AB287:AG287)</f>
        <v>0.495</v>
      </c>
    </row>
    <row r="288" customFormat="false" ht="15" hidden="false" customHeight="false" outlineLevel="2" collapsed="false">
      <c r="A288" s="8" t="s">
        <v>642</v>
      </c>
      <c r="B288" s="9" t="s">
        <v>643</v>
      </c>
      <c r="C288" s="8" t="s">
        <v>636</v>
      </c>
      <c r="D288" s="12" t="s">
        <v>637</v>
      </c>
      <c r="E288" s="10" t="str">
        <f aca="false">IFERROR(IF(INDEX(水産部X!$E$2:$E$118,MATCH($A288,水産部X!$A$2:$A$118,0))="","",INDEX(水産部X!$E$2:$E$118,MATCH($A288,水産部X!$A$2:$A$118,0))),"")</f>
        <v/>
      </c>
      <c r="F288" s="9" t="str">
        <f aca="false">IF($E288="","",IFERROR(INDEX(担当者マスタ!$B$2:$B$101,MATCH($E288,担当者マスタ!$A$2:$A$101,0)),"※マスタ未登録"))</f>
        <v/>
      </c>
      <c r="G288" s="11" t="n">
        <v>69.5</v>
      </c>
      <c r="H288" s="11" t="n">
        <v>80.845</v>
      </c>
      <c r="I288" s="11" t="n">
        <v>29.36</v>
      </c>
      <c r="J288" s="11" t="n">
        <v>20.562</v>
      </c>
      <c r="K288" s="11" t="n">
        <v>114.97</v>
      </c>
      <c r="L288" s="11" t="n">
        <v>71.34</v>
      </c>
      <c r="M288" s="11" t="n">
        <f aca="false">SUM(G288:L288)</f>
        <v>386.577</v>
      </c>
      <c r="N288" s="11" t="n">
        <v>68.25</v>
      </c>
      <c r="O288" s="11" t="n">
        <v>64.478</v>
      </c>
      <c r="P288" s="11" t="n">
        <v>16.16</v>
      </c>
      <c r="Q288" s="11" t="n">
        <v>20.03</v>
      </c>
      <c r="R288" s="11" t="n">
        <v>114.97</v>
      </c>
      <c r="S288" s="11" t="n">
        <v>71.34</v>
      </c>
      <c r="T288" s="11" t="n">
        <f aca="false">SUM(N288:S288)</f>
        <v>355.228</v>
      </c>
      <c r="U288" s="11" t="n">
        <v>44</v>
      </c>
      <c r="V288" s="11" t="n">
        <v>142.4</v>
      </c>
      <c r="W288" s="11" t="n">
        <v>62.66</v>
      </c>
      <c r="X288" s="11" t="n">
        <v>20</v>
      </c>
      <c r="Y288" s="11" t="n">
        <v>10.6</v>
      </c>
      <c r="Z288" s="11" t="n">
        <v>3</v>
      </c>
      <c r="AA288" s="11" t="n">
        <f aca="false">SUM(U288:Z288)</f>
        <v>282.66</v>
      </c>
      <c r="AB288" s="11" t="n">
        <v>44</v>
      </c>
      <c r="AC288" s="11" t="n">
        <v>141.15</v>
      </c>
      <c r="AD288" s="11" t="n">
        <v>62.243</v>
      </c>
      <c r="AE288" s="11" t="n">
        <v>20</v>
      </c>
      <c r="AF288" s="11" t="n">
        <v>10.6</v>
      </c>
      <c r="AG288" s="11" t="n">
        <v>3</v>
      </c>
      <c r="AH288" s="11" t="n">
        <f aca="false">SUM(AB288:AG288)</f>
        <v>280.993</v>
      </c>
    </row>
    <row r="289" customFormat="false" ht="15" hidden="false" customHeight="false" outlineLevel="2" collapsed="false">
      <c r="A289" s="8" t="s">
        <v>644</v>
      </c>
      <c r="B289" s="12" t="s">
        <v>645</v>
      </c>
      <c r="C289" s="8" t="s">
        <v>636</v>
      </c>
      <c r="D289" s="12" t="s">
        <v>637</v>
      </c>
      <c r="E289" s="10" t="str">
        <f aca="false">IFERROR(IF(INDEX(水産部X!$E$2:$E$118,MATCH($A289,水産部X!$A$2:$A$118,0))="","",INDEX(水産部X!$E$2:$E$118,MATCH($A289,水産部X!$A$2:$A$118,0))),"")</f>
        <v/>
      </c>
      <c r="F289" s="9" t="str">
        <f aca="false">IF($E289="","",IFERROR(INDEX(担当者マスタ!$B$2:$B$101,MATCH($E289,担当者マスタ!$A$2:$A$101,0)),"※マスタ未登録"))</f>
        <v/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f aca="false">SUM(G289:L289)</f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f aca="false">SUM(N289:S289)</f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473.2</v>
      </c>
      <c r="Z289" s="11" t="n">
        <v>0</v>
      </c>
      <c r="AA289" s="11" t="n">
        <f aca="false">SUM(U289:Z289)</f>
        <v>473.2</v>
      </c>
      <c r="AB289" s="11" t="n">
        <v>0</v>
      </c>
      <c r="AC289" s="11" t="n">
        <v>0</v>
      </c>
      <c r="AD289" s="11" t="n">
        <v>0</v>
      </c>
      <c r="AE289" s="11" t="n">
        <v>0</v>
      </c>
      <c r="AF289" s="11" t="n">
        <v>92.4</v>
      </c>
      <c r="AG289" s="11" t="n">
        <v>0</v>
      </c>
      <c r="AH289" s="11" t="n">
        <f aca="false">SUM(AB289:AG289)</f>
        <v>92.4</v>
      </c>
    </row>
    <row r="290" customFormat="false" ht="15" hidden="false" customHeight="false" outlineLevel="2" collapsed="false">
      <c r="A290" s="8" t="s">
        <v>646</v>
      </c>
      <c r="B290" s="9" t="s">
        <v>647</v>
      </c>
      <c r="C290" s="8" t="s">
        <v>636</v>
      </c>
      <c r="D290" s="12" t="s">
        <v>637</v>
      </c>
      <c r="E290" s="10" t="str">
        <f aca="false">IFERROR(IF(INDEX(水産部X!$E$2:$E$118,MATCH($A290,水産部X!$A$2:$A$118,0))="","",INDEX(水産部X!$E$2:$E$118,MATCH($A290,水産部X!$A$2:$A$118,0))),"")</f>
        <v/>
      </c>
      <c r="F290" s="9" t="str">
        <f aca="false">IF($E290="","",IFERROR(INDEX(担当者マスタ!$B$2:$B$101,MATCH($E290,担当者マスタ!$A$2:$A$101,0)),"※マスタ未登録"))</f>
        <v/>
      </c>
      <c r="G290" s="11" t="n">
        <v>496.65</v>
      </c>
      <c r="H290" s="11" t="n">
        <v>231.55</v>
      </c>
      <c r="I290" s="11" t="n">
        <v>55.45</v>
      </c>
      <c r="J290" s="11" t="n">
        <v>66.2</v>
      </c>
      <c r="K290" s="11" t="n">
        <v>34.25</v>
      </c>
      <c r="L290" s="11" t="n">
        <v>41.25</v>
      </c>
      <c r="M290" s="11" t="n">
        <f aca="false">SUM(G290:L290)</f>
        <v>925.35</v>
      </c>
      <c r="N290" s="11" t="n">
        <v>449.596</v>
      </c>
      <c r="O290" s="11" t="n">
        <v>213.992</v>
      </c>
      <c r="P290" s="11" t="n">
        <v>55.45</v>
      </c>
      <c r="Q290" s="11" t="n">
        <v>59.177</v>
      </c>
      <c r="R290" s="11" t="n">
        <v>34.25</v>
      </c>
      <c r="S290" s="11" t="n">
        <v>41.25</v>
      </c>
      <c r="T290" s="11" t="n">
        <f aca="false">SUM(N290:S290)</f>
        <v>853.715</v>
      </c>
      <c r="U290" s="11" t="n">
        <v>27.9</v>
      </c>
      <c r="V290" s="11" t="n">
        <v>84.5</v>
      </c>
      <c r="W290" s="11" t="n">
        <v>561.75</v>
      </c>
      <c r="X290" s="11" t="n">
        <v>412.4</v>
      </c>
      <c r="Y290" s="11" t="n">
        <v>546.4</v>
      </c>
      <c r="Z290" s="11" t="n">
        <v>51.7</v>
      </c>
      <c r="AA290" s="11" t="n">
        <f aca="false">SUM(U290:Z290)</f>
        <v>1684.65</v>
      </c>
      <c r="AB290" s="11" t="n">
        <v>27.9</v>
      </c>
      <c r="AC290" s="11" t="n">
        <v>84.5</v>
      </c>
      <c r="AD290" s="11" t="n">
        <v>326.811</v>
      </c>
      <c r="AE290" s="11" t="n">
        <v>365.409</v>
      </c>
      <c r="AF290" s="11" t="n">
        <v>405.898</v>
      </c>
      <c r="AG290" s="11" t="n">
        <v>46.894</v>
      </c>
      <c r="AH290" s="11" t="n">
        <f aca="false">SUM(AB290:AG290)</f>
        <v>1257.412</v>
      </c>
    </row>
    <row r="291" customFormat="false" ht="15" hidden="false" customHeight="false" outlineLevel="2" collapsed="false">
      <c r="A291" s="8" t="s">
        <v>648</v>
      </c>
      <c r="B291" s="12" t="s">
        <v>649</v>
      </c>
      <c r="C291" s="8" t="s">
        <v>636</v>
      </c>
      <c r="D291" s="12" t="s">
        <v>637</v>
      </c>
      <c r="E291" s="10" t="str">
        <f aca="false">IFERROR(IF(INDEX(水産部X!$E$2:$E$118,MATCH($A291,水産部X!$A$2:$A$118,0))="","",INDEX(水産部X!$E$2:$E$118,MATCH($A291,水産部X!$A$2:$A$118,0))),"")</f>
        <v/>
      </c>
      <c r="F291" s="9" t="str">
        <f aca="false">IF($E291="","",IFERROR(INDEX(担当者マスタ!$B$2:$B$101,MATCH($E291,担当者マスタ!$A$2:$A$101,0)),"※マスタ未登録"))</f>
        <v/>
      </c>
      <c r="G291" s="11" t="n">
        <v>1927.301</v>
      </c>
      <c r="H291" s="11" t="n">
        <v>896.31</v>
      </c>
      <c r="I291" s="11" t="n">
        <v>384.75</v>
      </c>
      <c r="J291" s="11" t="n">
        <v>232.53</v>
      </c>
      <c r="K291" s="11" t="n">
        <v>131.08</v>
      </c>
      <c r="L291" s="11" t="n">
        <v>304.45</v>
      </c>
      <c r="M291" s="11" t="n">
        <f aca="false">SUM(G291:L291)</f>
        <v>3876.421</v>
      </c>
      <c r="N291" s="11" t="n">
        <v>432.615</v>
      </c>
      <c r="O291" s="11" t="n">
        <v>199.95</v>
      </c>
      <c r="P291" s="11" t="n">
        <v>87.61</v>
      </c>
      <c r="Q291" s="11" t="n">
        <v>53.55</v>
      </c>
      <c r="R291" s="11" t="n">
        <v>30.92</v>
      </c>
      <c r="S291" s="11" t="n">
        <v>71.28</v>
      </c>
      <c r="T291" s="11" t="n">
        <f aca="false">SUM(N291:S291)</f>
        <v>875.925</v>
      </c>
      <c r="U291" s="11" t="n">
        <v>1160.935</v>
      </c>
      <c r="V291" s="11" t="n">
        <v>696.99</v>
      </c>
      <c r="W291" s="11" t="n">
        <v>540.014</v>
      </c>
      <c r="X291" s="11" t="n">
        <v>434.97</v>
      </c>
      <c r="Y291" s="11" t="n">
        <v>266.45</v>
      </c>
      <c r="Z291" s="11" t="n">
        <v>417.96</v>
      </c>
      <c r="AA291" s="11" t="n">
        <f aca="false">SUM(U291:Z291)</f>
        <v>3517.319</v>
      </c>
      <c r="AB291" s="11" t="n">
        <v>252.081</v>
      </c>
      <c r="AC291" s="11" t="n">
        <v>151.96</v>
      </c>
      <c r="AD291" s="11" t="n">
        <v>117.586</v>
      </c>
      <c r="AE291" s="11" t="n">
        <v>99.88</v>
      </c>
      <c r="AF291" s="11" t="n">
        <v>60.93</v>
      </c>
      <c r="AG291" s="11" t="n">
        <v>93.45</v>
      </c>
      <c r="AH291" s="11" t="n">
        <f aca="false">SUM(AB291:AG291)</f>
        <v>775.887</v>
      </c>
    </row>
    <row r="292" customFormat="false" ht="15" hidden="false" customHeight="false" outlineLevel="2" collapsed="false">
      <c r="A292" s="8" t="s">
        <v>650</v>
      </c>
      <c r="B292" s="9" t="s">
        <v>651</v>
      </c>
      <c r="C292" s="8" t="s">
        <v>636</v>
      </c>
      <c r="D292" s="12" t="s">
        <v>637</v>
      </c>
      <c r="E292" s="10" t="str">
        <f aca="false">IFERROR(IF(INDEX(水産部X!$E$2:$E$118,MATCH($A292,水産部X!$A$2:$A$118,0))="","",INDEX(水産部X!$E$2:$E$118,MATCH($A292,水産部X!$A$2:$A$118,0))),"")</f>
        <v/>
      </c>
      <c r="F292" s="9" t="str">
        <f aca="false">IF($E292="","",IFERROR(INDEX(担当者マスタ!$B$2:$B$101,MATCH($E292,担当者マスタ!$A$2:$A$101,0)),"※マスタ未登録"))</f>
        <v/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f aca="false">SUM(G292:L292)</f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f aca="false">SUM(N292:S292)</f>
        <v>0</v>
      </c>
      <c r="U292" s="11" t="n">
        <v>5041.8</v>
      </c>
      <c r="V292" s="11" t="n">
        <v>6213.805</v>
      </c>
      <c r="W292" s="11" t="n">
        <v>4525.811</v>
      </c>
      <c r="X292" s="11" t="n">
        <v>4430.911</v>
      </c>
      <c r="Y292" s="11" t="n">
        <v>3797.025</v>
      </c>
      <c r="Z292" s="11" t="n">
        <v>4362.168</v>
      </c>
      <c r="AA292" s="11" t="n">
        <f aca="false">SUM(U292:Z292)</f>
        <v>28371.52</v>
      </c>
      <c r="AB292" s="11" t="n">
        <v>1982.663</v>
      </c>
      <c r="AC292" s="11" t="n">
        <v>2331.152</v>
      </c>
      <c r="AD292" s="11" t="n">
        <v>1754.948</v>
      </c>
      <c r="AE292" s="11" t="n">
        <v>1655.38</v>
      </c>
      <c r="AF292" s="11" t="n">
        <v>1390.295</v>
      </c>
      <c r="AG292" s="11" t="n">
        <v>1680.919</v>
      </c>
      <c r="AH292" s="11" t="n">
        <f aca="false">SUM(AB292:AG292)</f>
        <v>10795.357</v>
      </c>
    </row>
    <row r="293" customFormat="false" ht="15" hidden="false" customHeight="false" outlineLevel="1" collapsed="false">
      <c r="A293" s="19"/>
      <c r="B293" s="19"/>
      <c r="C293" s="17" t="s">
        <v>1931</v>
      </c>
      <c r="D293" s="19" t="s">
        <v>637</v>
      </c>
      <c r="E293" s="19"/>
      <c r="F293" s="19"/>
      <c r="G293" s="18" t="n">
        <f aca="false">SUBTOTAL(9,G285:G292)</f>
        <v>2532.551</v>
      </c>
      <c r="H293" s="18" t="n">
        <f aca="false">SUBTOTAL(9,H285:H292)</f>
        <v>1223.128</v>
      </c>
      <c r="I293" s="18" t="n">
        <f aca="false">SUBTOTAL(9,I285:I292)</f>
        <v>481.32</v>
      </c>
      <c r="J293" s="18" t="n">
        <f aca="false">SUBTOTAL(9,J285:J292)</f>
        <v>336.328</v>
      </c>
      <c r="K293" s="18" t="n">
        <f aca="false">SUBTOTAL(9,K285:K292)</f>
        <v>291.988</v>
      </c>
      <c r="L293" s="18" t="n">
        <f aca="false">SUBTOTAL(9,L285:L292)</f>
        <v>425.137</v>
      </c>
      <c r="M293" s="18" t="n">
        <f aca="false">SUBTOTAL(9,M285:M292)</f>
        <v>5290.452</v>
      </c>
      <c r="N293" s="18" t="n">
        <f aca="false">SUBTOTAL(9,N285:N292)</f>
        <v>970.662</v>
      </c>
      <c r="O293" s="18" t="n">
        <f aca="false">SUBTOTAL(9,O285:O292)</f>
        <v>485.305</v>
      </c>
      <c r="P293" s="18" t="n">
        <f aca="false">SUBTOTAL(9,P285:P292)</f>
        <v>164.281</v>
      </c>
      <c r="Q293" s="18" t="n">
        <f aca="false">SUBTOTAL(9,Q285:Q292)</f>
        <v>140.607</v>
      </c>
      <c r="R293" s="18" t="n">
        <f aca="false">SUBTOTAL(9,R285:R292)</f>
        <v>185.444</v>
      </c>
      <c r="S293" s="18" t="n">
        <f aca="false">SUBTOTAL(9,S285:S292)</f>
        <v>187.331</v>
      </c>
      <c r="T293" s="18" t="n">
        <f aca="false">SUBTOTAL(9,T285:T292)</f>
        <v>2133.63</v>
      </c>
      <c r="U293" s="18" t="n">
        <f aca="false">SUBTOTAL(9,U285:U292)</f>
        <v>6308.148</v>
      </c>
      <c r="V293" s="18" t="n">
        <f aca="false">SUBTOTAL(9,V285:V292)</f>
        <v>7151.961</v>
      </c>
      <c r="W293" s="18" t="n">
        <f aca="false">SUBTOTAL(9,W285:W292)</f>
        <v>5709.122</v>
      </c>
      <c r="X293" s="18" t="n">
        <f aca="false">SUBTOTAL(9,X285:X292)</f>
        <v>5303.471</v>
      </c>
      <c r="Y293" s="18" t="n">
        <f aca="false">SUBTOTAL(9,Y285:Y292)</f>
        <v>5112.866</v>
      </c>
      <c r="Z293" s="18" t="n">
        <f aca="false">SUBTOTAL(9,Z285:Z292)</f>
        <v>4847.016</v>
      </c>
      <c r="AA293" s="18" t="n">
        <f aca="false">SUBTOTAL(9,AA285:AA292)</f>
        <v>34432.584</v>
      </c>
      <c r="AB293" s="18" t="n">
        <f aca="false">SUBTOTAL(9,AB285:AB292)</f>
        <v>2320.869</v>
      </c>
      <c r="AC293" s="18" t="n">
        <f aca="false">SUBTOTAL(9,AC285:AC292)</f>
        <v>2714.559</v>
      </c>
      <c r="AD293" s="18" t="n">
        <f aca="false">SUBTOTAL(9,AD285:AD292)</f>
        <v>2270.213</v>
      </c>
      <c r="AE293" s="18" t="n">
        <f aca="false">SUBTOTAL(9,AE285:AE292)</f>
        <v>2142.917</v>
      </c>
      <c r="AF293" s="18" t="n">
        <f aca="false">SUBTOTAL(9,AF285:AF292)</f>
        <v>1969.222</v>
      </c>
      <c r="AG293" s="18" t="n">
        <f aca="false">SUBTOTAL(9,AG285:AG292)</f>
        <v>1828.782</v>
      </c>
      <c r="AH293" s="18" t="n">
        <f aca="false">SUBTOTAL(9,AH285:AH292)</f>
        <v>13246.562</v>
      </c>
    </row>
    <row r="294" customFormat="false" ht="15" hidden="false" customHeight="false" outlineLevel="2" collapsed="false">
      <c r="A294" s="8" t="s">
        <v>652</v>
      </c>
      <c r="B294" s="12" t="s">
        <v>653</v>
      </c>
      <c r="C294" s="8" t="s">
        <v>654</v>
      </c>
      <c r="D294" s="12" t="s">
        <v>655</v>
      </c>
      <c r="E294" s="16"/>
      <c r="F294" s="9" t="str">
        <f aca="false">IF($E294="","",IFERROR(INDEX(担当者マスタ!$B$2:$B$101,MATCH($E294,担当者マスタ!$A$2:$A$101,0)),"※マスタ未登録"))</f>
        <v/>
      </c>
      <c r="G294" s="11" t="n">
        <v>219.564</v>
      </c>
      <c r="H294" s="11" t="n">
        <v>77.791</v>
      </c>
      <c r="I294" s="11" t="n">
        <v>183.928</v>
      </c>
      <c r="J294" s="11" t="n">
        <v>52.388</v>
      </c>
      <c r="K294" s="11" t="n">
        <v>42.213</v>
      </c>
      <c r="L294" s="11" t="n">
        <v>73.638</v>
      </c>
      <c r="M294" s="11" t="n">
        <f aca="false">SUM(G294:L294)</f>
        <v>649.522</v>
      </c>
      <c r="N294" s="11" t="n">
        <v>146.58</v>
      </c>
      <c r="O294" s="11" t="n">
        <v>31.779</v>
      </c>
      <c r="P294" s="11" t="n">
        <v>83.206</v>
      </c>
      <c r="Q294" s="11" t="n">
        <v>31.447</v>
      </c>
      <c r="R294" s="11" t="n">
        <v>21.221</v>
      </c>
      <c r="S294" s="11" t="n">
        <v>37.945</v>
      </c>
      <c r="T294" s="11" t="n">
        <f aca="false">SUM(N294:S294)</f>
        <v>352.178</v>
      </c>
      <c r="U294" s="11" t="n">
        <v>30.176</v>
      </c>
      <c r="V294" s="11" t="n">
        <v>201.538</v>
      </c>
      <c r="W294" s="11" t="n">
        <v>192.535</v>
      </c>
      <c r="X294" s="11" t="n">
        <v>58.168</v>
      </c>
      <c r="Y294" s="11" t="n">
        <v>6.56</v>
      </c>
      <c r="Z294" s="11" t="n">
        <v>154.97</v>
      </c>
      <c r="AA294" s="11" t="n">
        <f aca="false">SUM(U294:Z294)</f>
        <v>643.947</v>
      </c>
      <c r="AB294" s="11" t="n">
        <v>13.8</v>
      </c>
      <c r="AC294" s="11" t="n">
        <v>73.075</v>
      </c>
      <c r="AD294" s="11" t="n">
        <v>78.541</v>
      </c>
      <c r="AE294" s="11" t="n">
        <v>29.898</v>
      </c>
      <c r="AF294" s="11" t="n">
        <v>3.921</v>
      </c>
      <c r="AG294" s="11" t="n">
        <v>68.503</v>
      </c>
      <c r="AH294" s="11" t="n">
        <f aca="false">SUM(AB294:AG294)</f>
        <v>267.738</v>
      </c>
    </row>
    <row r="295" customFormat="false" ht="15" hidden="false" customHeight="false" outlineLevel="2" collapsed="false">
      <c r="A295" s="8" t="s">
        <v>656</v>
      </c>
      <c r="B295" s="12" t="s">
        <v>657</v>
      </c>
      <c r="C295" s="8" t="s">
        <v>654</v>
      </c>
      <c r="D295" s="12" t="s">
        <v>655</v>
      </c>
      <c r="E295" s="16"/>
      <c r="F295" s="9" t="str">
        <f aca="false">IF($E295="","",IFERROR(INDEX(担当者マスタ!$B$2:$B$101,MATCH($E295,担当者マスタ!$A$2:$A$101,0)),"※マスタ未登録"))</f>
        <v/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f aca="false">SUM(G295:L295)</f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f aca="false">SUM(N295:S295)</f>
        <v>0</v>
      </c>
      <c r="U295" s="11" t="n">
        <v>0</v>
      </c>
      <c r="V295" s="11" t="n">
        <v>0</v>
      </c>
      <c r="W295" s="11" t="n">
        <v>30</v>
      </c>
      <c r="X295" s="11" t="n">
        <v>0</v>
      </c>
      <c r="Y295" s="11" t="n">
        <v>0</v>
      </c>
      <c r="Z295" s="11" t="n">
        <v>0</v>
      </c>
      <c r="AA295" s="11" t="n">
        <f aca="false">SUM(U295:Z295)</f>
        <v>30</v>
      </c>
      <c r="AB295" s="11" t="n">
        <v>0</v>
      </c>
      <c r="AC295" s="11" t="n">
        <v>0</v>
      </c>
      <c r="AD295" s="11" t="n">
        <v>30</v>
      </c>
      <c r="AE295" s="11" t="n">
        <v>0</v>
      </c>
      <c r="AF295" s="11" t="n">
        <v>0</v>
      </c>
      <c r="AG295" s="11" t="n">
        <v>0</v>
      </c>
      <c r="AH295" s="11" t="n">
        <f aca="false">SUM(AB295:AG295)</f>
        <v>30</v>
      </c>
    </row>
    <row r="296" customFormat="false" ht="15" hidden="false" customHeight="false" outlineLevel="2" collapsed="false">
      <c r="A296" s="8" t="s">
        <v>658</v>
      </c>
      <c r="B296" s="12" t="s">
        <v>659</v>
      </c>
      <c r="C296" s="8" t="s">
        <v>654</v>
      </c>
      <c r="D296" s="12" t="s">
        <v>655</v>
      </c>
      <c r="E296" s="16"/>
      <c r="F296" s="9" t="str">
        <f aca="false">IF($E296="","",IFERROR(INDEX(担当者マスタ!$B$2:$B$101,MATCH($E296,担当者マスタ!$A$2:$A$101,0)),"※マスタ未登録"))</f>
        <v/>
      </c>
      <c r="G296" s="11" t="n">
        <v>21.6</v>
      </c>
      <c r="H296" s="11" t="n">
        <v>0</v>
      </c>
      <c r="I296" s="11" t="n">
        <v>0</v>
      </c>
      <c r="J296" s="11" t="n">
        <v>15.9</v>
      </c>
      <c r="K296" s="11" t="n">
        <v>0</v>
      </c>
      <c r="L296" s="11" t="n">
        <v>0</v>
      </c>
      <c r="M296" s="11" t="n">
        <f aca="false">SUM(G296:L296)</f>
        <v>37.5</v>
      </c>
      <c r="N296" s="11" t="n">
        <v>2.592</v>
      </c>
      <c r="O296" s="11" t="n">
        <v>0</v>
      </c>
      <c r="P296" s="11" t="n">
        <v>0</v>
      </c>
      <c r="Q296" s="11" t="n">
        <v>1.908</v>
      </c>
      <c r="R296" s="11" t="n">
        <v>0</v>
      </c>
      <c r="S296" s="11" t="n">
        <v>0</v>
      </c>
      <c r="T296" s="11" t="n">
        <f aca="false">SUM(N296:S296)</f>
        <v>4.5</v>
      </c>
      <c r="U296" s="11" t="n">
        <v>20.85</v>
      </c>
      <c r="V296" s="11" t="n">
        <v>0</v>
      </c>
      <c r="W296" s="11" t="n">
        <v>0</v>
      </c>
      <c r="X296" s="11" t="n">
        <v>13.95</v>
      </c>
      <c r="Y296" s="11" t="n">
        <v>0</v>
      </c>
      <c r="Z296" s="11" t="n">
        <v>0</v>
      </c>
      <c r="AA296" s="11" t="n">
        <f aca="false">SUM(U296:Z296)</f>
        <v>34.8</v>
      </c>
      <c r="AB296" s="11" t="n">
        <v>2.502</v>
      </c>
      <c r="AC296" s="11" t="n">
        <v>0</v>
      </c>
      <c r="AD296" s="11" t="n">
        <v>0</v>
      </c>
      <c r="AE296" s="11" t="n">
        <v>1.674</v>
      </c>
      <c r="AF296" s="11" t="n">
        <v>0</v>
      </c>
      <c r="AG296" s="11" t="n">
        <v>0</v>
      </c>
      <c r="AH296" s="11" t="n">
        <f aca="false">SUM(AB296:AG296)</f>
        <v>4.176</v>
      </c>
    </row>
    <row r="297" customFormat="false" ht="15" hidden="false" customHeight="false" outlineLevel="2" collapsed="false">
      <c r="A297" s="8" t="s">
        <v>660</v>
      </c>
      <c r="B297" s="12" t="s">
        <v>661</v>
      </c>
      <c r="C297" s="8" t="s">
        <v>654</v>
      </c>
      <c r="D297" s="12" t="s">
        <v>655</v>
      </c>
      <c r="E297" s="16"/>
      <c r="F297" s="9" t="str">
        <f aca="false">IF($E297="","",IFERROR(INDEX(担当者マスタ!$B$2:$B$101,MATCH($E297,担当者マスタ!$A$2:$A$101,0)),"※マスタ未登録"))</f>
        <v/>
      </c>
      <c r="G297" s="11" t="n">
        <v>18.708</v>
      </c>
      <c r="H297" s="11" t="n">
        <v>18.708</v>
      </c>
      <c r="I297" s="11" t="n">
        <v>10.143</v>
      </c>
      <c r="J297" s="11" t="n">
        <v>0</v>
      </c>
      <c r="K297" s="11" t="n">
        <v>0</v>
      </c>
      <c r="L297" s="11" t="n">
        <v>0</v>
      </c>
      <c r="M297" s="11" t="n">
        <f aca="false">SUM(G297:L297)</f>
        <v>47.559</v>
      </c>
      <c r="N297" s="11" t="n">
        <v>6.828</v>
      </c>
      <c r="O297" s="11" t="n">
        <v>6.828</v>
      </c>
      <c r="P297" s="11" t="n">
        <v>3.753</v>
      </c>
      <c r="Q297" s="11" t="n">
        <v>0</v>
      </c>
      <c r="R297" s="11" t="n">
        <v>0</v>
      </c>
      <c r="S297" s="11" t="n">
        <v>0</v>
      </c>
      <c r="T297" s="11" t="n">
        <f aca="false">SUM(N297:S297)</f>
        <v>17.409</v>
      </c>
      <c r="U297" s="11" t="n">
        <v>0</v>
      </c>
      <c r="V297" s="11" t="n">
        <v>0</v>
      </c>
      <c r="W297" s="11" t="n">
        <v>0</v>
      </c>
      <c r="X297" s="11" t="n">
        <v>0</v>
      </c>
      <c r="Y297" s="11" t="n">
        <v>10.143</v>
      </c>
      <c r="Z297" s="11" t="n">
        <v>18.708</v>
      </c>
      <c r="AA297" s="11" t="n">
        <f aca="false">SUM(U297:Z297)</f>
        <v>28.851</v>
      </c>
      <c r="AB297" s="11" t="n">
        <v>0</v>
      </c>
      <c r="AC297" s="11" t="n">
        <v>0</v>
      </c>
      <c r="AD297" s="11" t="n">
        <v>0</v>
      </c>
      <c r="AE297" s="11" t="n">
        <v>0</v>
      </c>
      <c r="AF297" s="11" t="n">
        <v>3.753</v>
      </c>
      <c r="AG297" s="11" t="n">
        <v>6.828</v>
      </c>
      <c r="AH297" s="11" t="n">
        <f aca="false">SUM(AB297:AG297)</f>
        <v>10.581</v>
      </c>
    </row>
    <row r="298" customFormat="false" ht="15" hidden="false" customHeight="false" outlineLevel="2" collapsed="false">
      <c r="A298" s="8" t="s">
        <v>662</v>
      </c>
      <c r="B298" s="12" t="s">
        <v>663</v>
      </c>
      <c r="C298" s="8" t="s">
        <v>654</v>
      </c>
      <c r="D298" s="12" t="s">
        <v>655</v>
      </c>
      <c r="E298" s="16"/>
      <c r="F298" s="9" t="str">
        <f aca="false">IF($E298="","",IFERROR(INDEX(担当者マスタ!$B$2:$B$101,MATCH($E298,担当者マスタ!$A$2:$A$101,0)),"※マスタ未登録"))</f>
        <v/>
      </c>
      <c r="G298" s="11" t="n">
        <v>15.515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f aca="false">SUM(G298:L298)</f>
        <v>15.515</v>
      </c>
      <c r="N298" s="11" t="n">
        <v>6.195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f aca="false">SUM(N298:S298)</f>
        <v>6.195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f aca="false">SUM(U298:Z298)</f>
        <v>0</v>
      </c>
      <c r="AB298" s="11" t="n">
        <v>0</v>
      </c>
      <c r="AC298" s="11" t="n">
        <v>0</v>
      </c>
      <c r="AD298" s="11" t="n">
        <v>0</v>
      </c>
      <c r="AE298" s="11" t="n">
        <v>0</v>
      </c>
      <c r="AF298" s="11" t="n">
        <v>0</v>
      </c>
      <c r="AG298" s="11" t="n">
        <v>0</v>
      </c>
      <c r="AH298" s="11" t="n">
        <f aca="false">SUM(AB298:AG298)</f>
        <v>0</v>
      </c>
    </row>
    <row r="299" customFormat="false" ht="15" hidden="false" customHeight="false" outlineLevel="2" collapsed="false">
      <c r="A299" s="8" t="s">
        <v>664</v>
      </c>
      <c r="B299" s="12" t="s">
        <v>665</v>
      </c>
      <c r="C299" s="8" t="s">
        <v>654</v>
      </c>
      <c r="D299" s="12" t="s">
        <v>655</v>
      </c>
      <c r="E299" s="16"/>
      <c r="F299" s="9" t="str">
        <f aca="false">IF($E299="","",IFERROR(INDEX(担当者マスタ!$B$2:$B$101,MATCH($E299,担当者マスタ!$A$2:$A$101,0)),"※マスタ未登録"))</f>
        <v/>
      </c>
      <c r="G299" s="11" t="n">
        <v>0</v>
      </c>
      <c r="H299" s="11" t="n">
        <v>19.35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f aca="false">SUM(G299:L299)</f>
        <v>19.35</v>
      </c>
      <c r="N299" s="11" t="n">
        <v>0</v>
      </c>
      <c r="O299" s="11" t="n">
        <v>7.434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f aca="false">SUM(N299:S299)</f>
        <v>7.434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f aca="false">SUM(U299:Z299)</f>
        <v>0</v>
      </c>
      <c r="AB299" s="11" t="n">
        <v>0</v>
      </c>
      <c r="AC299" s="11" t="n">
        <v>0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n">
        <f aca="false">SUM(AB299:AG299)</f>
        <v>0</v>
      </c>
    </row>
    <row r="300" customFormat="false" ht="15" hidden="false" customHeight="false" outlineLevel="2" collapsed="false">
      <c r="A300" s="8" t="s">
        <v>666</v>
      </c>
      <c r="B300" s="12" t="s">
        <v>667</v>
      </c>
      <c r="C300" s="8" t="s">
        <v>654</v>
      </c>
      <c r="D300" s="12" t="s">
        <v>655</v>
      </c>
      <c r="E300" s="16"/>
      <c r="F300" s="9" t="str">
        <f aca="false">IF($E300="","",IFERROR(INDEX(担当者マスタ!$B$2:$B$101,MATCH($E300,担当者マスタ!$A$2:$A$101,0)),"※マスタ未登録"))</f>
        <v/>
      </c>
      <c r="G300" s="11" t="n">
        <v>0</v>
      </c>
      <c r="H300" s="11" t="n">
        <v>0</v>
      </c>
      <c r="I300" s="11" t="n">
        <v>9.81</v>
      </c>
      <c r="J300" s="11" t="n">
        <v>0</v>
      </c>
      <c r="K300" s="11" t="n">
        <v>0</v>
      </c>
      <c r="L300" s="11" t="n">
        <v>0</v>
      </c>
      <c r="M300" s="11" t="n">
        <f aca="false">SUM(G300:L300)</f>
        <v>9.81</v>
      </c>
      <c r="N300" s="11" t="n">
        <v>0</v>
      </c>
      <c r="O300" s="11" t="n">
        <v>0</v>
      </c>
      <c r="P300" s="11" t="n">
        <v>2.123</v>
      </c>
      <c r="Q300" s="11" t="n">
        <v>0</v>
      </c>
      <c r="R300" s="11" t="n">
        <v>0</v>
      </c>
      <c r="S300" s="11" t="n">
        <v>0</v>
      </c>
      <c r="T300" s="11" t="n">
        <f aca="false">SUM(N300:S300)</f>
        <v>2.123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f aca="false">SUM(U300:Z300)</f>
        <v>0</v>
      </c>
      <c r="AB300" s="11" t="n">
        <v>0</v>
      </c>
      <c r="AC300" s="11" t="n">
        <v>0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n">
        <f aca="false">SUM(AB300:AG300)</f>
        <v>0</v>
      </c>
    </row>
    <row r="301" customFormat="false" ht="15" hidden="false" customHeight="false" outlineLevel="2" collapsed="false">
      <c r="A301" s="8" t="s">
        <v>668</v>
      </c>
      <c r="B301" s="12" t="s">
        <v>669</v>
      </c>
      <c r="C301" s="8" t="s">
        <v>654</v>
      </c>
      <c r="D301" s="12" t="s">
        <v>655</v>
      </c>
      <c r="E301" s="16"/>
      <c r="F301" s="9" t="str">
        <f aca="false">IF($E301="","",IFERROR(INDEX(担当者マスタ!$B$2:$B$101,MATCH($E301,担当者マスタ!$A$2:$A$101,0)),"※マスタ未登録"))</f>
        <v/>
      </c>
      <c r="G301" s="11" t="n">
        <v>3.5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4.22</v>
      </c>
      <c r="M301" s="11" t="n">
        <f aca="false">SUM(G301:L301)</f>
        <v>7.72</v>
      </c>
      <c r="N301" s="11" t="n">
        <v>2.27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2.99</v>
      </c>
      <c r="T301" s="11" t="n">
        <f aca="false">SUM(N301:S301)</f>
        <v>5.26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f aca="false">SUM(U301:Z301)</f>
        <v>0</v>
      </c>
      <c r="AB301" s="11" t="n">
        <v>0</v>
      </c>
      <c r="AC301" s="11" t="n">
        <v>0</v>
      </c>
      <c r="AD301" s="11" t="n">
        <v>0</v>
      </c>
      <c r="AE301" s="11" t="n">
        <v>0</v>
      </c>
      <c r="AF301" s="11" t="n">
        <v>0</v>
      </c>
      <c r="AG301" s="11" t="n">
        <v>0</v>
      </c>
      <c r="AH301" s="11" t="n">
        <f aca="false">SUM(AB301:AG301)</f>
        <v>0</v>
      </c>
    </row>
    <row r="302" customFormat="false" ht="15" hidden="false" customHeight="false" outlineLevel="2" collapsed="false">
      <c r="A302" s="8" t="s">
        <v>670</v>
      </c>
      <c r="B302" s="12" t="s">
        <v>671</v>
      </c>
      <c r="C302" s="8" t="s">
        <v>654</v>
      </c>
      <c r="D302" s="12" t="s">
        <v>655</v>
      </c>
      <c r="E302" s="16"/>
      <c r="F302" s="9" t="str">
        <f aca="false">IF($E302="","",IFERROR(INDEX(担当者マスタ!$B$2:$B$101,MATCH($E302,担当者マスタ!$A$2:$A$101,0)),"※マスタ未登録"))</f>
        <v/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f aca="false">SUM(G302:L302)</f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f aca="false">SUM(N302:S302)</f>
        <v>0</v>
      </c>
      <c r="U302" s="11" t="n">
        <v>0</v>
      </c>
      <c r="V302" s="11" t="n">
        <v>0</v>
      </c>
      <c r="W302" s="11" t="n">
        <v>0</v>
      </c>
      <c r="X302" s="11" t="n">
        <v>13.12</v>
      </c>
      <c r="Y302" s="11" t="n">
        <v>0</v>
      </c>
      <c r="Z302" s="11" t="n">
        <v>0</v>
      </c>
      <c r="AA302" s="11" t="n">
        <f aca="false">SUM(U302:Z302)</f>
        <v>13.12</v>
      </c>
      <c r="AB302" s="11" t="n">
        <v>0</v>
      </c>
      <c r="AC302" s="11" t="n">
        <v>0</v>
      </c>
      <c r="AD302" s="11" t="n">
        <v>0</v>
      </c>
      <c r="AE302" s="11" t="n">
        <v>4.12</v>
      </c>
      <c r="AF302" s="11" t="n">
        <v>0</v>
      </c>
      <c r="AG302" s="11" t="n">
        <v>0</v>
      </c>
      <c r="AH302" s="11" t="n">
        <f aca="false">SUM(AB302:AG302)</f>
        <v>4.12</v>
      </c>
    </row>
    <row r="303" customFormat="false" ht="15" hidden="false" customHeight="false" outlineLevel="2" collapsed="false">
      <c r="A303" s="8" t="s">
        <v>672</v>
      </c>
      <c r="B303" s="12" t="s">
        <v>673</v>
      </c>
      <c r="C303" s="8" t="s">
        <v>654</v>
      </c>
      <c r="D303" s="12" t="s">
        <v>655</v>
      </c>
      <c r="E303" s="16"/>
      <c r="F303" s="9" t="str">
        <f aca="false">IF($E303="","",IFERROR(INDEX(担当者マスタ!$B$2:$B$101,MATCH($E303,担当者マスタ!$A$2:$A$101,0)),"※マスタ未登録"))</f>
        <v/>
      </c>
      <c r="G303" s="11" t="n">
        <v>3.21</v>
      </c>
      <c r="H303" s="11" t="n">
        <v>5.378</v>
      </c>
      <c r="I303" s="11" t="n">
        <v>16</v>
      </c>
      <c r="J303" s="11" t="n">
        <v>7.52</v>
      </c>
      <c r="K303" s="11" t="n">
        <v>3.12</v>
      </c>
      <c r="L303" s="11" t="n">
        <v>8.82</v>
      </c>
      <c r="M303" s="11" t="n">
        <f aca="false">SUM(G303:L303)</f>
        <v>44.048</v>
      </c>
      <c r="N303" s="11" t="n">
        <v>1.54</v>
      </c>
      <c r="O303" s="11" t="n">
        <v>2.644</v>
      </c>
      <c r="P303" s="11" t="n">
        <v>12.54</v>
      </c>
      <c r="Q303" s="11" t="n">
        <v>4.05</v>
      </c>
      <c r="R303" s="11" t="n">
        <v>2.22</v>
      </c>
      <c r="S303" s="11" t="n">
        <v>6.46</v>
      </c>
      <c r="T303" s="11" t="n">
        <f aca="false">SUM(N303:S303)</f>
        <v>29.454</v>
      </c>
      <c r="U303" s="11" t="n">
        <v>15.193</v>
      </c>
      <c r="V303" s="11" t="n">
        <v>11.63</v>
      </c>
      <c r="W303" s="11" t="n">
        <v>0</v>
      </c>
      <c r="X303" s="11" t="n">
        <v>7.987</v>
      </c>
      <c r="Y303" s="11" t="n">
        <v>1.8</v>
      </c>
      <c r="Z303" s="11" t="n">
        <v>7.11</v>
      </c>
      <c r="AA303" s="11" t="n">
        <f aca="false">SUM(U303:Z303)</f>
        <v>43.72</v>
      </c>
      <c r="AB303" s="11" t="n">
        <v>7.895</v>
      </c>
      <c r="AC303" s="11" t="n">
        <v>8.39</v>
      </c>
      <c r="AD303" s="11" t="n">
        <v>0</v>
      </c>
      <c r="AE303" s="11" t="n">
        <v>3.748</v>
      </c>
      <c r="AF303" s="11" t="n">
        <v>0.7</v>
      </c>
      <c r="AG303" s="11" t="n">
        <v>5.5</v>
      </c>
      <c r="AH303" s="11" t="n">
        <f aca="false">SUM(AB303:AG303)</f>
        <v>26.233</v>
      </c>
    </row>
    <row r="304" customFormat="false" ht="15" hidden="false" customHeight="false" outlineLevel="2" collapsed="false">
      <c r="A304" s="8" t="s">
        <v>674</v>
      </c>
      <c r="B304" s="12" t="s">
        <v>675</v>
      </c>
      <c r="C304" s="8" t="s">
        <v>654</v>
      </c>
      <c r="D304" s="12" t="s">
        <v>655</v>
      </c>
      <c r="E304" s="16"/>
      <c r="F304" s="9" t="str">
        <f aca="false">IF($E304="","",IFERROR(INDEX(担当者マスタ!$B$2:$B$101,MATCH($E304,担当者マスタ!$A$2:$A$101,0)),"※マスタ未登録"))</f>
        <v/>
      </c>
      <c r="G304" s="11" t="n">
        <v>8.046</v>
      </c>
      <c r="H304" s="11" t="n">
        <v>0</v>
      </c>
      <c r="I304" s="11" t="n">
        <v>1.98</v>
      </c>
      <c r="J304" s="11" t="n">
        <v>0.8</v>
      </c>
      <c r="K304" s="11" t="n">
        <v>4.986</v>
      </c>
      <c r="L304" s="11" t="n">
        <v>16.304</v>
      </c>
      <c r="M304" s="11" t="n">
        <f aca="false">SUM(G304:L304)</f>
        <v>32.116</v>
      </c>
      <c r="N304" s="11" t="n">
        <v>3.488</v>
      </c>
      <c r="O304" s="11" t="n">
        <v>0</v>
      </c>
      <c r="P304" s="11" t="n">
        <v>1.068</v>
      </c>
      <c r="Q304" s="11" t="n">
        <v>0.324</v>
      </c>
      <c r="R304" s="11" t="n">
        <v>2.347</v>
      </c>
      <c r="S304" s="11" t="n">
        <v>6.589</v>
      </c>
      <c r="T304" s="11" t="n">
        <f aca="false">SUM(N304:S304)</f>
        <v>13.816</v>
      </c>
      <c r="U304" s="11" t="n">
        <v>6.84</v>
      </c>
      <c r="V304" s="11" t="n">
        <v>2.49</v>
      </c>
      <c r="W304" s="11" t="n">
        <v>7.84</v>
      </c>
      <c r="X304" s="11" t="n">
        <v>19.963</v>
      </c>
      <c r="Y304" s="11" t="n">
        <v>0</v>
      </c>
      <c r="Z304" s="11" t="n">
        <v>17.876</v>
      </c>
      <c r="AA304" s="11" t="n">
        <f aca="false">SUM(U304:Z304)</f>
        <v>55.009</v>
      </c>
      <c r="AB304" s="11" t="n">
        <v>2.759</v>
      </c>
      <c r="AC304" s="11" t="n">
        <v>1.074</v>
      </c>
      <c r="AD304" s="11" t="n">
        <v>2.745</v>
      </c>
      <c r="AE304" s="11" t="n">
        <v>8.792</v>
      </c>
      <c r="AF304" s="11" t="n">
        <v>0</v>
      </c>
      <c r="AG304" s="11" t="n">
        <v>6.707</v>
      </c>
      <c r="AH304" s="11" t="n">
        <f aca="false">SUM(AB304:AG304)</f>
        <v>22.077</v>
      </c>
    </row>
    <row r="305" customFormat="false" ht="15" hidden="false" customHeight="false" outlineLevel="2" collapsed="false">
      <c r="A305" s="8" t="s">
        <v>676</v>
      </c>
      <c r="B305" s="12" t="s">
        <v>677</v>
      </c>
      <c r="C305" s="8" t="s">
        <v>654</v>
      </c>
      <c r="D305" s="12" t="s">
        <v>655</v>
      </c>
      <c r="E305" s="16"/>
      <c r="F305" s="9" t="str">
        <f aca="false">IF($E305="","",IFERROR(INDEX(担当者マスタ!$B$2:$B$101,MATCH($E305,担当者マスタ!$A$2:$A$101,0)),"※マスタ未登録"))</f>
        <v/>
      </c>
      <c r="G305" s="11" t="n">
        <v>0</v>
      </c>
      <c r="H305" s="11" t="n">
        <v>0</v>
      </c>
      <c r="I305" s="11" t="n">
        <v>34.059</v>
      </c>
      <c r="J305" s="11" t="n">
        <v>0</v>
      </c>
      <c r="K305" s="11" t="n">
        <v>0</v>
      </c>
      <c r="L305" s="11" t="n">
        <v>26.039</v>
      </c>
      <c r="M305" s="11" t="n">
        <f aca="false">SUM(G305:L305)</f>
        <v>60.098</v>
      </c>
      <c r="N305" s="11" t="n">
        <v>0</v>
      </c>
      <c r="O305" s="11" t="n">
        <v>0</v>
      </c>
      <c r="P305" s="11" t="n">
        <v>13.342</v>
      </c>
      <c r="Q305" s="11" t="n">
        <v>0</v>
      </c>
      <c r="R305" s="11" t="n">
        <v>0</v>
      </c>
      <c r="S305" s="11" t="n">
        <v>11.412</v>
      </c>
      <c r="T305" s="11" t="n">
        <f aca="false">SUM(N305:S305)</f>
        <v>24.754</v>
      </c>
      <c r="U305" s="11" t="n">
        <v>17.085</v>
      </c>
      <c r="V305" s="11" t="n">
        <v>9.5</v>
      </c>
      <c r="W305" s="11" t="n">
        <v>30.438</v>
      </c>
      <c r="X305" s="11" t="n">
        <v>0</v>
      </c>
      <c r="Y305" s="11" t="n">
        <v>0</v>
      </c>
      <c r="Z305" s="11" t="n">
        <v>4.209</v>
      </c>
      <c r="AA305" s="11" t="n">
        <f aca="false">SUM(U305:Z305)</f>
        <v>61.232</v>
      </c>
      <c r="AB305" s="11" t="n">
        <v>8.666</v>
      </c>
      <c r="AC305" s="11" t="n">
        <v>4.79</v>
      </c>
      <c r="AD305" s="11" t="n">
        <v>12.924</v>
      </c>
      <c r="AE305" s="11" t="n">
        <v>0</v>
      </c>
      <c r="AF305" s="11" t="n">
        <v>0</v>
      </c>
      <c r="AG305" s="11" t="n">
        <v>2.772</v>
      </c>
      <c r="AH305" s="11" t="n">
        <f aca="false">SUM(AB305:AG305)</f>
        <v>29.152</v>
      </c>
    </row>
    <row r="306" customFormat="false" ht="15" hidden="false" customHeight="false" outlineLevel="2" collapsed="false">
      <c r="A306" s="8" t="s">
        <v>678</v>
      </c>
      <c r="B306" s="12" t="s">
        <v>679</v>
      </c>
      <c r="C306" s="8" t="s">
        <v>654</v>
      </c>
      <c r="D306" s="12" t="s">
        <v>655</v>
      </c>
      <c r="E306" s="16"/>
      <c r="F306" s="9" t="str">
        <f aca="false">IF($E306="","",IFERROR(INDEX(担当者マスタ!$B$2:$B$101,MATCH($E306,担当者マスタ!$A$2:$A$101,0)),"※マスタ未登録"))</f>
        <v/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50.4</v>
      </c>
      <c r="M306" s="11" t="n">
        <f aca="false">SUM(G306:L306)</f>
        <v>50.4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26.28</v>
      </c>
      <c r="T306" s="11" t="n">
        <f aca="false">SUM(N306:S306)</f>
        <v>26.28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50.4</v>
      </c>
      <c r="AA306" s="11" t="n">
        <f aca="false">SUM(U306:Z306)</f>
        <v>50.4</v>
      </c>
      <c r="AB306" s="11" t="n">
        <v>0</v>
      </c>
      <c r="AC306" s="11" t="n">
        <v>0</v>
      </c>
      <c r="AD306" s="11" t="n">
        <v>0</v>
      </c>
      <c r="AE306" s="11" t="n">
        <v>0</v>
      </c>
      <c r="AF306" s="11" t="n">
        <v>0</v>
      </c>
      <c r="AG306" s="11" t="n">
        <v>26.28</v>
      </c>
      <c r="AH306" s="11" t="n">
        <f aca="false">SUM(AB306:AG306)</f>
        <v>26.28</v>
      </c>
    </row>
    <row r="307" customFormat="false" ht="15" hidden="false" customHeight="false" outlineLevel="2" collapsed="false">
      <c r="A307" s="8" t="s">
        <v>680</v>
      </c>
      <c r="B307" s="12" t="s">
        <v>681</v>
      </c>
      <c r="C307" s="8" t="s">
        <v>654</v>
      </c>
      <c r="D307" s="12" t="s">
        <v>655</v>
      </c>
      <c r="E307" s="16"/>
      <c r="F307" s="9" t="str">
        <f aca="false">IF($E307="","",IFERROR(INDEX(担当者マスタ!$B$2:$B$101,MATCH($E307,担当者マスタ!$A$2:$A$101,0)),"※マスタ未登録"))</f>
        <v/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f aca="false">SUM(G307:L307)</f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f aca="false">SUM(N307:S307)</f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42</v>
      </c>
      <c r="AA307" s="11" t="n">
        <f aca="false">SUM(U307:Z307)</f>
        <v>42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19.848</v>
      </c>
      <c r="AH307" s="11" t="n">
        <f aca="false">SUM(AB307:AG307)</f>
        <v>19.848</v>
      </c>
    </row>
    <row r="308" customFormat="false" ht="15" hidden="false" customHeight="false" outlineLevel="2" collapsed="false">
      <c r="A308" s="8" t="s">
        <v>682</v>
      </c>
      <c r="B308" s="12" t="s">
        <v>683</v>
      </c>
      <c r="C308" s="8" t="s">
        <v>654</v>
      </c>
      <c r="D308" s="12" t="s">
        <v>655</v>
      </c>
      <c r="E308" s="16"/>
      <c r="F308" s="9" t="str">
        <f aca="false">IF($E308="","",IFERROR(INDEX(担当者マスタ!$B$2:$B$101,MATCH($E308,担当者マスタ!$A$2:$A$101,0)),"※マスタ未登録"))</f>
        <v/>
      </c>
      <c r="G308" s="11" t="n">
        <v>0</v>
      </c>
      <c r="H308" s="11" t="n">
        <v>47.24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f aca="false">SUM(G308:L308)</f>
        <v>47.24</v>
      </c>
      <c r="N308" s="11" t="n">
        <v>0</v>
      </c>
      <c r="O308" s="11" t="n">
        <v>10.944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f aca="false">SUM(N308:S308)</f>
        <v>10.944</v>
      </c>
      <c r="U308" s="11" t="n">
        <v>50.52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f aca="false">SUM(U308:Z308)</f>
        <v>50.52</v>
      </c>
      <c r="AB308" s="11" t="n">
        <v>11.09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f aca="false">SUM(AB308:AG308)</f>
        <v>11.09</v>
      </c>
    </row>
    <row r="309" customFormat="false" ht="15" hidden="false" customHeight="false" outlineLevel="2" collapsed="false">
      <c r="A309" s="8" t="s">
        <v>684</v>
      </c>
      <c r="B309" s="12" t="s">
        <v>685</v>
      </c>
      <c r="C309" s="8" t="s">
        <v>654</v>
      </c>
      <c r="D309" s="12" t="s">
        <v>655</v>
      </c>
      <c r="E309" s="16"/>
      <c r="F309" s="9" t="str">
        <f aca="false">IF($E309="","",IFERROR(INDEX(担当者マスタ!$B$2:$B$101,MATCH($E309,担当者マスタ!$A$2:$A$101,0)),"※マスタ未登録"))</f>
        <v/>
      </c>
      <c r="G309" s="11" t="n">
        <v>0</v>
      </c>
      <c r="H309" s="11" t="n">
        <v>0</v>
      </c>
      <c r="I309" s="11" t="n">
        <v>3.8</v>
      </c>
      <c r="J309" s="11" t="n">
        <v>0</v>
      </c>
      <c r="K309" s="11" t="n">
        <v>0</v>
      </c>
      <c r="L309" s="11" t="n">
        <v>0</v>
      </c>
      <c r="M309" s="11" t="n">
        <f aca="false">SUM(G309:L309)</f>
        <v>3.8</v>
      </c>
      <c r="N309" s="11" t="n">
        <v>0</v>
      </c>
      <c r="O309" s="11" t="n">
        <v>0</v>
      </c>
      <c r="P309" s="11" t="n">
        <v>2.57</v>
      </c>
      <c r="Q309" s="11" t="n">
        <v>0</v>
      </c>
      <c r="R309" s="11" t="n">
        <v>0</v>
      </c>
      <c r="S309" s="11" t="n">
        <v>0</v>
      </c>
      <c r="T309" s="11" t="n">
        <f aca="false">SUM(N309:S309)</f>
        <v>2.57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f aca="false">SUM(U309:Z309)</f>
        <v>0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0</v>
      </c>
      <c r="AG309" s="11" t="n">
        <v>0</v>
      </c>
      <c r="AH309" s="11" t="n">
        <f aca="false">SUM(AB309:AG309)</f>
        <v>0</v>
      </c>
    </row>
    <row r="310" customFormat="false" ht="15" hidden="false" customHeight="false" outlineLevel="2" collapsed="false">
      <c r="A310" s="8" t="s">
        <v>686</v>
      </c>
      <c r="B310" s="12" t="s">
        <v>687</v>
      </c>
      <c r="C310" s="8" t="s">
        <v>654</v>
      </c>
      <c r="D310" s="12" t="s">
        <v>655</v>
      </c>
      <c r="E310" s="16"/>
      <c r="F310" s="9" t="str">
        <f aca="false">IF($E310="","",IFERROR(INDEX(担当者マスタ!$B$2:$B$101,MATCH($E310,担当者マスタ!$A$2:$A$101,0)),"※マスタ未登録"))</f>
        <v/>
      </c>
      <c r="G310" s="11" t="n">
        <v>57.674</v>
      </c>
      <c r="H310" s="11" t="n">
        <v>132.585</v>
      </c>
      <c r="I310" s="11" t="n">
        <v>117.48</v>
      </c>
      <c r="J310" s="11" t="n">
        <v>79.016</v>
      </c>
      <c r="K310" s="11" t="n">
        <v>25.65</v>
      </c>
      <c r="L310" s="11" t="n">
        <v>76.2</v>
      </c>
      <c r="M310" s="11" t="n">
        <f aca="false">SUM(G310:L310)</f>
        <v>488.605</v>
      </c>
      <c r="N310" s="11" t="n">
        <v>21.239</v>
      </c>
      <c r="O310" s="11" t="n">
        <v>51.152</v>
      </c>
      <c r="P310" s="11" t="n">
        <v>51.212</v>
      </c>
      <c r="Q310" s="11" t="n">
        <v>35.306</v>
      </c>
      <c r="R310" s="11" t="n">
        <v>10.589</v>
      </c>
      <c r="S310" s="11" t="n">
        <v>34.578</v>
      </c>
      <c r="T310" s="11" t="n">
        <f aca="false">SUM(N310:S310)</f>
        <v>204.076</v>
      </c>
      <c r="U310" s="11" t="n">
        <v>130.45</v>
      </c>
      <c r="V310" s="11" t="n">
        <v>72.66</v>
      </c>
      <c r="W310" s="11" t="n">
        <v>76.2</v>
      </c>
      <c r="X310" s="11" t="n">
        <v>76.2</v>
      </c>
      <c r="Y310" s="11" t="n">
        <v>99.88</v>
      </c>
      <c r="Z310" s="11" t="n">
        <v>76.2</v>
      </c>
      <c r="AA310" s="11" t="n">
        <f aca="false">SUM(U310:Z310)</f>
        <v>531.59</v>
      </c>
      <c r="AB310" s="11" t="n">
        <v>58.727</v>
      </c>
      <c r="AC310" s="11" t="n">
        <v>31.542</v>
      </c>
      <c r="AD310" s="11" t="n">
        <v>34.578</v>
      </c>
      <c r="AE310" s="11" t="n">
        <v>34.578</v>
      </c>
      <c r="AF310" s="11" t="n">
        <v>45.224</v>
      </c>
      <c r="AG310" s="11" t="n">
        <v>34.578</v>
      </c>
      <c r="AH310" s="11" t="n">
        <f aca="false">SUM(AB310:AG310)</f>
        <v>239.227</v>
      </c>
    </row>
    <row r="311" customFormat="false" ht="15" hidden="false" customHeight="false" outlineLevel="2" collapsed="false">
      <c r="A311" s="8" t="s">
        <v>688</v>
      </c>
      <c r="B311" s="12" t="s">
        <v>689</v>
      </c>
      <c r="C311" s="8" t="s">
        <v>654</v>
      </c>
      <c r="D311" s="12" t="s">
        <v>655</v>
      </c>
      <c r="E311" s="16"/>
      <c r="F311" s="9" t="str">
        <f aca="false">IF($E311="","",IFERROR(INDEX(担当者マスタ!$B$2:$B$101,MATCH($E311,担当者マスタ!$A$2:$A$101,0)),"※マスタ未登録"))</f>
        <v/>
      </c>
      <c r="G311" s="11" t="n">
        <v>17.74</v>
      </c>
      <c r="H311" s="11" t="n">
        <v>3.9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f aca="false">SUM(G311:L311)</f>
        <v>21.64</v>
      </c>
      <c r="N311" s="11" t="n">
        <v>6.56</v>
      </c>
      <c r="O311" s="11" t="n">
        <v>1.98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f aca="false">SUM(N311:S311)</f>
        <v>8.54</v>
      </c>
      <c r="U311" s="11" t="n">
        <v>17.74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16.74</v>
      </c>
      <c r="AA311" s="11" t="n">
        <f aca="false">SUM(U311:Z311)</f>
        <v>34.48</v>
      </c>
      <c r="AB311" s="11" t="n">
        <v>7.56</v>
      </c>
      <c r="AC311" s="11" t="n">
        <v>0</v>
      </c>
      <c r="AD311" s="11" t="n">
        <v>0</v>
      </c>
      <c r="AE311" s="11" t="n">
        <v>0</v>
      </c>
      <c r="AF311" s="11" t="n">
        <v>0</v>
      </c>
      <c r="AG311" s="11" t="n">
        <v>6.56</v>
      </c>
      <c r="AH311" s="11" t="n">
        <f aca="false">SUM(AB311:AG311)</f>
        <v>14.12</v>
      </c>
    </row>
    <row r="312" customFormat="false" ht="15" hidden="false" customHeight="false" outlineLevel="2" collapsed="false">
      <c r="A312" s="8" t="s">
        <v>690</v>
      </c>
      <c r="B312" s="12" t="s">
        <v>691</v>
      </c>
      <c r="C312" s="8" t="s">
        <v>654</v>
      </c>
      <c r="D312" s="12" t="s">
        <v>655</v>
      </c>
      <c r="E312" s="16"/>
      <c r="F312" s="9" t="str">
        <f aca="false">IF($E312="","",IFERROR(INDEX(担当者マスタ!$B$2:$B$101,MATCH($E312,担当者マスタ!$A$2:$A$101,0)),"※マスタ未登録"))</f>
        <v/>
      </c>
      <c r="G312" s="11" t="n">
        <v>0</v>
      </c>
      <c r="H312" s="11" t="n">
        <v>11.12</v>
      </c>
      <c r="I312" s="11" t="n">
        <v>0</v>
      </c>
      <c r="J312" s="11" t="n">
        <v>0</v>
      </c>
      <c r="K312" s="11" t="n">
        <v>11.12</v>
      </c>
      <c r="L312" s="11" t="n">
        <v>0</v>
      </c>
      <c r="M312" s="11" t="n">
        <f aca="false">SUM(G312:L312)</f>
        <v>22.24</v>
      </c>
      <c r="N312" s="11" t="n">
        <v>0</v>
      </c>
      <c r="O312" s="11" t="n">
        <v>2.688</v>
      </c>
      <c r="P312" s="11" t="n">
        <v>0</v>
      </c>
      <c r="Q312" s="11" t="n">
        <v>0</v>
      </c>
      <c r="R312" s="11" t="n">
        <v>2.688</v>
      </c>
      <c r="S312" s="11" t="n">
        <v>0</v>
      </c>
      <c r="T312" s="11" t="n">
        <f aca="false">SUM(N312:S312)</f>
        <v>5.376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0</v>
      </c>
      <c r="AA312" s="11" t="n">
        <f aca="false">SUM(U312:Z312)</f>
        <v>0</v>
      </c>
      <c r="AB312" s="11" t="n">
        <v>0</v>
      </c>
      <c r="AC312" s="11" t="n">
        <v>0</v>
      </c>
      <c r="AD312" s="11" t="n">
        <v>0</v>
      </c>
      <c r="AE312" s="11" t="n">
        <v>0</v>
      </c>
      <c r="AF312" s="11" t="n">
        <v>0</v>
      </c>
      <c r="AG312" s="11" t="n">
        <v>0</v>
      </c>
      <c r="AH312" s="11" t="n">
        <f aca="false">SUM(AB312:AG312)</f>
        <v>0</v>
      </c>
    </row>
    <row r="313" customFormat="false" ht="15" hidden="false" customHeight="false" outlineLevel="2" collapsed="false">
      <c r="A313" s="8" t="s">
        <v>692</v>
      </c>
      <c r="B313" s="12" t="s">
        <v>693</v>
      </c>
      <c r="C313" s="8" t="s">
        <v>654</v>
      </c>
      <c r="D313" s="12" t="s">
        <v>655</v>
      </c>
      <c r="E313" s="16"/>
      <c r="F313" s="9" t="str">
        <f aca="false">IF($E313="","",IFERROR(INDEX(担当者マスタ!$B$2:$B$101,MATCH($E313,担当者マスタ!$A$2:$A$101,0)),"※マスタ未登録"))</f>
        <v/>
      </c>
      <c r="G313" s="11" t="n">
        <v>284.767</v>
      </c>
      <c r="H313" s="11" t="n">
        <v>423.822</v>
      </c>
      <c r="I313" s="11" t="n">
        <v>291.424</v>
      </c>
      <c r="J313" s="11" t="n">
        <v>157.409</v>
      </c>
      <c r="K313" s="11" t="n">
        <v>284.767</v>
      </c>
      <c r="L313" s="11" t="n">
        <v>715.246</v>
      </c>
      <c r="M313" s="11" t="n">
        <f aca="false">SUM(G313:L313)</f>
        <v>2157.435</v>
      </c>
      <c r="N313" s="11" t="n">
        <v>18.809</v>
      </c>
      <c r="O313" s="11" t="n">
        <v>27.594</v>
      </c>
      <c r="P313" s="11" t="n">
        <v>20.048</v>
      </c>
      <c r="Q313" s="11" t="n">
        <v>10.003</v>
      </c>
      <c r="R313" s="11" t="n">
        <v>18.809</v>
      </c>
      <c r="S313" s="11" t="n">
        <v>47.642</v>
      </c>
      <c r="T313" s="11" t="n">
        <f aca="false">SUM(N313:S313)</f>
        <v>142.905</v>
      </c>
      <c r="U313" s="11" t="n">
        <v>1599.171</v>
      </c>
      <c r="V313" s="11" t="n">
        <v>291.424</v>
      </c>
      <c r="W313" s="11" t="n">
        <v>291.424</v>
      </c>
      <c r="X313" s="11" t="n">
        <v>278.11</v>
      </c>
      <c r="Y313" s="11" t="n">
        <v>284.767</v>
      </c>
      <c r="Z313" s="11" t="n">
        <v>0</v>
      </c>
      <c r="AA313" s="11" t="n">
        <f aca="false">SUM(U313:Z313)</f>
        <v>2744.896</v>
      </c>
      <c r="AB313" s="11" t="n">
        <v>106.617</v>
      </c>
      <c r="AC313" s="11" t="n">
        <v>20.048</v>
      </c>
      <c r="AD313" s="11" t="n">
        <v>20.048</v>
      </c>
      <c r="AE313" s="11" t="n">
        <v>17.57</v>
      </c>
      <c r="AF313" s="11" t="n">
        <v>18.809</v>
      </c>
      <c r="AG313" s="11" t="n">
        <v>0</v>
      </c>
      <c r="AH313" s="11" t="n">
        <f aca="false">SUM(AB313:AG313)</f>
        <v>183.092</v>
      </c>
    </row>
    <row r="314" customFormat="false" ht="15" hidden="false" customHeight="false" outlineLevel="2" collapsed="false">
      <c r="A314" s="8" t="s">
        <v>694</v>
      </c>
      <c r="B314" s="12" t="s">
        <v>695</v>
      </c>
      <c r="C314" s="8" t="s">
        <v>654</v>
      </c>
      <c r="D314" s="12" t="s">
        <v>655</v>
      </c>
      <c r="E314" s="16"/>
      <c r="F314" s="9" t="str">
        <f aca="false">IF($E314="","",IFERROR(INDEX(担当者マスタ!$B$2:$B$101,MATCH($E314,担当者マスタ!$A$2:$A$101,0)),"※マスタ未登録"))</f>
        <v/>
      </c>
      <c r="G314" s="11" t="n">
        <v>75.24</v>
      </c>
      <c r="H314" s="11" t="n">
        <v>107.28</v>
      </c>
      <c r="I314" s="11" t="n">
        <v>128.88</v>
      </c>
      <c r="J314" s="11" t="n">
        <v>167.8</v>
      </c>
      <c r="K314" s="11" t="n">
        <v>117</v>
      </c>
      <c r="L314" s="11" t="n">
        <v>102.75</v>
      </c>
      <c r="M314" s="11" t="n">
        <f aca="false">SUM(G314:L314)</f>
        <v>698.95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f aca="false">SUM(N314:S314)</f>
        <v>0</v>
      </c>
      <c r="U314" s="11" t="n">
        <v>102.75</v>
      </c>
      <c r="V314" s="11" t="n">
        <v>322.5</v>
      </c>
      <c r="W314" s="11" t="n">
        <v>58.5</v>
      </c>
      <c r="X314" s="11" t="n">
        <v>185.25</v>
      </c>
      <c r="Y314" s="11" t="n">
        <v>192.75</v>
      </c>
      <c r="Z314" s="11" t="n">
        <v>288</v>
      </c>
      <c r="AA314" s="11" t="n">
        <f aca="false">SUM(U314:Z314)</f>
        <v>1149.75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f aca="false">SUM(AB314:AG314)</f>
        <v>0</v>
      </c>
    </row>
    <row r="315" customFormat="false" ht="15" hidden="false" customHeight="false" outlineLevel="2" collapsed="false">
      <c r="A315" s="8" t="s">
        <v>696</v>
      </c>
      <c r="B315" s="12" t="s">
        <v>697</v>
      </c>
      <c r="C315" s="8" t="s">
        <v>654</v>
      </c>
      <c r="D315" s="12" t="s">
        <v>655</v>
      </c>
      <c r="E315" s="16"/>
      <c r="F315" s="9" t="str">
        <f aca="false">IF($E315="","",IFERROR(INDEX(担当者マスタ!$B$2:$B$101,MATCH($E315,担当者マスタ!$A$2:$A$101,0)),"※マスタ未登録"))</f>
        <v/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0.46</v>
      </c>
      <c r="M315" s="11" t="n">
        <f aca="false">SUM(G315:L315)</f>
        <v>0.46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0.188</v>
      </c>
      <c r="T315" s="11" t="n">
        <f aca="false">SUM(N315:S315)</f>
        <v>0.188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0</v>
      </c>
      <c r="Z315" s="11" t="n">
        <v>0</v>
      </c>
      <c r="AA315" s="11" t="n">
        <f aca="false">SUM(U315:Z315)</f>
        <v>0</v>
      </c>
      <c r="AB315" s="11" t="n">
        <v>0</v>
      </c>
      <c r="AC315" s="11" t="n">
        <v>0</v>
      </c>
      <c r="AD315" s="11" t="n">
        <v>0</v>
      </c>
      <c r="AE315" s="11" t="n">
        <v>0</v>
      </c>
      <c r="AF315" s="11" t="n">
        <v>0</v>
      </c>
      <c r="AG315" s="11" t="n">
        <v>0</v>
      </c>
      <c r="AH315" s="11" t="n">
        <f aca="false">SUM(AB315:AG315)</f>
        <v>0</v>
      </c>
    </row>
    <row r="316" customFormat="false" ht="15" hidden="false" customHeight="false" outlineLevel="1" collapsed="false">
      <c r="A316" s="19"/>
      <c r="B316" s="19"/>
      <c r="C316" s="17" t="s">
        <v>1969</v>
      </c>
      <c r="D316" s="19" t="s">
        <v>655</v>
      </c>
      <c r="E316" s="19"/>
      <c r="F316" s="19"/>
      <c r="G316" s="18" t="n">
        <f aca="false">SUBTOTAL(9,G294:G315)</f>
        <v>725.564</v>
      </c>
      <c r="H316" s="18" t="n">
        <f aca="false">SUBTOTAL(9,H294:H315)</f>
        <v>847.174</v>
      </c>
      <c r="I316" s="18" t="n">
        <f aca="false">SUBTOTAL(9,I294:I315)</f>
        <v>797.504</v>
      </c>
      <c r="J316" s="18" t="n">
        <f aca="false">SUBTOTAL(9,J294:J315)</f>
        <v>480.833</v>
      </c>
      <c r="K316" s="18" t="n">
        <f aca="false">SUBTOTAL(9,K294:K315)</f>
        <v>488.856</v>
      </c>
      <c r="L316" s="18" t="n">
        <f aca="false">SUBTOTAL(9,L294:L315)</f>
        <v>1074.077</v>
      </c>
      <c r="M316" s="18" t="n">
        <f aca="false">SUBTOTAL(9,M294:M315)</f>
        <v>4414.008</v>
      </c>
      <c r="N316" s="18" t="n">
        <f aca="false">SUBTOTAL(9,N294:N315)</f>
        <v>216.101</v>
      </c>
      <c r="O316" s="18" t="n">
        <f aca="false">SUBTOTAL(9,O294:O315)</f>
        <v>143.043</v>
      </c>
      <c r="P316" s="18" t="n">
        <f aca="false">SUBTOTAL(9,P294:P315)</f>
        <v>189.862</v>
      </c>
      <c r="Q316" s="18" t="n">
        <f aca="false">SUBTOTAL(9,Q294:Q315)</f>
        <v>83.038</v>
      </c>
      <c r="R316" s="18" t="n">
        <f aca="false">SUBTOTAL(9,R294:R315)</f>
        <v>57.874</v>
      </c>
      <c r="S316" s="18" t="n">
        <f aca="false">SUBTOTAL(9,S294:S315)</f>
        <v>174.084</v>
      </c>
      <c r="T316" s="18" t="n">
        <f aca="false">SUBTOTAL(9,T294:T315)</f>
        <v>864.002</v>
      </c>
      <c r="U316" s="18" t="n">
        <f aca="false">SUBTOTAL(9,U294:U315)</f>
        <v>1990.775</v>
      </c>
      <c r="V316" s="18" t="n">
        <f aca="false">SUBTOTAL(9,V294:V315)</f>
        <v>911.742</v>
      </c>
      <c r="W316" s="18" t="n">
        <f aca="false">SUBTOTAL(9,W294:W315)</f>
        <v>686.937</v>
      </c>
      <c r="X316" s="18" t="n">
        <f aca="false">SUBTOTAL(9,X294:X315)</f>
        <v>652.748</v>
      </c>
      <c r="Y316" s="18" t="n">
        <f aca="false">SUBTOTAL(9,Y294:Y315)</f>
        <v>595.9</v>
      </c>
      <c r="Z316" s="18" t="n">
        <f aca="false">SUBTOTAL(9,Z294:Z315)</f>
        <v>676.213</v>
      </c>
      <c r="AA316" s="18" t="n">
        <f aca="false">SUBTOTAL(9,AA294:AA315)</f>
        <v>5514.315</v>
      </c>
      <c r="AB316" s="18" t="n">
        <f aca="false">SUBTOTAL(9,AB294:AB315)</f>
        <v>219.616</v>
      </c>
      <c r="AC316" s="18" t="n">
        <f aca="false">SUBTOTAL(9,AC294:AC315)</f>
        <v>138.919</v>
      </c>
      <c r="AD316" s="18" t="n">
        <f aca="false">SUBTOTAL(9,AD294:AD315)</f>
        <v>178.836</v>
      </c>
      <c r="AE316" s="18" t="n">
        <f aca="false">SUBTOTAL(9,AE294:AE315)</f>
        <v>100.38</v>
      </c>
      <c r="AF316" s="18" t="n">
        <f aca="false">SUBTOTAL(9,AF294:AF315)</f>
        <v>72.407</v>
      </c>
      <c r="AG316" s="18" t="n">
        <f aca="false">SUBTOTAL(9,AG294:AG315)</f>
        <v>177.576</v>
      </c>
      <c r="AH316" s="18" t="n">
        <f aca="false">SUBTOTAL(9,AH294:AH315)</f>
        <v>887.734</v>
      </c>
    </row>
    <row r="317" customFormat="false" ht="15" hidden="false" customHeight="false" outlineLevel="2" collapsed="false">
      <c r="A317" s="8" t="s">
        <v>698</v>
      </c>
      <c r="B317" s="12" t="s">
        <v>699</v>
      </c>
      <c r="C317" s="8" t="s">
        <v>700</v>
      </c>
      <c r="D317" s="12" t="s">
        <v>701</v>
      </c>
      <c r="E317" s="16"/>
      <c r="F317" s="9" t="str">
        <f aca="false">IF($E317="","",IFERROR(INDEX(担当者マスタ!$B$2:$B$101,MATCH($E317,担当者マスタ!$A$2:$A$101,0)),"※マスタ未登録"))</f>
        <v/>
      </c>
      <c r="G317" s="11" t="n">
        <v>255</v>
      </c>
      <c r="H317" s="11" t="n">
        <v>0</v>
      </c>
      <c r="I317" s="11" t="n">
        <v>0</v>
      </c>
      <c r="J317" s="11" t="n">
        <v>920</v>
      </c>
      <c r="K317" s="11" t="n">
        <v>361.6</v>
      </c>
      <c r="L317" s="11" t="n">
        <v>7125</v>
      </c>
      <c r="M317" s="11" t="n">
        <f aca="false">SUM(G317:L317)</f>
        <v>8661.6</v>
      </c>
      <c r="N317" s="11" t="n">
        <v>48.2</v>
      </c>
      <c r="O317" s="11" t="n">
        <v>0</v>
      </c>
      <c r="P317" s="11" t="n">
        <v>0</v>
      </c>
      <c r="Q317" s="11" t="n">
        <v>83</v>
      </c>
      <c r="R317" s="11" t="n">
        <v>100</v>
      </c>
      <c r="S317" s="11" t="n">
        <v>753</v>
      </c>
      <c r="T317" s="11" t="n">
        <f aca="false">SUM(N317:S317)</f>
        <v>984.2</v>
      </c>
      <c r="U317" s="11" t="n">
        <v>0</v>
      </c>
      <c r="V317" s="11" t="n">
        <v>0</v>
      </c>
      <c r="W317" s="11" t="n">
        <v>0</v>
      </c>
      <c r="X317" s="11" t="n">
        <v>64</v>
      </c>
      <c r="Y317" s="11" t="n">
        <v>1296</v>
      </c>
      <c r="Z317" s="11" t="n">
        <v>1076.7</v>
      </c>
      <c r="AA317" s="11" t="n">
        <f aca="false">SUM(U317:Z317)</f>
        <v>2436.7</v>
      </c>
      <c r="AB317" s="11" t="n">
        <v>0</v>
      </c>
      <c r="AC317" s="11" t="n">
        <v>0</v>
      </c>
      <c r="AD317" s="11" t="n">
        <v>0</v>
      </c>
      <c r="AE317" s="11" t="n">
        <v>12</v>
      </c>
      <c r="AF317" s="11" t="n">
        <v>168.446</v>
      </c>
      <c r="AG317" s="11" t="n">
        <v>160</v>
      </c>
      <c r="AH317" s="11" t="n">
        <f aca="false">SUM(AB317:AG317)</f>
        <v>340.446</v>
      </c>
    </row>
    <row r="318" customFormat="false" ht="15" hidden="false" customHeight="false" outlineLevel="2" collapsed="false">
      <c r="A318" s="8" t="s">
        <v>702</v>
      </c>
      <c r="B318" s="12" t="s">
        <v>703</v>
      </c>
      <c r="C318" s="8" t="s">
        <v>700</v>
      </c>
      <c r="D318" s="12" t="s">
        <v>701</v>
      </c>
      <c r="E318" s="16"/>
      <c r="F318" s="9" t="str">
        <f aca="false">IF($E318="","",IFERROR(INDEX(担当者マスタ!$B$2:$B$101,MATCH($E318,担当者マスタ!$A$2:$A$101,0)),"※マスタ未登録"))</f>
        <v/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45</v>
      </c>
      <c r="L318" s="11" t="n">
        <v>0</v>
      </c>
      <c r="M318" s="11" t="n">
        <f aca="false">SUM(G318:L318)</f>
        <v>45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14.25</v>
      </c>
      <c r="S318" s="11" t="n">
        <v>0</v>
      </c>
      <c r="T318" s="11" t="n">
        <f aca="false">SUM(N318:S318)</f>
        <v>14.25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f aca="false">SUM(U318:Z318)</f>
        <v>0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0</v>
      </c>
      <c r="AG318" s="11" t="n">
        <v>0</v>
      </c>
      <c r="AH318" s="11" t="n">
        <f aca="false">SUM(AB318:AG318)</f>
        <v>0</v>
      </c>
    </row>
    <row r="319" customFormat="false" ht="15" hidden="false" customHeight="false" outlineLevel="2" collapsed="false">
      <c r="A319" s="8" t="s">
        <v>704</v>
      </c>
      <c r="B319" s="12" t="s">
        <v>705</v>
      </c>
      <c r="C319" s="8" t="s">
        <v>700</v>
      </c>
      <c r="D319" s="12" t="s">
        <v>701</v>
      </c>
      <c r="E319" s="16"/>
      <c r="F319" s="9" t="str">
        <f aca="false">IF($E319="","",IFERROR(INDEX(担当者マスタ!$B$2:$B$101,MATCH($E319,担当者マスタ!$A$2:$A$101,0)),"※マスタ未登録"))</f>
        <v/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f aca="false">SUM(G319:L319)</f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f aca="false">SUM(N319:S319)</f>
        <v>0</v>
      </c>
      <c r="U319" s="11" t="n">
        <v>0</v>
      </c>
      <c r="V319" s="11" t="n">
        <v>11222.8</v>
      </c>
      <c r="W319" s="11" t="n">
        <v>0</v>
      </c>
      <c r="X319" s="11" t="n">
        <v>0</v>
      </c>
      <c r="Y319" s="11" t="n">
        <v>0</v>
      </c>
      <c r="Z319" s="11" t="n">
        <v>0</v>
      </c>
      <c r="AA319" s="11" t="n">
        <f aca="false">SUM(U319:Z319)</f>
        <v>11222.8</v>
      </c>
      <c r="AB319" s="11" t="n">
        <v>0</v>
      </c>
      <c r="AC319" s="11" t="n">
        <v>564.4</v>
      </c>
      <c r="AD319" s="11" t="n">
        <v>0</v>
      </c>
      <c r="AE319" s="11" t="n">
        <v>0</v>
      </c>
      <c r="AF319" s="11" t="n">
        <v>0</v>
      </c>
      <c r="AG319" s="11" t="n">
        <v>0</v>
      </c>
      <c r="AH319" s="11" t="n">
        <f aca="false">SUM(AB319:AG319)</f>
        <v>564.4</v>
      </c>
    </row>
    <row r="320" customFormat="false" ht="15" hidden="false" customHeight="false" outlineLevel="1" collapsed="false">
      <c r="A320" s="19"/>
      <c r="B320" s="19"/>
      <c r="C320" s="17" t="s">
        <v>1970</v>
      </c>
      <c r="D320" s="19" t="s">
        <v>701</v>
      </c>
      <c r="E320" s="19"/>
      <c r="F320" s="19"/>
      <c r="G320" s="18" t="n">
        <f aca="false">SUBTOTAL(9,G317:G319)</f>
        <v>255</v>
      </c>
      <c r="H320" s="18" t="n">
        <f aca="false">SUBTOTAL(9,H317:H319)</f>
        <v>0</v>
      </c>
      <c r="I320" s="18" t="n">
        <f aca="false">SUBTOTAL(9,I317:I319)</f>
        <v>0</v>
      </c>
      <c r="J320" s="18" t="n">
        <f aca="false">SUBTOTAL(9,J317:J319)</f>
        <v>920</v>
      </c>
      <c r="K320" s="18" t="n">
        <f aca="false">SUBTOTAL(9,K317:K319)</f>
        <v>406.6</v>
      </c>
      <c r="L320" s="18" t="n">
        <f aca="false">SUBTOTAL(9,L317:L319)</f>
        <v>7125</v>
      </c>
      <c r="M320" s="18" t="n">
        <f aca="false">SUBTOTAL(9,M317:M319)</f>
        <v>8706.6</v>
      </c>
      <c r="N320" s="18" t="n">
        <f aca="false">SUBTOTAL(9,N317:N319)</f>
        <v>48.2</v>
      </c>
      <c r="O320" s="18" t="n">
        <f aca="false">SUBTOTAL(9,O317:O319)</f>
        <v>0</v>
      </c>
      <c r="P320" s="18" t="n">
        <f aca="false">SUBTOTAL(9,P317:P319)</f>
        <v>0</v>
      </c>
      <c r="Q320" s="18" t="n">
        <f aca="false">SUBTOTAL(9,Q317:Q319)</f>
        <v>83</v>
      </c>
      <c r="R320" s="18" t="n">
        <f aca="false">SUBTOTAL(9,R317:R319)</f>
        <v>114.25</v>
      </c>
      <c r="S320" s="18" t="n">
        <f aca="false">SUBTOTAL(9,S317:S319)</f>
        <v>753</v>
      </c>
      <c r="T320" s="18" t="n">
        <f aca="false">SUBTOTAL(9,T317:T319)</f>
        <v>998.45</v>
      </c>
      <c r="U320" s="18" t="n">
        <f aca="false">SUBTOTAL(9,U317:U319)</f>
        <v>0</v>
      </c>
      <c r="V320" s="18" t="n">
        <f aca="false">SUBTOTAL(9,V317:V319)</f>
        <v>11222.8</v>
      </c>
      <c r="W320" s="18" t="n">
        <f aca="false">SUBTOTAL(9,W317:W319)</f>
        <v>0</v>
      </c>
      <c r="X320" s="18" t="n">
        <f aca="false">SUBTOTAL(9,X317:X319)</f>
        <v>64</v>
      </c>
      <c r="Y320" s="18" t="n">
        <f aca="false">SUBTOTAL(9,Y317:Y319)</f>
        <v>1296</v>
      </c>
      <c r="Z320" s="18" t="n">
        <f aca="false">SUBTOTAL(9,Z317:Z319)</f>
        <v>1076.7</v>
      </c>
      <c r="AA320" s="18" t="n">
        <f aca="false">SUBTOTAL(9,AA317:AA319)</f>
        <v>13659.5</v>
      </c>
      <c r="AB320" s="18" t="n">
        <f aca="false">SUBTOTAL(9,AB317:AB319)</f>
        <v>0</v>
      </c>
      <c r="AC320" s="18" t="n">
        <f aca="false">SUBTOTAL(9,AC317:AC319)</f>
        <v>564.4</v>
      </c>
      <c r="AD320" s="18" t="n">
        <f aca="false">SUBTOTAL(9,AD317:AD319)</f>
        <v>0</v>
      </c>
      <c r="AE320" s="18" t="n">
        <f aca="false">SUBTOTAL(9,AE317:AE319)</f>
        <v>12</v>
      </c>
      <c r="AF320" s="18" t="n">
        <f aca="false">SUBTOTAL(9,AF317:AF319)</f>
        <v>168.446</v>
      </c>
      <c r="AG320" s="18" t="n">
        <f aca="false">SUBTOTAL(9,AG317:AG319)</f>
        <v>160</v>
      </c>
      <c r="AH320" s="18" t="n">
        <f aca="false">SUBTOTAL(9,AH317:AH319)</f>
        <v>904.846</v>
      </c>
    </row>
    <row r="321" customFormat="false" ht="15" hidden="false" customHeight="false" outlineLevel="0" collapsed="false">
      <c r="A321" s="14"/>
      <c r="B321" s="14"/>
      <c r="C321" s="14" t="s">
        <v>1929</v>
      </c>
      <c r="D321" s="14"/>
      <c r="E321" s="14"/>
      <c r="F321" s="14"/>
      <c r="G321" s="15" t="n">
        <f aca="false">SUBTOTAL(9,G2:G320)</f>
        <v>73275.792</v>
      </c>
      <c r="H321" s="15" t="n">
        <f aca="false">SUBTOTAL(9,H2:H320)</f>
        <v>71993.921</v>
      </c>
      <c r="I321" s="15" t="n">
        <f aca="false">SUBTOTAL(9,I2:I320)</f>
        <v>87159.829</v>
      </c>
      <c r="J321" s="15" t="n">
        <f aca="false">SUBTOTAL(9,J2:J320)</f>
        <v>57071.124</v>
      </c>
      <c r="K321" s="15" t="n">
        <f aca="false">SUBTOTAL(9,K2:K320)</f>
        <v>53923.919</v>
      </c>
      <c r="L321" s="15" t="n">
        <f aca="false">SUBTOTAL(9,L2:L320)</f>
        <v>66290.382</v>
      </c>
      <c r="M321" s="15" t="n">
        <f aca="false">SUBTOTAL(9,M2:M320)</f>
        <v>409714.967</v>
      </c>
      <c r="N321" s="15" t="n">
        <f aca="false">SUBTOTAL(9,N2:N320)</f>
        <v>20972.909</v>
      </c>
      <c r="O321" s="15" t="n">
        <f aca="false">SUBTOTAL(9,O2:O320)</f>
        <v>20515.0222</v>
      </c>
      <c r="P321" s="15" t="n">
        <f aca="false">SUBTOTAL(9,P2:P320)</f>
        <v>25164.833</v>
      </c>
      <c r="Q321" s="15" t="n">
        <f aca="false">SUBTOTAL(9,Q2:Q320)</f>
        <v>15531.6387</v>
      </c>
      <c r="R321" s="15" t="n">
        <f aca="false">SUBTOTAL(9,R2:R320)</f>
        <v>15093.994</v>
      </c>
      <c r="S321" s="15" t="n">
        <f aca="false">SUBTOTAL(9,S2:S320)</f>
        <v>17159.3206</v>
      </c>
      <c r="T321" s="15" t="n">
        <f aca="false">SUBTOTAL(9,T2:T320)</f>
        <v>114437.7175</v>
      </c>
      <c r="U321" s="15" t="n">
        <f aca="false">SUBTOTAL(9,U2:U320)</f>
        <v>81152.972</v>
      </c>
      <c r="V321" s="15" t="n">
        <f aca="false">SUBTOTAL(9,V2:V320)</f>
        <v>88299.398</v>
      </c>
      <c r="W321" s="15" t="n">
        <f aca="false">SUBTOTAL(9,W2:W320)</f>
        <v>96315.459</v>
      </c>
      <c r="X321" s="15" t="n">
        <f aca="false">SUBTOTAL(9,X2:X320)</f>
        <v>61135.641</v>
      </c>
      <c r="Y321" s="15" t="n">
        <f aca="false">SUBTOTAL(9,Y2:Y320)</f>
        <v>67826.237</v>
      </c>
      <c r="Z321" s="15" t="n">
        <f aca="false">SUBTOTAL(9,Z2:Z320)</f>
        <v>71018.087</v>
      </c>
      <c r="AA321" s="15" t="n">
        <f aca="false">SUBTOTAL(9,AA2:AA320)</f>
        <v>465747.794</v>
      </c>
      <c r="AB321" s="15" t="n">
        <f aca="false">SUBTOTAL(9,AB2:AB320)</f>
        <v>22381.8969</v>
      </c>
      <c r="AC321" s="15" t="n">
        <f aca="false">SUBTOTAL(9,AC2:AC320)</f>
        <v>22995.3711</v>
      </c>
      <c r="AD321" s="15" t="n">
        <f aca="false">SUBTOTAL(9,AD2:AD320)</f>
        <v>27825.082</v>
      </c>
      <c r="AE321" s="15" t="n">
        <f aca="false">SUBTOTAL(9,AE2:AE320)</f>
        <v>16716.9788</v>
      </c>
      <c r="AF321" s="15" t="n">
        <f aca="false">SUBTOTAL(9,AF2:AF320)</f>
        <v>18480.4043</v>
      </c>
      <c r="AG321" s="15" t="n">
        <f aca="false">SUBTOTAL(9,AG2:AG320)</f>
        <v>20150.3168</v>
      </c>
      <c r="AH321" s="15" t="n">
        <f aca="false">SUBTOTAL(9,AH2:AH320)</f>
        <v>128550.0499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37.5" hidden="false" customHeight="true" outlineLevel="0" collapsed="false">
      <c r="A1" s="6" t="s">
        <v>23</v>
      </c>
      <c r="B1" s="6" t="s">
        <v>24</v>
      </c>
      <c r="C1" s="6" t="s">
        <v>55</v>
      </c>
      <c r="D1" s="6" t="s">
        <v>1971</v>
      </c>
    </row>
    <row r="2" customFormat="false" ht="15" hidden="false" customHeight="false" outlineLevel="0" collapsed="false">
      <c r="A2" s="8" t="s">
        <v>58</v>
      </c>
      <c r="B2" s="9" t="s">
        <v>59</v>
      </c>
      <c r="C2" s="12" t="s">
        <v>60</v>
      </c>
      <c r="D2" s="12" t="s">
        <v>1972</v>
      </c>
    </row>
    <row r="3" customFormat="false" ht="15" hidden="false" customHeight="false" outlineLevel="0" collapsed="false">
      <c r="A3" s="8" t="s">
        <v>69</v>
      </c>
      <c r="B3" s="12" t="s">
        <v>70</v>
      </c>
      <c r="C3" s="12" t="s">
        <v>71</v>
      </c>
      <c r="D3" s="12" t="s">
        <v>1972</v>
      </c>
    </row>
    <row r="4" customFormat="false" ht="15" hidden="false" customHeight="false" outlineLevel="0" collapsed="false">
      <c r="A4" s="8" t="s">
        <v>262</v>
      </c>
      <c r="B4" s="12" t="s">
        <v>263</v>
      </c>
      <c r="C4" s="12" t="s">
        <v>71</v>
      </c>
      <c r="D4" s="12" t="s">
        <v>1972</v>
      </c>
    </row>
    <row r="5" customFormat="false" ht="15" hidden="false" customHeight="false" outlineLevel="0" collapsed="false">
      <c r="A5" s="8" t="s">
        <v>388</v>
      </c>
      <c r="B5" s="12" t="s">
        <v>389</v>
      </c>
      <c r="C5" s="12" t="s">
        <v>71</v>
      </c>
      <c r="D5" s="12" t="s">
        <v>1972</v>
      </c>
    </row>
    <row r="6" customFormat="false" ht="15" hidden="false" customHeight="false" outlineLevel="0" collapsed="false">
      <c r="A6" s="8" t="s">
        <v>410</v>
      </c>
      <c r="B6" s="12" t="s">
        <v>411</v>
      </c>
      <c r="C6" s="12" t="s">
        <v>71</v>
      </c>
      <c r="D6" s="12" t="s">
        <v>1972</v>
      </c>
    </row>
    <row r="7" customFormat="false" ht="15" hidden="false" customHeight="false" outlineLevel="0" collapsed="false">
      <c r="A7" s="8" t="s">
        <v>636</v>
      </c>
      <c r="B7" s="12" t="s">
        <v>637</v>
      </c>
      <c r="C7" s="12" t="s">
        <v>60</v>
      </c>
      <c r="D7" s="12" t="s">
        <v>1972</v>
      </c>
    </row>
    <row r="8" customFormat="false" ht="15" hidden="false" customHeight="false" outlineLevel="0" collapsed="false">
      <c r="A8" s="8" t="s">
        <v>654</v>
      </c>
      <c r="B8" s="12" t="s">
        <v>655</v>
      </c>
      <c r="C8" s="12" t="s">
        <v>71</v>
      </c>
      <c r="D8" s="12" t="s">
        <v>1972</v>
      </c>
    </row>
    <row r="9" customFormat="false" ht="15" hidden="false" customHeight="false" outlineLevel="0" collapsed="false">
      <c r="A9" s="8" t="s">
        <v>700</v>
      </c>
      <c r="B9" s="12" t="s">
        <v>701</v>
      </c>
      <c r="C9" s="12" t="s">
        <v>71</v>
      </c>
      <c r="D9" s="12" t="s">
        <v>1972</v>
      </c>
    </row>
    <row r="10" customFormat="false" ht="15" hidden="false" customHeight="false" outlineLevel="0" collapsed="false">
      <c r="A10" s="8" t="s">
        <v>708</v>
      </c>
      <c r="B10" s="12" t="s">
        <v>709</v>
      </c>
      <c r="C10" s="12" t="s">
        <v>710</v>
      </c>
      <c r="D10" s="12" t="s">
        <v>1972</v>
      </c>
    </row>
    <row r="11" customFormat="false" ht="15" hidden="false" customHeight="false" outlineLevel="0" collapsed="false">
      <c r="A11" s="8" t="s">
        <v>781</v>
      </c>
      <c r="B11" s="12" t="s">
        <v>782</v>
      </c>
      <c r="C11" s="12" t="s">
        <v>710</v>
      </c>
      <c r="D11" s="12" t="s">
        <v>1972</v>
      </c>
    </row>
    <row r="12" customFormat="false" ht="15" hidden="false" customHeight="false" outlineLevel="0" collapsed="false">
      <c r="A12" s="8" t="s">
        <v>837</v>
      </c>
      <c r="B12" s="12" t="s">
        <v>838</v>
      </c>
      <c r="C12" s="12" t="s">
        <v>710</v>
      </c>
      <c r="D12" s="12" t="s">
        <v>1972</v>
      </c>
    </row>
    <row r="13" customFormat="false" ht="15" hidden="false" customHeight="false" outlineLevel="0" collapsed="false">
      <c r="A13" s="8" t="s">
        <v>917</v>
      </c>
      <c r="B13" s="12" t="s">
        <v>918</v>
      </c>
      <c r="C13" s="12" t="s">
        <v>710</v>
      </c>
      <c r="D13" s="12" t="s">
        <v>1972</v>
      </c>
    </row>
    <row r="14" customFormat="false" ht="15" hidden="false" customHeight="false" outlineLevel="0" collapsed="false">
      <c r="A14" s="8" t="s">
        <v>941</v>
      </c>
      <c r="B14" s="12" t="s">
        <v>701</v>
      </c>
      <c r="C14" s="12" t="s">
        <v>710</v>
      </c>
      <c r="D14" s="12" t="s">
        <v>1972</v>
      </c>
    </row>
    <row r="15" customFormat="false" ht="15" hidden="false" customHeight="false" outlineLevel="0" collapsed="false">
      <c r="A15" s="8" t="s">
        <v>944</v>
      </c>
      <c r="B15" s="12" t="s">
        <v>655</v>
      </c>
      <c r="C15" s="12" t="s">
        <v>710</v>
      </c>
      <c r="D15" s="12" t="s">
        <v>1972</v>
      </c>
    </row>
    <row r="16" customFormat="false" ht="15" hidden="false" customHeight="false" outlineLevel="0" collapsed="false">
      <c r="A16" s="8" t="s">
        <v>947</v>
      </c>
      <c r="B16" s="9" t="s">
        <v>948</v>
      </c>
      <c r="C16" s="12" t="s">
        <v>60</v>
      </c>
      <c r="D16" s="12" t="s">
        <v>1972</v>
      </c>
    </row>
    <row r="17" customFormat="false" ht="15" hidden="false" customHeight="false" outlineLevel="0" collapsed="false">
      <c r="A17" s="8" t="s">
        <v>953</v>
      </c>
      <c r="B17" s="12" t="s">
        <v>954</v>
      </c>
      <c r="C17" s="12" t="s">
        <v>955</v>
      </c>
      <c r="D17" s="12" t="s">
        <v>1972</v>
      </c>
    </row>
    <row r="18" customFormat="false" ht="15" hidden="false" customHeight="false" outlineLevel="0" collapsed="false">
      <c r="A18" s="8" t="s">
        <v>1045</v>
      </c>
      <c r="B18" s="12" t="s">
        <v>1046</v>
      </c>
      <c r="C18" s="12" t="s">
        <v>955</v>
      </c>
      <c r="D18" s="12" t="s">
        <v>1972</v>
      </c>
    </row>
    <row r="19" customFormat="false" ht="15" hidden="false" customHeight="false" outlineLevel="0" collapsed="false">
      <c r="A19" s="8" t="s">
        <v>1133</v>
      </c>
      <c r="B19" s="12" t="s">
        <v>1134</v>
      </c>
      <c r="C19" s="12" t="s">
        <v>955</v>
      </c>
      <c r="D19" s="12" t="s">
        <v>1972</v>
      </c>
    </row>
    <row r="20" customFormat="false" ht="15" hidden="false" customHeight="false" outlineLevel="0" collapsed="false">
      <c r="A20" s="8" t="s">
        <v>1168</v>
      </c>
      <c r="B20" s="12" t="s">
        <v>701</v>
      </c>
      <c r="C20" s="12" t="s">
        <v>955</v>
      </c>
      <c r="D20" s="12" t="s">
        <v>1972</v>
      </c>
    </row>
    <row r="21" customFormat="false" ht="15" hidden="false" customHeight="false" outlineLevel="0" collapsed="false">
      <c r="A21" s="8" t="s">
        <v>1175</v>
      </c>
      <c r="B21" s="12" t="s">
        <v>1176</v>
      </c>
      <c r="C21" s="12" t="s">
        <v>955</v>
      </c>
      <c r="D21" s="12" t="s">
        <v>1972</v>
      </c>
    </row>
    <row r="22" customFormat="false" ht="15" hidden="false" customHeight="false" outlineLevel="0" collapsed="false">
      <c r="A22" s="8" t="s">
        <v>1179</v>
      </c>
      <c r="B22" s="12" t="s">
        <v>655</v>
      </c>
      <c r="C22" s="12" t="s">
        <v>955</v>
      </c>
      <c r="D22" s="12" t="s">
        <v>1972</v>
      </c>
    </row>
    <row r="23" customFormat="false" ht="15" hidden="false" customHeight="false" outlineLevel="0" collapsed="false">
      <c r="A23" s="8" t="s">
        <v>1190</v>
      </c>
      <c r="B23" s="12" t="s">
        <v>1191</v>
      </c>
      <c r="C23" s="12" t="s">
        <v>1192</v>
      </c>
      <c r="D23" s="12" t="s">
        <v>1972</v>
      </c>
    </row>
    <row r="24" customFormat="false" ht="15" hidden="false" customHeight="false" outlineLevel="0" collapsed="false">
      <c r="A24" s="8" t="s">
        <v>1198</v>
      </c>
      <c r="B24" s="12" t="s">
        <v>1199</v>
      </c>
      <c r="C24" s="12" t="s">
        <v>1192</v>
      </c>
      <c r="D24" s="12" t="s">
        <v>1972</v>
      </c>
    </row>
    <row r="25" customFormat="false" ht="15" hidden="false" customHeight="false" outlineLevel="0" collapsed="false">
      <c r="A25" s="8" t="s">
        <v>1271</v>
      </c>
      <c r="B25" s="12" t="s">
        <v>1272</v>
      </c>
      <c r="C25" s="12" t="s">
        <v>60</v>
      </c>
      <c r="D25" s="12" t="s">
        <v>1972</v>
      </c>
    </row>
    <row r="26" customFormat="false" ht="15" hidden="false" customHeight="false" outlineLevel="0" collapsed="false">
      <c r="A26" s="8" t="s">
        <v>1275</v>
      </c>
      <c r="B26" s="9" t="s">
        <v>1276</v>
      </c>
      <c r="C26" s="12" t="s">
        <v>60</v>
      </c>
      <c r="D26" s="12" t="s">
        <v>1972</v>
      </c>
    </row>
    <row r="27" customFormat="false" ht="15" hidden="false" customHeight="false" outlineLevel="0" collapsed="false">
      <c r="A27" s="8" t="s">
        <v>1281</v>
      </c>
      <c r="B27" s="12" t="s">
        <v>1282</v>
      </c>
      <c r="C27" s="12" t="s">
        <v>60</v>
      </c>
      <c r="D27" s="12" t="s">
        <v>1972</v>
      </c>
    </row>
    <row r="28" customFormat="false" ht="15" hidden="false" customHeight="false" outlineLevel="0" collapsed="false">
      <c r="A28" s="8" t="s">
        <v>1319</v>
      </c>
      <c r="B28" s="12" t="s">
        <v>1320</v>
      </c>
      <c r="C28" s="12" t="s">
        <v>60</v>
      </c>
      <c r="D28" s="12" t="s">
        <v>1972</v>
      </c>
    </row>
    <row r="29" customFormat="false" ht="15" hidden="false" customHeight="false" outlineLevel="0" collapsed="false">
      <c r="A29" s="8" t="s">
        <v>1471</v>
      </c>
      <c r="B29" s="12" t="s">
        <v>1472</v>
      </c>
      <c r="C29" s="12" t="s">
        <v>1192</v>
      </c>
      <c r="D29" s="12" t="s">
        <v>1972</v>
      </c>
    </row>
    <row r="30" customFormat="false" ht="15" hidden="false" customHeight="false" outlineLevel="0" collapsed="false">
      <c r="A30" s="8" t="s">
        <v>1525</v>
      </c>
      <c r="B30" s="12" t="s">
        <v>1526</v>
      </c>
      <c r="C30" s="12" t="s">
        <v>955</v>
      </c>
      <c r="D30" s="12" t="s">
        <v>1972</v>
      </c>
    </row>
    <row r="31" customFormat="false" ht="15" hidden="false" customHeight="false" outlineLevel="0" collapsed="false">
      <c r="A31" s="8" t="s">
        <v>1649</v>
      </c>
      <c r="B31" s="12" t="s">
        <v>1650</v>
      </c>
      <c r="C31" s="12" t="s">
        <v>955</v>
      </c>
      <c r="D31" s="12" t="s">
        <v>1972</v>
      </c>
    </row>
    <row r="32" customFormat="false" ht="15" hidden="false" customHeight="false" outlineLevel="0" collapsed="false">
      <c r="A32" s="8" t="s">
        <v>1690</v>
      </c>
      <c r="B32" s="12" t="s">
        <v>1691</v>
      </c>
      <c r="C32" s="12" t="s">
        <v>955</v>
      </c>
      <c r="D32" s="12" t="s">
        <v>1972</v>
      </c>
    </row>
    <row r="33" customFormat="false" ht="15" hidden="false" customHeight="false" outlineLevel="0" collapsed="false">
      <c r="A33" s="8" t="s">
        <v>1750</v>
      </c>
      <c r="B33" s="12" t="s">
        <v>1751</v>
      </c>
      <c r="C33" s="12" t="s">
        <v>955</v>
      </c>
      <c r="D33" s="12" t="s">
        <v>1972</v>
      </c>
    </row>
    <row r="34" customFormat="false" ht="15" hidden="false" customHeight="false" outlineLevel="0" collapsed="false">
      <c r="A34" s="8" t="s">
        <v>1830</v>
      </c>
      <c r="B34" s="12" t="s">
        <v>1831</v>
      </c>
      <c r="C34" s="12" t="s">
        <v>955</v>
      </c>
      <c r="D34" s="12" t="s">
        <v>1972</v>
      </c>
    </row>
    <row r="35" customFormat="false" ht="15" hidden="false" customHeight="false" outlineLevel="0" collapsed="false">
      <c r="A35" s="8" t="s">
        <v>1887</v>
      </c>
      <c r="B35" s="12" t="s">
        <v>1888</v>
      </c>
      <c r="C35" s="12" t="s">
        <v>955</v>
      </c>
      <c r="D35" s="12" t="s">
        <v>1972</v>
      </c>
    </row>
    <row r="36" customFormat="false" ht="15" hidden="false" customHeight="false" outlineLevel="0" collapsed="false">
      <c r="A36" s="8" t="s">
        <v>1903</v>
      </c>
      <c r="B36" s="12" t="s">
        <v>655</v>
      </c>
      <c r="C36" s="12" t="s">
        <v>955</v>
      </c>
      <c r="D36" s="12" t="s">
        <v>1972</v>
      </c>
    </row>
    <row r="37" customFormat="false" ht="15" hidden="false" customHeight="false" outlineLevel="0" collapsed="false">
      <c r="A37" s="8" t="s">
        <v>1926</v>
      </c>
      <c r="B37" s="12" t="s">
        <v>701</v>
      </c>
      <c r="C37" s="12" t="s">
        <v>955</v>
      </c>
      <c r="D37" s="12" t="s">
        <v>1972</v>
      </c>
    </row>
    <row r="38" customFormat="false" ht="15" hidden="false" customHeight="false" outlineLevel="0" collapsed="false">
      <c r="A38" s="16"/>
      <c r="B38" s="20"/>
      <c r="C38" s="20"/>
      <c r="D38" s="21" t="s">
        <v>1973</v>
      </c>
    </row>
    <row r="39" customFormat="false" ht="15" hidden="false" customHeight="false" outlineLevel="0" collapsed="false">
      <c r="A39" s="16"/>
      <c r="B39" s="20"/>
      <c r="C39" s="20"/>
      <c r="D39" s="20"/>
    </row>
    <row r="40" customFormat="false" ht="15" hidden="false" customHeight="false" outlineLevel="0" collapsed="false">
      <c r="A40" s="16"/>
      <c r="B40" s="20"/>
      <c r="C40" s="20"/>
      <c r="D40" s="20"/>
    </row>
    <row r="41" customFormat="false" ht="15" hidden="false" customHeight="false" outlineLevel="0" collapsed="false">
      <c r="A41" s="16"/>
      <c r="B41" s="20"/>
      <c r="C41" s="20"/>
      <c r="D41" s="20"/>
    </row>
    <row r="42" customFormat="false" ht="15" hidden="false" customHeight="false" outlineLevel="0" collapsed="false">
      <c r="A42" s="16"/>
      <c r="B42" s="20"/>
      <c r="C42" s="20"/>
      <c r="D42" s="20"/>
    </row>
    <row r="43" customFormat="false" ht="15" hidden="false" customHeight="false" outlineLevel="0" collapsed="false">
      <c r="A43" s="16"/>
      <c r="B43" s="20"/>
      <c r="C43" s="20"/>
      <c r="D43" s="20"/>
    </row>
    <row r="44" customFormat="false" ht="15" hidden="false" customHeight="false" outlineLevel="0" collapsed="false">
      <c r="A44" s="16"/>
      <c r="B44" s="20"/>
      <c r="C44" s="20"/>
      <c r="D44" s="20"/>
    </row>
    <row r="45" customFormat="false" ht="15" hidden="false" customHeight="false" outlineLevel="0" collapsed="false">
      <c r="A45" s="16"/>
      <c r="B45" s="20"/>
      <c r="C45" s="20"/>
      <c r="D45" s="20"/>
    </row>
    <row r="46" customFormat="false" ht="15" hidden="false" customHeight="false" outlineLevel="0" collapsed="false">
      <c r="A46" s="16"/>
      <c r="B46" s="20"/>
      <c r="C46" s="20"/>
      <c r="D46" s="20"/>
    </row>
    <row r="47" customFormat="false" ht="15" hidden="false" customHeight="false" outlineLevel="0" collapsed="false">
      <c r="A47" s="16"/>
      <c r="B47" s="20"/>
      <c r="C47" s="20"/>
      <c r="D47" s="20"/>
    </row>
    <row r="48" customFormat="false" ht="15" hidden="false" customHeight="false" outlineLevel="0" collapsed="false">
      <c r="A48" s="16"/>
      <c r="B48" s="20"/>
      <c r="C48" s="20"/>
      <c r="D48" s="20"/>
    </row>
    <row r="49" customFormat="false" ht="15" hidden="false" customHeight="false" outlineLevel="0" collapsed="false">
      <c r="A49" s="16"/>
      <c r="B49" s="20"/>
      <c r="C49" s="20"/>
      <c r="D49" s="20"/>
    </row>
    <row r="50" customFormat="false" ht="15" hidden="false" customHeight="false" outlineLevel="0" collapsed="false">
      <c r="A50" s="16"/>
      <c r="B50" s="20"/>
      <c r="C50" s="20"/>
      <c r="D50" s="20"/>
    </row>
    <row r="51" customFormat="false" ht="15" hidden="false" customHeight="false" outlineLevel="0" collapsed="false">
      <c r="A51" s="16"/>
      <c r="B51" s="20"/>
      <c r="C51" s="20"/>
      <c r="D51" s="20"/>
    </row>
    <row r="52" customFormat="false" ht="15" hidden="false" customHeight="false" outlineLevel="0" collapsed="false">
      <c r="A52" s="16"/>
      <c r="B52" s="20"/>
      <c r="C52" s="20"/>
      <c r="D52" s="20"/>
    </row>
    <row r="53" customFormat="false" ht="15" hidden="false" customHeight="false" outlineLevel="0" collapsed="false">
      <c r="A53" s="16"/>
      <c r="B53" s="20"/>
      <c r="C53" s="20"/>
      <c r="D53" s="20"/>
    </row>
    <row r="54" customFormat="false" ht="15" hidden="false" customHeight="false" outlineLevel="0" collapsed="false">
      <c r="A54" s="16"/>
      <c r="B54" s="20"/>
      <c r="C54" s="20"/>
      <c r="D54" s="20"/>
    </row>
    <row r="55" customFormat="false" ht="15" hidden="false" customHeight="false" outlineLevel="0" collapsed="false">
      <c r="A55" s="16"/>
      <c r="B55" s="20"/>
      <c r="C55" s="20"/>
      <c r="D55" s="20"/>
    </row>
    <row r="56" customFormat="false" ht="15" hidden="false" customHeight="false" outlineLevel="0" collapsed="false">
      <c r="A56" s="16"/>
      <c r="B56" s="20"/>
      <c r="C56" s="20"/>
      <c r="D56" s="20"/>
    </row>
    <row r="57" customFormat="false" ht="15" hidden="false" customHeight="false" outlineLevel="0" collapsed="false">
      <c r="A57" s="16"/>
      <c r="B57" s="20"/>
      <c r="C57" s="20"/>
      <c r="D57" s="20"/>
    </row>
    <row r="58" customFormat="false" ht="15" hidden="false" customHeight="false" outlineLevel="0" collapsed="false">
      <c r="A58" s="16"/>
      <c r="B58" s="20"/>
      <c r="C58" s="20"/>
      <c r="D58" s="20"/>
    </row>
    <row r="59" customFormat="false" ht="15" hidden="false" customHeight="false" outlineLevel="0" collapsed="false">
      <c r="A59" s="16"/>
      <c r="B59" s="20"/>
      <c r="C59" s="20"/>
      <c r="D59" s="20"/>
    </row>
    <row r="60" customFormat="false" ht="15" hidden="false" customHeight="false" outlineLevel="0" collapsed="false">
      <c r="A60" s="16"/>
      <c r="B60" s="20"/>
      <c r="C60" s="20"/>
      <c r="D60" s="20"/>
    </row>
    <row r="61" customFormat="false" ht="15" hidden="false" customHeight="false" outlineLevel="0" collapsed="false">
      <c r="A61" s="16"/>
      <c r="B61" s="20"/>
      <c r="C61" s="20"/>
      <c r="D61" s="20"/>
    </row>
    <row r="62" customFormat="false" ht="15" hidden="false" customHeight="false" outlineLevel="0" collapsed="false">
      <c r="A62" s="16"/>
      <c r="B62" s="20"/>
      <c r="C62" s="20"/>
      <c r="D62" s="20"/>
    </row>
    <row r="63" customFormat="false" ht="15" hidden="false" customHeight="false" outlineLevel="0" collapsed="false">
      <c r="A63" s="16"/>
      <c r="B63" s="20"/>
      <c r="C63" s="20"/>
      <c r="D63" s="20"/>
    </row>
    <row r="64" customFormat="false" ht="15" hidden="false" customHeight="false" outlineLevel="0" collapsed="false">
      <c r="A64" s="16"/>
      <c r="B64" s="20"/>
      <c r="C64" s="20"/>
      <c r="D64" s="20"/>
    </row>
    <row r="65" customFormat="false" ht="15" hidden="false" customHeight="false" outlineLevel="0" collapsed="false">
      <c r="A65" s="16"/>
      <c r="B65" s="20"/>
      <c r="C65" s="20"/>
      <c r="D65" s="20"/>
    </row>
    <row r="66" customFormat="false" ht="15" hidden="false" customHeight="false" outlineLevel="0" collapsed="false">
      <c r="A66" s="16"/>
      <c r="B66" s="20"/>
      <c r="C66" s="20"/>
      <c r="D66" s="20"/>
    </row>
    <row r="67" customFormat="false" ht="15" hidden="false" customHeight="false" outlineLevel="0" collapsed="false">
      <c r="A67" s="16"/>
      <c r="B67" s="20"/>
      <c r="C67" s="20"/>
      <c r="D67" s="20"/>
    </row>
    <row r="68" customFormat="false" ht="15" hidden="false" customHeight="false" outlineLevel="0" collapsed="false">
      <c r="A68" s="16"/>
      <c r="B68" s="20"/>
      <c r="C68" s="20"/>
      <c r="D68" s="20"/>
    </row>
    <row r="69" customFormat="false" ht="15" hidden="false" customHeight="false" outlineLevel="0" collapsed="false">
      <c r="A69" s="16"/>
      <c r="B69" s="20"/>
      <c r="C69" s="20"/>
      <c r="D69" s="20"/>
    </row>
    <row r="70" customFormat="false" ht="15" hidden="false" customHeight="false" outlineLevel="0" collapsed="false">
      <c r="A70" s="16"/>
      <c r="B70" s="20"/>
      <c r="C70" s="20"/>
      <c r="D70" s="20"/>
    </row>
    <row r="71" customFormat="false" ht="15" hidden="false" customHeight="false" outlineLevel="0" collapsed="false">
      <c r="A71" s="16"/>
      <c r="B71" s="20"/>
      <c r="C71" s="20"/>
      <c r="D71" s="20"/>
    </row>
    <row r="72" customFormat="false" ht="15" hidden="false" customHeight="false" outlineLevel="0" collapsed="false">
      <c r="A72" s="16"/>
      <c r="B72" s="20"/>
      <c r="C72" s="20"/>
      <c r="D72" s="20"/>
    </row>
    <row r="73" customFormat="false" ht="15" hidden="false" customHeight="false" outlineLevel="0" collapsed="false">
      <c r="A73" s="16"/>
      <c r="B73" s="20"/>
      <c r="C73" s="20"/>
      <c r="D73" s="20"/>
    </row>
    <row r="74" customFormat="false" ht="15" hidden="false" customHeight="false" outlineLevel="0" collapsed="false">
      <c r="A74" s="16"/>
      <c r="B74" s="20"/>
      <c r="C74" s="20"/>
      <c r="D74" s="20"/>
    </row>
    <row r="75" customFormat="false" ht="15" hidden="false" customHeight="false" outlineLevel="0" collapsed="false">
      <c r="A75" s="16"/>
      <c r="B75" s="20"/>
      <c r="C75" s="20"/>
      <c r="D75" s="20"/>
    </row>
    <row r="76" customFormat="false" ht="15" hidden="false" customHeight="false" outlineLevel="0" collapsed="false">
      <c r="A76" s="16"/>
      <c r="B76" s="20"/>
      <c r="C76" s="20"/>
      <c r="D76" s="20"/>
    </row>
    <row r="77" customFormat="false" ht="15" hidden="false" customHeight="false" outlineLevel="0" collapsed="false">
      <c r="A77" s="16"/>
      <c r="B77" s="20"/>
      <c r="C77" s="20"/>
      <c r="D77" s="20"/>
    </row>
    <row r="78" customFormat="false" ht="15" hidden="false" customHeight="false" outlineLevel="0" collapsed="false">
      <c r="A78" s="16"/>
      <c r="B78" s="20"/>
      <c r="C78" s="20"/>
      <c r="D78" s="20"/>
    </row>
    <row r="79" customFormat="false" ht="15" hidden="false" customHeight="false" outlineLevel="0" collapsed="false">
      <c r="A79" s="16"/>
      <c r="B79" s="20"/>
      <c r="C79" s="20"/>
      <c r="D79" s="20"/>
    </row>
    <row r="80" customFormat="false" ht="15" hidden="false" customHeight="false" outlineLevel="0" collapsed="false">
      <c r="A80" s="16"/>
      <c r="B80" s="20"/>
      <c r="C80" s="20"/>
      <c r="D80" s="20"/>
    </row>
    <row r="81" customFormat="false" ht="15" hidden="false" customHeight="false" outlineLevel="0" collapsed="false">
      <c r="A81" s="16"/>
      <c r="B81" s="20"/>
      <c r="C81" s="20"/>
      <c r="D81" s="20"/>
    </row>
    <row r="82" customFormat="false" ht="15" hidden="false" customHeight="false" outlineLevel="0" collapsed="false">
      <c r="A82" s="16"/>
      <c r="B82" s="20"/>
      <c r="C82" s="20"/>
      <c r="D82" s="20"/>
    </row>
    <row r="83" customFormat="false" ht="15" hidden="false" customHeight="false" outlineLevel="0" collapsed="false">
      <c r="A83" s="16"/>
      <c r="B83" s="20"/>
      <c r="C83" s="20"/>
      <c r="D83" s="20"/>
    </row>
    <row r="84" customFormat="false" ht="15" hidden="false" customHeight="false" outlineLevel="0" collapsed="false">
      <c r="A84" s="16"/>
      <c r="B84" s="20"/>
      <c r="C84" s="20"/>
      <c r="D84" s="20"/>
    </row>
    <row r="85" customFormat="false" ht="15" hidden="false" customHeight="false" outlineLevel="0" collapsed="false">
      <c r="A85" s="16"/>
      <c r="B85" s="20"/>
      <c r="C85" s="20"/>
      <c r="D85" s="20"/>
    </row>
    <row r="86" customFormat="false" ht="15" hidden="false" customHeight="false" outlineLevel="0" collapsed="false">
      <c r="A86" s="16"/>
      <c r="B86" s="20"/>
      <c r="C86" s="20"/>
      <c r="D86" s="20"/>
    </row>
    <row r="87" customFormat="false" ht="15" hidden="false" customHeight="false" outlineLevel="0" collapsed="false">
      <c r="A87" s="16"/>
      <c r="B87" s="20"/>
      <c r="C87" s="20"/>
      <c r="D87" s="20"/>
    </row>
    <row r="88" customFormat="false" ht="15" hidden="false" customHeight="false" outlineLevel="0" collapsed="false">
      <c r="A88" s="16"/>
      <c r="B88" s="20"/>
      <c r="C88" s="20"/>
      <c r="D88" s="20"/>
    </row>
    <row r="89" customFormat="false" ht="15" hidden="false" customHeight="false" outlineLevel="0" collapsed="false">
      <c r="A89" s="16"/>
      <c r="B89" s="20"/>
      <c r="C89" s="20"/>
      <c r="D89" s="20"/>
    </row>
    <row r="90" customFormat="false" ht="15" hidden="false" customHeight="false" outlineLevel="0" collapsed="false">
      <c r="A90" s="16"/>
      <c r="B90" s="20"/>
      <c r="C90" s="20"/>
      <c r="D90" s="20"/>
    </row>
    <row r="91" customFormat="false" ht="15" hidden="false" customHeight="false" outlineLevel="0" collapsed="false">
      <c r="A91" s="16"/>
      <c r="B91" s="20"/>
      <c r="C91" s="20"/>
      <c r="D91" s="20"/>
    </row>
    <row r="92" customFormat="false" ht="15" hidden="false" customHeight="false" outlineLevel="0" collapsed="false">
      <c r="A92" s="16"/>
      <c r="B92" s="20"/>
      <c r="C92" s="20"/>
      <c r="D92" s="20"/>
    </row>
    <row r="93" customFormat="false" ht="15" hidden="false" customHeight="false" outlineLevel="0" collapsed="false">
      <c r="A93" s="16"/>
      <c r="B93" s="20"/>
      <c r="C93" s="20"/>
      <c r="D93" s="20"/>
    </row>
    <row r="94" customFormat="false" ht="15" hidden="false" customHeight="false" outlineLevel="0" collapsed="false">
      <c r="A94" s="16"/>
      <c r="B94" s="20"/>
      <c r="C94" s="20"/>
      <c r="D94" s="20"/>
    </row>
    <row r="95" customFormat="false" ht="15" hidden="false" customHeight="false" outlineLevel="0" collapsed="false">
      <c r="A95" s="16"/>
      <c r="B95" s="20"/>
      <c r="C95" s="20"/>
      <c r="D95" s="20"/>
    </row>
    <row r="96" customFormat="false" ht="15" hidden="false" customHeight="false" outlineLevel="0" collapsed="false">
      <c r="A96" s="16"/>
      <c r="B96" s="20"/>
      <c r="C96" s="20"/>
      <c r="D96" s="20"/>
    </row>
    <row r="97" customFormat="false" ht="15" hidden="false" customHeight="false" outlineLevel="0" collapsed="false">
      <c r="A97" s="16"/>
      <c r="B97" s="20"/>
      <c r="C97" s="20"/>
      <c r="D97" s="20"/>
    </row>
    <row r="98" customFormat="false" ht="15" hidden="false" customHeight="false" outlineLevel="0" collapsed="false">
      <c r="A98" s="16"/>
      <c r="B98" s="20"/>
      <c r="C98" s="20"/>
      <c r="D98" s="20"/>
    </row>
    <row r="99" customFormat="false" ht="15" hidden="false" customHeight="false" outlineLevel="0" collapsed="false">
      <c r="A99" s="16"/>
      <c r="B99" s="20"/>
      <c r="C99" s="20"/>
      <c r="D99" s="20"/>
    </row>
    <row r="100" customFormat="false" ht="15" hidden="false" customHeight="false" outlineLevel="0" collapsed="false">
      <c r="A100" s="16"/>
      <c r="B100" s="20"/>
      <c r="C100" s="20"/>
      <c r="D100" s="20"/>
    </row>
    <row r="101" customFormat="false" ht="15" hidden="false" customHeight="false" outlineLevel="0" collapsed="false">
      <c r="A101" s="16"/>
      <c r="B101" s="20"/>
      <c r="C101" s="20"/>
      <c r="D10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13" min="4" style="0" width="15"/>
  </cols>
  <sheetData>
    <row r="1" customFormat="false" ht="37.5" hidden="false" customHeight="true" outlineLevel="0" collapsed="false">
      <c r="A1" s="6" t="s">
        <v>23</v>
      </c>
      <c r="B1" s="6" t="s">
        <v>24</v>
      </c>
      <c r="C1" s="6" t="s">
        <v>55</v>
      </c>
      <c r="D1" s="6" t="s">
        <v>1974</v>
      </c>
      <c r="E1" s="6" t="s">
        <v>1975</v>
      </c>
      <c r="F1" s="6" t="s">
        <v>1976</v>
      </c>
      <c r="G1" s="6" t="s">
        <v>1977</v>
      </c>
      <c r="H1" s="6" t="s">
        <v>1978</v>
      </c>
      <c r="I1" s="6" t="s">
        <v>1979</v>
      </c>
      <c r="J1" s="6" t="s">
        <v>1980</v>
      </c>
      <c r="K1" s="6" t="s">
        <v>1981</v>
      </c>
      <c r="L1" s="6" t="s">
        <v>1982</v>
      </c>
      <c r="M1" s="6" t="s">
        <v>1983</v>
      </c>
    </row>
    <row r="2" customFormat="false" ht="15" hidden="false" customHeight="false" outlineLevel="0" collapsed="false">
      <c r="A2" s="8" t="str">
        <f aca="false">IF(担当者マスタ!A2="","",担当者マスタ!A2)</f>
        <v>0010</v>
      </c>
      <c r="B2" s="9" t="str">
        <f aca="false">IF(担当者マスタ!A2="","",担当者マスタ!B2)</f>
        <v>JF</v>
      </c>
      <c r="C2" s="9" t="str">
        <f aca="false">IF(担当者マスタ!A2="","",担当者マスタ!C2)</f>
        <v>水産部X</v>
      </c>
      <c r="D2" s="22" t="n">
        <f aca="false">IF($A2="","",COUNTIF(全体!$C$2:$C$908,$A2))</f>
        <v>4</v>
      </c>
      <c r="E2" s="11" t="n">
        <f aca="false">IF($A2="","",SUMIFS(全体!$M$2:$M$908,全体!$C$2:$C$908,$A2))</f>
        <v>37703.946</v>
      </c>
      <c r="F2" s="11" t="n">
        <f aca="false">IF($A2="","",SUMIFS(全体!$T$2:$T$908,全体!$C$2:$C$908,$A2))</f>
        <v>7096.603</v>
      </c>
      <c r="G2" s="11" t="n">
        <f aca="false">IF($A2="","",SUMIFS(全体!$AA$2:$AA$908,全体!$C$2:$C$908,$A2))</f>
        <v>34349.197</v>
      </c>
      <c r="H2" s="11" t="n">
        <f aca="false">IF($A2="","",SUMIFS(全体!$AH$2:$AH$908,全体!$C$2:$C$908,$A2))</f>
        <v>7316.918</v>
      </c>
      <c r="I2" s="22" t="n">
        <f aca="false">IF($A2="","",COUNTIF(全体!$E$2:$E$908,$A2))</f>
        <v>0</v>
      </c>
      <c r="J2" s="11" t="n">
        <f aca="false">IF($A2="","",SUMIFS(全体!$M$2:$M$908,全体!$E$2:$E$908,$A2))</f>
        <v>0</v>
      </c>
      <c r="K2" s="11" t="n">
        <f aca="false">IF($A2="","",SUMIFS(全体!$T$2:$T$908,全体!$E$2:$E$908,$A2))</f>
        <v>0</v>
      </c>
      <c r="L2" s="11" t="n">
        <f aca="false">IF($A2="","",SUMIFS(全体!$AA$2:$AA$908,全体!$E$2:$E$908,$A2))</f>
        <v>0</v>
      </c>
      <c r="M2" s="11" t="n">
        <f aca="false">IF($A2="","",SUMIFS(全体!$AH$2:$AH$908,全体!$E$2:$E$908,$A2))</f>
        <v>0</v>
      </c>
    </row>
    <row r="3" customFormat="false" ht="15" hidden="false" customHeight="false" outlineLevel="0" collapsed="false">
      <c r="A3" s="8" t="str">
        <f aca="false">IF(担当者マスタ!A3="","",担当者マスタ!A3)</f>
        <v>0011</v>
      </c>
      <c r="B3" s="9" t="str">
        <f aca="false">IF(担当者マスタ!A3="","",担当者マスタ!B3)</f>
        <v>佐々木邦</v>
      </c>
      <c r="C3" s="9" t="str">
        <f aca="false">IF(担当者マスタ!A3="","",担当者マスタ!C3)</f>
        <v>石見</v>
      </c>
      <c r="D3" s="22" t="n">
        <f aca="false">IF($A3="","",COUNTIF(全体!$C$2:$C$908,$A3))</f>
        <v>95</v>
      </c>
      <c r="E3" s="11" t="n">
        <f aca="false">IF($A3="","",SUMIFS(全体!$M$2:$M$908,全体!$C$2:$C$908,$A3))</f>
        <v>107303.02</v>
      </c>
      <c r="F3" s="11" t="n">
        <f aca="false">IF($A3="","",SUMIFS(全体!$T$2:$T$908,全体!$C$2:$C$908,$A3))</f>
        <v>27920.262</v>
      </c>
      <c r="G3" s="11" t="n">
        <f aca="false">IF($A3="","",SUMIFS(全体!$AA$2:$AA$908,全体!$C$2:$C$908,$A3))</f>
        <v>127581.651</v>
      </c>
      <c r="H3" s="11" t="n">
        <f aca="false">IF($A3="","",SUMIFS(全体!$AH$2:$AH$908,全体!$C$2:$C$908,$A3))</f>
        <v>31155.3066</v>
      </c>
      <c r="I3" s="22" t="n">
        <f aca="false">IF($A3="","",COUNTIF(全体!$E$2:$E$908,$A3))</f>
        <v>0</v>
      </c>
      <c r="J3" s="11" t="n">
        <f aca="false">IF($A3="","",SUMIFS(全体!$M$2:$M$908,全体!$E$2:$E$908,$A3))</f>
        <v>0</v>
      </c>
      <c r="K3" s="11" t="n">
        <f aca="false">IF($A3="","",SUMIFS(全体!$T$2:$T$908,全体!$E$2:$E$908,$A3))</f>
        <v>0</v>
      </c>
      <c r="L3" s="11" t="n">
        <f aca="false">IF($A3="","",SUMIFS(全体!$AA$2:$AA$908,全体!$E$2:$E$908,$A3))</f>
        <v>0</v>
      </c>
      <c r="M3" s="11" t="n">
        <f aca="false">IF($A3="","",SUMIFS(全体!$AH$2:$AH$908,全体!$E$2:$E$908,$A3))</f>
        <v>0</v>
      </c>
    </row>
    <row r="4" customFormat="false" ht="15" hidden="false" customHeight="false" outlineLevel="0" collapsed="false">
      <c r="A4" s="8" t="str">
        <f aca="false">IF(担当者マスタ!A4="","",担当者マスタ!A4)</f>
        <v>0012</v>
      </c>
      <c r="B4" s="9" t="str">
        <f aca="false">IF(担当者マスタ!A4="","",担当者マスタ!B4)</f>
        <v>川上</v>
      </c>
      <c r="C4" s="9" t="str">
        <f aca="false">IF(担当者マスタ!A4="","",担当者マスタ!C4)</f>
        <v>石見</v>
      </c>
      <c r="D4" s="22" t="n">
        <f aca="false">IF($A4="","",COUNTIF(全体!$C$2:$C$908,$A4))</f>
        <v>62</v>
      </c>
      <c r="E4" s="11" t="n">
        <f aca="false">IF($A4="","",SUMIFS(全体!$M$2:$M$908,全体!$C$2:$C$908,$A4))</f>
        <v>38284.363</v>
      </c>
      <c r="F4" s="11" t="n">
        <f aca="false">IF($A4="","",SUMIFS(全体!$T$2:$T$908,全体!$C$2:$C$908,$A4))</f>
        <v>11757.9445</v>
      </c>
      <c r="G4" s="11" t="n">
        <f aca="false">IF($A4="","",SUMIFS(全体!$AA$2:$AA$908,全体!$C$2:$C$908,$A4))</f>
        <v>48713.88</v>
      </c>
      <c r="H4" s="11" t="n">
        <f aca="false">IF($A4="","",SUMIFS(全体!$AH$2:$AH$908,全体!$C$2:$C$908,$A4))</f>
        <v>12517.3032</v>
      </c>
      <c r="I4" s="22" t="n">
        <f aca="false">IF($A4="","",COUNTIF(全体!$E$2:$E$908,$A4))</f>
        <v>0</v>
      </c>
      <c r="J4" s="11" t="n">
        <f aca="false">IF($A4="","",SUMIFS(全体!$M$2:$M$908,全体!$E$2:$E$908,$A4))</f>
        <v>0</v>
      </c>
      <c r="K4" s="11" t="n">
        <f aca="false">IF($A4="","",SUMIFS(全体!$T$2:$T$908,全体!$E$2:$E$908,$A4))</f>
        <v>0</v>
      </c>
      <c r="L4" s="11" t="n">
        <f aca="false">IF($A4="","",SUMIFS(全体!$AA$2:$AA$908,全体!$E$2:$E$908,$A4))</f>
        <v>0</v>
      </c>
      <c r="M4" s="11" t="n">
        <f aca="false">IF($A4="","",SUMIFS(全体!$AH$2:$AH$908,全体!$E$2:$E$908,$A4))</f>
        <v>0</v>
      </c>
    </row>
    <row r="5" customFormat="false" ht="15" hidden="false" customHeight="false" outlineLevel="0" collapsed="false">
      <c r="A5" s="8" t="str">
        <f aca="false">IF(担当者マスタ!A5="","",担当者マスタ!A5)</f>
        <v>0013</v>
      </c>
      <c r="B5" s="9" t="str">
        <f aca="false">IF(担当者マスタ!A5="","",担当者マスタ!B5)</f>
        <v>三浦</v>
      </c>
      <c r="C5" s="9" t="str">
        <f aca="false">IF(担当者マスタ!A5="","",担当者マスタ!C5)</f>
        <v>石見</v>
      </c>
      <c r="D5" s="22" t="n">
        <f aca="false">IF($A5="","",COUNTIF(全体!$C$2:$C$908,$A5))</f>
        <v>10</v>
      </c>
      <c r="E5" s="11" t="n">
        <f aca="false">IF($A5="","",SUMIFS(全体!$M$2:$M$908,全体!$C$2:$C$908,$A5))</f>
        <v>123562.596</v>
      </c>
      <c r="F5" s="11" t="n">
        <f aca="false">IF($A5="","",SUMIFS(全体!$T$2:$T$908,全体!$C$2:$C$908,$A5))</f>
        <v>40661.107</v>
      </c>
      <c r="G5" s="11" t="n">
        <f aca="false">IF($A5="","",SUMIFS(全体!$AA$2:$AA$908,全体!$C$2:$C$908,$A5))</f>
        <v>117083.192</v>
      </c>
      <c r="H5" s="11" t="n">
        <f aca="false">IF($A5="","",SUMIFS(全体!$AH$2:$AH$908,全体!$C$2:$C$908,$A5))</f>
        <v>39712.741</v>
      </c>
      <c r="I5" s="22" t="n">
        <f aca="false">IF($A5="","",COUNTIF(全体!$E$2:$E$908,$A5))</f>
        <v>0</v>
      </c>
      <c r="J5" s="11" t="n">
        <f aca="false">IF($A5="","",SUMIFS(全体!$M$2:$M$908,全体!$E$2:$E$908,$A5))</f>
        <v>0</v>
      </c>
      <c r="K5" s="11" t="n">
        <f aca="false">IF($A5="","",SUMIFS(全体!$T$2:$T$908,全体!$E$2:$E$908,$A5))</f>
        <v>0</v>
      </c>
      <c r="L5" s="11" t="n">
        <f aca="false">IF($A5="","",SUMIFS(全体!$AA$2:$AA$908,全体!$E$2:$E$908,$A5))</f>
        <v>0</v>
      </c>
      <c r="M5" s="11" t="n">
        <f aca="false">IF($A5="","",SUMIFS(全体!$AH$2:$AH$908,全体!$E$2:$E$908,$A5))</f>
        <v>0</v>
      </c>
    </row>
    <row r="6" customFormat="false" ht="15" hidden="false" customHeight="false" outlineLevel="0" collapsed="false">
      <c r="A6" s="8" t="str">
        <f aca="false">IF(担当者マスタ!A6="","",担当者マスタ!A6)</f>
        <v>0014</v>
      </c>
      <c r="B6" s="9" t="str">
        <f aca="false">IF(担当者マスタ!A6="","",担当者マスタ!B6)</f>
        <v>木村</v>
      </c>
      <c r="C6" s="9" t="str">
        <f aca="false">IF(担当者マスタ!A6="","",担当者マスタ!C6)</f>
        <v>石見</v>
      </c>
      <c r="D6" s="22" t="n">
        <f aca="false">IF($A6="","",COUNTIF(全体!$C$2:$C$908,$A6))</f>
        <v>112</v>
      </c>
      <c r="E6" s="11" t="n">
        <f aca="false">IF($A6="","",SUMIFS(全体!$M$2:$M$908,全体!$C$2:$C$908,$A6))</f>
        <v>122153.928</v>
      </c>
      <c r="F6" s="11" t="n">
        <f aca="false">IF($A6="","",SUMIFS(全体!$T$2:$T$908,全体!$C$2:$C$908,$A6))</f>
        <v>30102.322</v>
      </c>
      <c r="G6" s="11" t="n">
        <f aca="false">IF($A6="","",SUMIFS(全体!$AA$2:$AA$908,全体!$C$2:$C$908,$A6))</f>
        <v>118762.672</v>
      </c>
      <c r="H6" s="11" t="n">
        <f aca="false">IF($A6="","",SUMIFS(全体!$AH$2:$AH$908,全体!$C$2:$C$908,$A6))</f>
        <v>30125.5571</v>
      </c>
      <c r="I6" s="22" t="n">
        <f aca="false">IF($A6="","",COUNTIF(全体!$E$2:$E$908,$A6))</f>
        <v>0</v>
      </c>
      <c r="J6" s="11" t="n">
        <f aca="false">IF($A6="","",SUMIFS(全体!$M$2:$M$908,全体!$E$2:$E$908,$A6))</f>
        <v>0</v>
      </c>
      <c r="K6" s="11" t="n">
        <f aca="false">IF($A6="","",SUMIFS(全体!$T$2:$T$908,全体!$E$2:$E$908,$A6))</f>
        <v>0</v>
      </c>
      <c r="L6" s="11" t="n">
        <f aca="false">IF($A6="","",SUMIFS(全体!$AA$2:$AA$908,全体!$E$2:$E$908,$A6))</f>
        <v>0</v>
      </c>
      <c r="M6" s="11" t="n">
        <f aca="false">IF($A6="","",SUMIFS(全体!$AH$2:$AH$908,全体!$E$2:$E$908,$A6))</f>
        <v>0</v>
      </c>
    </row>
    <row r="7" customFormat="false" ht="15" hidden="false" customHeight="false" outlineLevel="0" collapsed="false">
      <c r="A7" s="8" t="str">
        <f aca="false">IF(担当者マスタ!A7="","",担当者マスタ!A7)</f>
        <v>0017</v>
      </c>
      <c r="B7" s="9" t="str">
        <f aca="false">IF(担当者マスタ!A7="","",担当者マスタ!B7)</f>
        <v>鮮魚</v>
      </c>
      <c r="C7" s="9" t="str">
        <f aca="false">IF(担当者マスタ!A7="","",担当者マスタ!C7)</f>
        <v>水産部X</v>
      </c>
      <c r="D7" s="22" t="n">
        <f aca="false">IF($A7="","",COUNTIF(全体!$C$2:$C$908,$A7))</f>
        <v>8</v>
      </c>
      <c r="E7" s="11" t="n">
        <f aca="false">IF($A7="","",SUMIFS(全体!$M$2:$M$908,全体!$C$2:$C$908,$A7))</f>
        <v>5290.452</v>
      </c>
      <c r="F7" s="11" t="n">
        <f aca="false">IF($A7="","",SUMIFS(全体!$T$2:$T$908,全体!$C$2:$C$908,$A7))</f>
        <v>2133.63</v>
      </c>
      <c r="G7" s="11" t="n">
        <f aca="false">IF($A7="","",SUMIFS(全体!$AA$2:$AA$908,全体!$C$2:$C$908,$A7))</f>
        <v>34432.584</v>
      </c>
      <c r="H7" s="11" t="n">
        <f aca="false">IF($A7="","",SUMIFS(全体!$AH$2:$AH$908,全体!$C$2:$C$908,$A7))</f>
        <v>13246.562</v>
      </c>
      <c r="I7" s="22" t="n">
        <f aca="false">IF($A7="","",COUNTIF(全体!$E$2:$E$908,$A7))</f>
        <v>0</v>
      </c>
      <c r="J7" s="11" t="n">
        <f aca="false">IF($A7="","",SUMIFS(全体!$M$2:$M$908,全体!$E$2:$E$908,$A7))</f>
        <v>0</v>
      </c>
      <c r="K7" s="11" t="n">
        <f aca="false">IF($A7="","",SUMIFS(全体!$T$2:$T$908,全体!$E$2:$E$908,$A7))</f>
        <v>0</v>
      </c>
      <c r="L7" s="11" t="n">
        <f aca="false">IF($A7="","",SUMIFS(全体!$AA$2:$AA$908,全体!$E$2:$E$908,$A7))</f>
        <v>0</v>
      </c>
      <c r="M7" s="11" t="n">
        <f aca="false">IF($A7="","",SUMIFS(全体!$AH$2:$AH$908,全体!$E$2:$E$908,$A7))</f>
        <v>0</v>
      </c>
    </row>
    <row r="8" customFormat="false" ht="15" hidden="false" customHeight="false" outlineLevel="0" collapsed="false">
      <c r="A8" s="8" t="str">
        <f aca="false">IF(担当者マスタ!A8="","",担当者マスタ!A8)</f>
        <v>0019</v>
      </c>
      <c r="B8" s="9" t="str">
        <f aca="false">IF(担当者マスタ!A8="","",担当者マスタ!B8)</f>
        <v>その他</v>
      </c>
      <c r="C8" s="9" t="str">
        <f aca="false">IF(担当者マスタ!A8="","",担当者マスタ!C8)</f>
        <v>石見</v>
      </c>
      <c r="D8" s="22" t="n">
        <f aca="false">IF($A8="","",COUNTIF(全体!$C$2:$C$908,$A8))</f>
        <v>22</v>
      </c>
      <c r="E8" s="11" t="n">
        <f aca="false">IF($A8="","",SUMIFS(全体!$M$2:$M$908,全体!$C$2:$C$908,$A8))</f>
        <v>4414.008</v>
      </c>
      <c r="F8" s="11" t="n">
        <f aca="false">IF($A8="","",SUMIFS(全体!$T$2:$T$908,全体!$C$2:$C$908,$A8))</f>
        <v>864.002</v>
      </c>
      <c r="G8" s="11" t="n">
        <f aca="false">IF($A8="","",SUMIFS(全体!$AA$2:$AA$908,全体!$C$2:$C$908,$A8))</f>
        <v>5514.315</v>
      </c>
      <c r="H8" s="11" t="n">
        <f aca="false">IF($A8="","",SUMIFS(全体!$AH$2:$AH$908,全体!$C$2:$C$908,$A8))</f>
        <v>887.734</v>
      </c>
      <c r="I8" s="22" t="n">
        <f aca="false">IF($A8="","",COUNTIF(全体!$E$2:$E$908,$A8))</f>
        <v>0</v>
      </c>
      <c r="J8" s="11" t="n">
        <f aca="false">IF($A8="","",SUMIFS(全体!$M$2:$M$908,全体!$E$2:$E$908,$A8))</f>
        <v>0</v>
      </c>
      <c r="K8" s="11" t="n">
        <f aca="false">IF($A8="","",SUMIFS(全体!$T$2:$T$908,全体!$E$2:$E$908,$A8))</f>
        <v>0</v>
      </c>
      <c r="L8" s="11" t="n">
        <f aca="false">IF($A8="","",SUMIFS(全体!$AA$2:$AA$908,全体!$E$2:$E$908,$A8))</f>
        <v>0</v>
      </c>
      <c r="M8" s="11" t="n">
        <f aca="false">IF($A8="","",SUMIFS(全体!$AH$2:$AH$908,全体!$E$2:$E$908,$A8))</f>
        <v>0</v>
      </c>
    </row>
    <row r="9" customFormat="false" ht="15" hidden="false" customHeight="false" outlineLevel="0" collapsed="false">
      <c r="A9" s="8" t="str">
        <f aca="false">IF(担当者マスタ!A9="","",担当者マスタ!A9)</f>
        <v>0020</v>
      </c>
      <c r="B9" s="9" t="str">
        <f aca="false">IF(担当者マスタ!A9="","",担当者マスタ!B9)</f>
        <v>自治体</v>
      </c>
      <c r="C9" s="9" t="str">
        <f aca="false">IF(担当者マスタ!A9="","",担当者マスタ!C9)</f>
        <v>石見</v>
      </c>
      <c r="D9" s="22" t="n">
        <f aca="false">IF($A9="","",COUNTIF(全体!$C$2:$C$908,$A9))</f>
        <v>3</v>
      </c>
      <c r="E9" s="11" t="n">
        <f aca="false">IF($A9="","",SUMIFS(全体!$M$2:$M$908,全体!$C$2:$C$908,$A9))</f>
        <v>8706.6</v>
      </c>
      <c r="F9" s="11" t="n">
        <f aca="false">IF($A9="","",SUMIFS(全体!$T$2:$T$908,全体!$C$2:$C$908,$A9))</f>
        <v>998.45</v>
      </c>
      <c r="G9" s="11" t="n">
        <f aca="false">IF($A9="","",SUMIFS(全体!$AA$2:$AA$908,全体!$C$2:$C$908,$A9))</f>
        <v>13659.5</v>
      </c>
      <c r="H9" s="11" t="n">
        <f aca="false">IF($A9="","",SUMIFS(全体!$AH$2:$AH$908,全体!$C$2:$C$908,$A9))</f>
        <v>904.846</v>
      </c>
      <c r="I9" s="22" t="n">
        <f aca="false">IF($A9="","",COUNTIF(全体!$E$2:$E$908,$A9))</f>
        <v>0</v>
      </c>
      <c r="J9" s="11" t="n">
        <f aca="false">IF($A9="","",SUMIFS(全体!$M$2:$M$908,全体!$E$2:$E$908,$A9))</f>
        <v>0</v>
      </c>
      <c r="K9" s="11" t="n">
        <f aca="false">IF($A9="","",SUMIFS(全体!$T$2:$T$908,全体!$E$2:$E$908,$A9))</f>
        <v>0</v>
      </c>
      <c r="L9" s="11" t="n">
        <f aca="false">IF($A9="","",SUMIFS(全体!$AA$2:$AA$908,全体!$E$2:$E$908,$A9))</f>
        <v>0</v>
      </c>
      <c r="M9" s="11" t="n">
        <f aca="false">IF($A9="","",SUMIFS(全体!$AH$2:$AH$908,全体!$E$2:$E$908,$A9))</f>
        <v>0</v>
      </c>
    </row>
    <row r="10" customFormat="false" ht="15" hidden="false" customHeight="false" outlineLevel="0" collapsed="false">
      <c r="A10" s="8" t="str">
        <f aca="false">IF(担当者マスタ!A10="","",担当者マスタ!A10)</f>
        <v>0021</v>
      </c>
      <c r="B10" s="9" t="str">
        <f aca="false">IF(担当者マスタ!A10="","",担当者マスタ!B10)</f>
        <v>高橋所長</v>
      </c>
      <c r="C10" s="9" t="str">
        <f aca="false">IF(担当者マスタ!A10="","",担当者マスタ!C10)</f>
        <v>下関</v>
      </c>
      <c r="D10" s="22" t="n">
        <f aca="false">IF($A10="","",COUNTIF(全体!$C$2:$C$908,$A10))</f>
        <v>35</v>
      </c>
      <c r="E10" s="11" t="n">
        <f aca="false">IF($A10="","",SUMIFS(全体!$M$2:$M$908,全体!$C$2:$C$908,$A10))</f>
        <v>67079.874</v>
      </c>
      <c r="F10" s="11" t="n">
        <f aca="false">IF($A10="","",SUMIFS(全体!$T$2:$T$908,全体!$C$2:$C$908,$A10))</f>
        <v>15658.515</v>
      </c>
      <c r="G10" s="11" t="n">
        <f aca="false">IF($A10="","",SUMIFS(全体!$AA$2:$AA$908,全体!$C$2:$C$908,$A10))</f>
        <v>65443.579</v>
      </c>
      <c r="H10" s="11" t="n">
        <f aca="false">IF($A10="","",SUMIFS(全体!$AH$2:$AH$908,全体!$C$2:$C$908,$A10))</f>
        <v>15194.882</v>
      </c>
      <c r="I10" s="22" t="n">
        <f aca="false">IF($A10="","",COUNTIF(全体!$E$2:$E$908,$A10))</f>
        <v>0</v>
      </c>
      <c r="J10" s="11" t="n">
        <f aca="false">IF($A10="","",SUMIFS(全体!$M$2:$M$908,全体!$E$2:$E$908,$A10))</f>
        <v>0</v>
      </c>
      <c r="K10" s="11" t="n">
        <f aca="false">IF($A10="","",SUMIFS(全体!$T$2:$T$908,全体!$E$2:$E$908,$A10))</f>
        <v>0</v>
      </c>
      <c r="L10" s="11" t="n">
        <f aca="false">IF($A10="","",SUMIFS(全体!$AA$2:$AA$908,全体!$E$2:$E$908,$A10))</f>
        <v>0</v>
      </c>
      <c r="M10" s="11" t="n">
        <f aca="false">IF($A10="","",SUMIFS(全体!$AH$2:$AH$908,全体!$E$2:$E$908,$A10))</f>
        <v>0</v>
      </c>
    </row>
    <row r="11" customFormat="false" ht="15" hidden="false" customHeight="false" outlineLevel="0" collapsed="false">
      <c r="A11" s="8" t="str">
        <f aca="false">IF(担当者マスタ!A11="","",担当者マスタ!A11)</f>
        <v>0024</v>
      </c>
      <c r="B11" s="9" t="str">
        <f aca="false">IF(担当者マスタ!A11="","",担当者マスタ!B11)</f>
        <v>東野</v>
      </c>
      <c r="C11" s="9" t="str">
        <f aca="false">IF(担当者マスタ!A11="","",担当者マスタ!C11)</f>
        <v>下関</v>
      </c>
      <c r="D11" s="22" t="n">
        <f aca="false">IF($A11="","",COUNTIF(全体!$C$2:$C$908,$A11))</f>
        <v>27</v>
      </c>
      <c r="E11" s="11" t="n">
        <f aca="false">IF($A11="","",SUMIFS(全体!$M$2:$M$908,全体!$C$2:$C$908,$A11))</f>
        <v>80691.499</v>
      </c>
      <c r="F11" s="11" t="n">
        <f aca="false">IF($A11="","",SUMIFS(全体!$T$2:$T$908,全体!$C$2:$C$908,$A11))</f>
        <v>16922.936</v>
      </c>
      <c r="G11" s="11" t="n">
        <f aca="false">IF($A11="","",SUMIFS(全体!$AA$2:$AA$908,全体!$C$2:$C$908,$A11))</f>
        <v>81498.834</v>
      </c>
      <c r="H11" s="11" t="n">
        <f aca="false">IF($A11="","",SUMIFS(全体!$AH$2:$AH$908,全体!$C$2:$C$908,$A11))</f>
        <v>16445.684</v>
      </c>
      <c r="I11" s="22" t="n">
        <f aca="false">IF($A11="","",COUNTIF(全体!$E$2:$E$908,$A11))</f>
        <v>0</v>
      </c>
      <c r="J11" s="11" t="n">
        <f aca="false">IF($A11="","",SUMIFS(全体!$M$2:$M$908,全体!$E$2:$E$908,$A11))</f>
        <v>0</v>
      </c>
      <c r="K11" s="11" t="n">
        <f aca="false">IF($A11="","",SUMIFS(全体!$T$2:$T$908,全体!$E$2:$E$908,$A11))</f>
        <v>0</v>
      </c>
      <c r="L11" s="11" t="n">
        <f aca="false">IF($A11="","",SUMIFS(全体!$AA$2:$AA$908,全体!$E$2:$E$908,$A11))</f>
        <v>0</v>
      </c>
      <c r="M11" s="11" t="n">
        <f aca="false">IF($A11="","",SUMIFS(全体!$AH$2:$AH$908,全体!$E$2:$E$908,$A11))</f>
        <v>0</v>
      </c>
    </row>
    <row r="12" customFormat="false" ht="15" hidden="false" customHeight="false" outlineLevel="0" collapsed="false">
      <c r="A12" s="8" t="str">
        <f aca="false">IF(担当者マスタ!A12="","",担当者マスタ!A12)</f>
        <v>0025</v>
      </c>
      <c r="B12" s="9" t="str">
        <f aca="false">IF(担当者マスタ!A12="","",担当者マスタ!B12)</f>
        <v>橋本</v>
      </c>
      <c r="C12" s="9" t="str">
        <f aca="false">IF(担当者マスタ!A12="","",担当者マスタ!C12)</f>
        <v>下関</v>
      </c>
      <c r="D12" s="22" t="n">
        <f aca="false">IF($A12="","",COUNTIF(全体!$C$2:$C$908,$A12))</f>
        <v>39</v>
      </c>
      <c r="E12" s="11" t="n">
        <f aca="false">IF($A12="","",SUMIFS(全体!$M$2:$M$908,全体!$C$2:$C$908,$A12))</f>
        <v>52312.515</v>
      </c>
      <c r="F12" s="11" t="n">
        <f aca="false">IF($A12="","",SUMIFS(全体!$T$2:$T$908,全体!$C$2:$C$908,$A12))</f>
        <v>9780.371</v>
      </c>
      <c r="G12" s="11" t="n">
        <f aca="false">IF($A12="","",SUMIFS(全体!$AA$2:$AA$908,全体!$C$2:$C$908,$A12))</f>
        <v>56858.913</v>
      </c>
      <c r="H12" s="11" t="n">
        <f aca="false">IF($A12="","",SUMIFS(全体!$AH$2:$AH$908,全体!$C$2:$C$908,$A12))</f>
        <v>10986.551</v>
      </c>
      <c r="I12" s="22" t="n">
        <f aca="false">IF($A12="","",COUNTIF(全体!$E$2:$E$908,$A12))</f>
        <v>0</v>
      </c>
      <c r="J12" s="11" t="n">
        <f aca="false">IF($A12="","",SUMIFS(全体!$M$2:$M$908,全体!$E$2:$E$908,$A12))</f>
        <v>0</v>
      </c>
      <c r="K12" s="11" t="n">
        <f aca="false">IF($A12="","",SUMIFS(全体!$T$2:$T$908,全体!$E$2:$E$908,$A12))</f>
        <v>0</v>
      </c>
      <c r="L12" s="11" t="n">
        <f aca="false">IF($A12="","",SUMIFS(全体!$AA$2:$AA$908,全体!$E$2:$E$908,$A12))</f>
        <v>0</v>
      </c>
      <c r="M12" s="11" t="n">
        <f aca="false">IF($A12="","",SUMIFS(全体!$AH$2:$AH$908,全体!$E$2:$E$908,$A12))</f>
        <v>0</v>
      </c>
    </row>
    <row r="13" customFormat="false" ht="15" hidden="false" customHeight="false" outlineLevel="0" collapsed="false">
      <c r="A13" s="8" t="str">
        <f aca="false">IF(担当者マスタ!A13="","",担当者マスタ!A13)</f>
        <v>0026</v>
      </c>
      <c r="B13" s="9" t="str">
        <f aca="false">IF(担当者マスタ!A13="","",担当者マスタ!B13)</f>
        <v>井上</v>
      </c>
      <c r="C13" s="9" t="str">
        <f aca="false">IF(担当者マスタ!A13="","",担当者マスタ!C13)</f>
        <v>下関</v>
      </c>
      <c r="D13" s="22" t="n">
        <f aca="false">IF($A13="","",COUNTIF(全体!$C$2:$C$908,$A13))</f>
        <v>11</v>
      </c>
      <c r="E13" s="11" t="n">
        <f aca="false">IF($A13="","",SUMIFS(全体!$M$2:$M$908,全体!$C$2:$C$908,$A13))</f>
        <v>73794.288</v>
      </c>
      <c r="F13" s="11" t="n">
        <f aca="false">IF($A13="","",SUMIFS(全体!$T$2:$T$908,全体!$C$2:$C$908,$A13))</f>
        <v>14923.818</v>
      </c>
      <c r="G13" s="11" t="n">
        <f aca="false">IF($A13="","",SUMIFS(全体!$AA$2:$AA$908,全体!$C$2:$C$908,$A13))</f>
        <v>71436.63</v>
      </c>
      <c r="H13" s="11" t="n">
        <f aca="false">IF($A13="","",SUMIFS(全体!$AH$2:$AH$908,全体!$C$2:$C$908,$A13))</f>
        <v>14653.729</v>
      </c>
      <c r="I13" s="22" t="n">
        <f aca="false">IF($A13="","",COUNTIF(全体!$E$2:$E$908,$A13))</f>
        <v>0</v>
      </c>
      <c r="J13" s="11" t="n">
        <f aca="false">IF($A13="","",SUMIFS(全体!$M$2:$M$908,全体!$E$2:$E$908,$A13))</f>
        <v>0</v>
      </c>
      <c r="K13" s="11" t="n">
        <f aca="false">IF($A13="","",SUMIFS(全体!$T$2:$T$908,全体!$E$2:$E$908,$A13))</f>
        <v>0</v>
      </c>
      <c r="L13" s="11" t="n">
        <f aca="false">IF($A13="","",SUMIFS(全体!$AA$2:$AA$908,全体!$E$2:$E$908,$A13))</f>
        <v>0</v>
      </c>
      <c r="M13" s="11" t="n">
        <f aca="false">IF($A13="","",SUMIFS(全体!$AH$2:$AH$908,全体!$E$2:$E$908,$A13))</f>
        <v>0</v>
      </c>
    </row>
    <row r="14" customFormat="false" ht="15" hidden="false" customHeight="false" outlineLevel="0" collapsed="false">
      <c r="A14" s="8" t="str">
        <f aca="false">IF(担当者マスタ!A14="","",担当者マスタ!A14)</f>
        <v>0028</v>
      </c>
      <c r="B14" s="9" t="str">
        <f aca="false">IF(担当者マスタ!A14="","",担当者マスタ!B14)</f>
        <v>自治体</v>
      </c>
      <c r="C14" s="9" t="str">
        <f aca="false">IF(担当者マスタ!A14="","",担当者マスタ!C14)</f>
        <v>下関</v>
      </c>
      <c r="D14" s="22" t="n">
        <f aca="false">IF($A14="","",COUNTIF(全体!$C$2:$C$908,$A14))</f>
        <v>1</v>
      </c>
      <c r="E14" s="11" t="n">
        <f aca="false">IF($A14="","",SUMIFS(全体!$M$2:$M$908,全体!$C$2:$C$908,$A14))</f>
        <v>0</v>
      </c>
      <c r="F14" s="11" t="n">
        <f aca="false">IF($A14="","",SUMIFS(全体!$T$2:$T$908,全体!$C$2:$C$908,$A14))</f>
        <v>0</v>
      </c>
      <c r="G14" s="11" t="n">
        <f aca="false">IF($A14="","",SUMIFS(全体!$AA$2:$AA$908,全体!$C$2:$C$908,$A14))</f>
        <v>222.015</v>
      </c>
      <c r="H14" s="11" t="n">
        <f aca="false">IF($A14="","",SUMIFS(全体!$AH$2:$AH$908,全体!$C$2:$C$908,$A14))</f>
        <v>8.16</v>
      </c>
      <c r="I14" s="22" t="n">
        <f aca="false">IF($A14="","",COUNTIF(全体!$E$2:$E$908,$A14))</f>
        <v>0</v>
      </c>
      <c r="J14" s="11" t="n">
        <f aca="false">IF($A14="","",SUMIFS(全体!$M$2:$M$908,全体!$E$2:$E$908,$A14))</f>
        <v>0</v>
      </c>
      <c r="K14" s="11" t="n">
        <f aca="false">IF($A14="","",SUMIFS(全体!$T$2:$T$908,全体!$E$2:$E$908,$A14))</f>
        <v>0</v>
      </c>
      <c r="L14" s="11" t="n">
        <f aca="false">IF($A14="","",SUMIFS(全体!$AA$2:$AA$908,全体!$E$2:$E$908,$A14))</f>
        <v>0</v>
      </c>
      <c r="M14" s="11" t="n">
        <f aca="false">IF($A14="","",SUMIFS(全体!$AH$2:$AH$908,全体!$E$2:$E$908,$A14))</f>
        <v>0</v>
      </c>
    </row>
    <row r="15" customFormat="false" ht="15" hidden="false" customHeight="false" outlineLevel="0" collapsed="false">
      <c r="A15" s="8" t="str">
        <f aca="false">IF(担当者マスタ!A15="","",担当者マスタ!A15)</f>
        <v>0029</v>
      </c>
      <c r="B15" s="9" t="str">
        <f aca="false">IF(担当者マスタ!A15="","",担当者マスタ!B15)</f>
        <v>その他</v>
      </c>
      <c r="C15" s="9" t="str">
        <f aca="false">IF(担当者マスタ!A15="","",担当者マスタ!C15)</f>
        <v>下関</v>
      </c>
      <c r="D15" s="22" t="n">
        <f aca="false">IF($A15="","",COUNTIF(全体!$C$2:$C$908,$A15))</f>
        <v>1</v>
      </c>
      <c r="E15" s="11" t="n">
        <f aca="false">IF($A15="","",SUMIFS(全体!$M$2:$M$908,全体!$C$2:$C$908,$A15))</f>
        <v>4.8</v>
      </c>
      <c r="F15" s="11" t="n">
        <f aca="false">IF($A15="","",SUMIFS(全体!$T$2:$T$908,全体!$C$2:$C$908,$A15))</f>
        <v>1.68</v>
      </c>
      <c r="G15" s="11" t="n">
        <f aca="false">IF($A15="","",SUMIFS(全体!$AA$2:$AA$908,全体!$C$2:$C$908,$A15))</f>
        <v>18.6</v>
      </c>
      <c r="H15" s="11" t="n">
        <f aca="false">IF($A15="","",SUMIFS(全体!$AH$2:$AH$908,全体!$C$2:$C$908,$A15))</f>
        <v>5.4</v>
      </c>
      <c r="I15" s="22" t="n">
        <f aca="false">IF($A15="","",COUNTIF(全体!$E$2:$E$908,$A15))</f>
        <v>0</v>
      </c>
      <c r="J15" s="11" t="n">
        <f aca="false">IF($A15="","",SUMIFS(全体!$M$2:$M$908,全体!$E$2:$E$908,$A15))</f>
        <v>0</v>
      </c>
      <c r="K15" s="11" t="n">
        <f aca="false">IF($A15="","",SUMIFS(全体!$T$2:$T$908,全体!$E$2:$E$908,$A15))</f>
        <v>0</v>
      </c>
      <c r="L15" s="11" t="n">
        <f aca="false">IF($A15="","",SUMIFS(全体!$AA$2:$AA$908,全体!$E$2:$E$908,$A15))</f>
        <v>0</v>
      </c>
      <c r="M15" s="11" t="n">
        <f aca="false">IF($A15="","",SUMIFS(全体!$AH$2:$AH$908,全体!$E$2:$E$908,$A15))</f>
        <v>0</v>
      </c>
    </row>
    <row r="16" customFormat="false" ht="15" hidden="false" customHeight="false" outlineLevel="0" collapsed="false">
      <c r="A16" s="8" t="str">
        <f aca="false">IF(担当者マスタ!A16="","",担当者マスタ!A16)</f>
        <v>0031</v>
      </c>
      <c r="B16" s="9" t="str">
        <f aca="false">IF(担当者マスタ!A16="","",担当者マスタ!B16)</f>
        <v>JF境</v>
      </c>
      <c r="C16" s="9" t="str">
        <f aca="false">IF(担当者マスタ!A16="","",担当者マスタ!C16)</f>
        <v>水産部X</v>
      </c>
      <c r="D16" s="22" t="n">
        <f aca="false">IF($A16="","",COUNTIF(全体!$C$2:$C$908,$A16))</f>
        <v>2</v>
      </c>
      <c r="E16" s="11" t="n">
        <f aca="false">IF($A16="","",SUMIFS(全体!$M$2:$M$908,全体!$C$2:$C$908,$A16))</f>
        <v>64417.461</v>
      </c>
      <c r="F16" s="11" t="n">
        <f aca="false">IF($A16="","",SUMIFS(全体!$T$2:$T$908,全体!$C$2:$C$908,$A16))</f>
        <v>10873.971</v>
      </c>
      <c r="G16" s="11" t="n">
        <f aca="false">IF($A16="","",SUMIFS(全体!$AA$2:$AA$908,全体!$C$2:$C$908,$A16))</f>
        <v>77315.369</v>
      </c>
      <c r="H16" s="11" t="n">
        <f aca="false">IF($A16="","",SUMIFS(全体!$AH$2:$AH$908,全体!$C$2:$C$908,$A16))</f>
        <v>16570.363</v>
      </c>
      <c r="I16" s="22" t="n">
        <f aca="false">IF($A16="","",COUNTIF(全体!$E$2:$E$908,$A16))</f>
        <v>0</v>
      </c>
      <c r="J16" s="11" t="n">
        <f aca="false">IF($A16="","",SUMIFS(全体!$M$2:$M$908,全体!$E$2:$E$908,$A16))</f>
        <v>0</v>
      </c>
      <c r="K16" s="11" t="n">
        <f aca="false">IF($A16="","",SUMIFS(全体!$T$2:$T$908,全体!$E$2:$E$908,$A16))</f>
        <v>0</v>
      </c>
      <c r="L16" s="11" t="n">
        <f aca="false">IF($A16="","",SUMIFS(全体!$AA$2:$AA$908,全体!$E$2:$E$908,$A16))</f>
        <v>0</v>
      </c>
      <c r="M16" s="11" t="n">
        <f aca="false">IF($A16="","",SUMIFS(全体!$AH$2:$AH$908,全体!$E$2:$E$908,$A16))</f>
        <v>0</v>
      </c>
    </row>
    <row r="17" customFormat="false" ht="15" hidden="false" customHeight="false" outlineLevel="0" collapsed="false">
      <c r="A17" s="8" t="str">
        <f aca="false">IF(担当者マスタ!A17="","",担当者マスタ!A17)</f>
        <v>0032</v>
      </c>
      <c r="B17" s="9" t="str">
        <f aca="false">IF(担当者マスタ!A17="","",担当者マスタ!B17)</f>
        <v>飯塚</v>
      </c>
      <c r="C17" s="9" t="str">
        <f aca="false">IF(担当者マスタ!A17="","",担当者マスタ!C17)</f>
        <v>松江・境港</v>
      </c>
      <c r="D17" s="22" t="n">
        <f aca="false">IF($A17="","",COUNTIF(全体!$C$2:$C$908,$A17))</f>
        <v>45</v>
      </c>
      <c r="E17" s="11" t="n">
        <f aca="false">IF($A17="","",SUMIFS(全体!$M$2:$M$908,全体!$C$2:$C$908,$A17))</f>
        <v>63378.228</v>
      </c>
      <c r="F17" s="11" t="n">
        <f aca="false">IF($A17="","",SUMIFS(全体!$T$2:$T$908,全体!$C$2:$C$908,$A17))</f>
        <v>19143.643</v>
      </c>
      <c r="G17" s="11" t="n">
        <f aca="false">IF($A17="","",SUMIFS(全体!$AA$2:$AA$908,全体!$C$2:$C$908,$A17))</f>
        <v>59703.258</v>
      </c>
      <c r="H17" s="11" t="n">
        <f aca="false">IF($A17="","",SUMIFS(全体!$AH$2:$AH$908,全体!$C$2:$C$908,$A17))</f>
        <v>17703.5552</v>
      </c>
      <c r="I17" s="22" t="n">
        <f aca="false">IF($A17="","",COUNTIF(全体!$E$2:$E$908,$A17))</f>
        <v>0</v>
      </c>
      <c r="J17" s="11" t="n">
        <f aca="false">IF($A17="","",SUMIFS(全体!$M$2:$M$908,全体!$E$2:$E$908,$A17))</f>
        <v>0</v>
      </c>
      <c r="K17" s="11" t="n">
        <f aca="false">IF($A17="","",SUMIFS(全体!$T$2:$T$908,全体!$E$2:$E$908,$A17))</f>
        <v>0</v>
      </c>
      <c r="L17" s="11" t="n">
        <f aca="false">IF($A17="","",SUMIFS(全体!$AA$2:$AA$908,全体!$E$2:$E$908,$A17))</f>
        <v>0</v>
      </c>
      <c r="M17" s="11" t="n">
        <f aca="false">IF($A17="","",SUMIFS(全体!$AH$2:$AH$908,全体!$E$2:$E$908,$A17))</f>
        <v>0</v>
      </c>
    </row>
    <row r="18" customFormat="false" ht="15" hidden="false" customHeight="false" outlineLevel="0" collapsed="false">
      <c r="A18" s="8" t="str">
        <f aca="false">IF(担当者マスタ!A18="","",担当者マスタ!A18)</f>
        <v>0033</v>
      </c>
      <c r="B18" s="9" t="str">
        <f aca="false">IF(担当者マスタ!A18="","",担当者マスタ!B18)</f>
        <v>前田</v>
      </c>
      <c r="C18" s="9" t="str">
        <f aca="false">IF(担当者マスタ!A18="","",担当者マスタ!C18)</f>
        <v>松江・境港</v>
      </c>
      <c r="D18" s="22" t="n">
        <f aca="false">IF($A18="","",COUNTIF(全体!$C$2:$C$908,$A18))</f>
        <v>43</v>
      </c>
      <c r="E18" s="11" t="n">
        <f aca="false">IF($A18="","",SUMIFS(全体!$M$2:$M$908,全体!$C$2:$C$908,$A18))</f>
        <v>60933.977</v>
      </c>
      <c r="F18" s="11" t="n">
        <f aca="false">IF($A18="","",SUMIFS(全体!$T$2:$T$908,全体!$C$2:$C$908,$A18))</f>
        <v>14866.8041</v>
      </c>
      <c r="G18" s="11" t="n">
        <f aca="false">IF($A18="","",SUMIFS(全体!$AA$2:$AA$908,全体!$C$2:$C$908,$A18))</f>
        <v>81187.242</v>
      </c>
      <c r="H18" s="11" t="n">
        <f aca="false">IF($A18="","",SUMIFS(全体!$AH$2:$AH$908,全体!$C$2:$C$908,$A18))</f>
        <v>20564.1091</v>
      </c>
      <c r="I18" s="22" t="n">
        <f aca="false">IF($A18="","",COUNTIF(全体!$E$2:$E$908,$A18))</f>
        <v>0</v>
      </c>
      <c r="J18" s="11" t="n">
        <f aca="false">IF($A18="","",SUMIFS(全体!$M$2:$M$908,全体!$E$2:$E$908,$A18))</f>
        <v>0</v>
      </c>
      <c r="K18" s="11" t="n">
        <f aca="false">IF($A18="","",SUMIFS(全体!$T$2:$T$908,全体!$E$2:$E$908,$A18))</f>
        <v>0</v>
      </c>
      <c r="L18" s="11" t="n">
        <f aca="false">IF($A18="","",SUMIFS(全体!$AA$2:$AA$908,全体!$E$2:$E$908,$A18))</f>
        <v>0</v>
      </c>
      <c r="M18" s="11" t="n">
        <f aca="false">IF($A18="","",SUMIFS(全体!$AH$2:$AH$908,全体!$E$2:$E$908,$A18))</f>
        <v>0</v>
      </c>
    </row>
    <row r="19" customFormat="false" ht="15" hidden="false" customHeight="false" outlineLevel="0" collapsed="false">
      <c r="A19" s="8" t="str">
        <f aca="false">IF(担当者マスタ!A19="","",担当者マスタ!A19)</f>
        <v>0034</v>
      </c>
      <c r="B19" s="9" t="str">
        <f aca="false">IF(担当者マスタ!A19="","",担当者マスタ!B19)</f>
        <v>原田</v>
      </c>
      <c r="C19" s="9" t="str">
        <f aca="false">IF(担当者マスタ!A19="","",担当者マスタ!C19)</f>
        <v>松江・境港</v>
      </c>
      <c r="D19" s="22" t="n">
        <f aca="false">IF($A19="","",COUNTIF(全体!$C$2:$C$908,$A19))</f>
        <v>17</v>
      </c>
      <c r="E19" s="11" t="n">
        <f aca="false">IF($A19="","",SUMIFS(全体!$M$2:$M$908,全体!$C$2:$C$908,$A19))</f>
        <v>53467.228</v>
      </c>
      <c r="F19" s="11" t="n">
        <f aca="false">IF($A19="","",SUMIFS(全体!$T$2:$T$908,全体!$C$2:$C$908,$A19))</f>
        <v>12270.126</v>
      </c>
      <c r="G19" s="11" t="n">
        <f aca="false">IF($A19="","",SUMIFS(全体!$AA$2:$AA$908,全体!$C$2:$C$908,$A19))</f>
        <v>56755.294</v>
      </c>
      <c r="H19" s="11" t="n">
        <f aca="false">IF($A19="","",SUMIFS(全体!$AH$2:$AH$908,全体!$C$2:$C$908,$A19))</f>
        <v>13658.296</v>
      </c>
      <c r="I19" s="22" t="n">
        <f aca="false">IF($A19="","",COUNTIF(全体!$E$2:$E$908,$A19))</f>
        <v>0</v>
      </c>
      <c r="J19" s="11" t="n">
        <f aca="false">IF($A19="","",SUMIFS(全体!$M$2:$M$908,全体!$E$2:$E$908,$A19))</f>
        <v>0</v>
      </c>
      <c r="K19" s="11" t="n">
        <f aca="false">IF($A19="","",SUMIFS(全体!$T$2:$T$908,全体!$E$2:$E$908,$A19))</f>
        <v>0</v>
      </c>
      <c r="L19" s="11" t="n">
        <f aca="false">IF($A19="","",SUMIFS(全体!$AA$2:$AA$908,全体!$E$2:$E$908,$A19))</f>
        <v>0</v>
      </c>
      <c r="M19" s="11" t="n">
        <f aca="false">IF($A19="","",SUMIFS(全体!$AH$2:$AH$908,全体!$E$2:$E$908,$A19))</f>
        <v>0</v>
      </c>
    </row>
    <row r="20" customFormat="false" ht="15" hidden="false" customHeight="false" outlineLevel="0" collapsed="false">
      <c r="A20" s="8" t="str">
        <f aca="false">IF(担当者マスタ!A20="","",担当者マスタ!A20)</f>
        <v>0035</v>
      </c>
      <c r="B20" s="9" t="str">
        <f aca="false">IF(担当者マスタ!A20="","",担当者マスタ!B20)</f>
        <v>自治体</v>
      </c>
      <c r="C20" s="9" t="str">
        <f aca="false">IF(担当者マスタ!A20="","",担当者マスタ!C20)</f>
        <v>松江・境港</v>
      </c>
      <c r="D20" s="22" t="n">
        <f aca="false">IF($A20="","",COUNTIF(全体!$C$2:$C$908,$A20))</f>
        <v>3</v>
      </c>
      <c r="E20" s="11" t="n">
        <f aca="false">IF($A20="","",SUMIFS(全体!$M$2:$M$908,全体!$C$2:$C$908,$A20))</f>
        <v>25658.89</v>
      </c>
      <c r="F20" s="11" t="n">
        <f aca="false">IF($A20="","",SUMIFS(全体!$T$2:$T$908,全体!$C$2:$C$908,$A20))</f>
        <v>460.02</v>
      </c>
      <c r="G20" s="11" t="n">
        <f aca="false">IF($A20="","",SUMIFS(全体!$AA$2:$AA$908,全体!$C$2:$C$908,$A20))</f>
        <v>38489.908</v>
      </c>
      <c r="H20" s="11" t="n">
        <f aca="false">IF($A20="","",SUMIFS(全体!$AH$2:$AH$908,全体!$C$2:$C$908,$A20))</f>
        <v>813.648</v>
      </c>
      <c r="I20" s="22" t="n">
        <f aca="false">IF($A20="","",COUNTIF(全体!$E$2:$E$908,$A20))</f>
        <v>0</v>
      </c>
      <c r="J20" s="11" t="n">
        <f aca="false">IF($A20="","",SUMIFS(全体!$M$2:$M$908,全体!$E$2:$E$908,$A20))</f>
        <v>0</v>
      </c>
      <c r="K20" s="11" t="n">
        <f aca="false">IF($A20="","",SUMIFS(全体!$T$2:$T$908,全体!$E$2:$E$908,$A20))</f>
        <v>0</v>
      </c>
      <c r="L20" s="11" t="n">
        <f aca="false">IF($A20="","",SUMIFS(全体!$AA$2:$AA$908,全体!$E$2:$E$908,$A20))</f>
        <v>0</v>
      </c>
      <c r="M20" s="11" t="n">
        <f aca="false">IF($A20="","",SUMIFS(全体!$AH$2:$AH$908,全体!$E$2:$E$908,$A20))</f>
        <v>0</v>
      </c>
    </row>
    <row r="21" customFormat="false" ht="15" hidden="false" customHeight="false" outlineLevel="0" collapsed="false">
      <c r="A21" s="8" t="str">
        <f aca="false">IF(担当者マスタ!A21="","",担当者マスタ!A21)</f>
        <v>0038</v>
      </c>
      <c r="B21" s="9" t="str">
        <f aca="false">IF(担当者マスタ!A21="","",担当者マスタ!B21)</f>
        <v>境その他</v>
      </c>
      <c r="C21" s="9" t="str">
        <f aca="false">IF(担当者マスタ!A21="","",担当者マスタ!C21)</f>
        <v>松江・境港</v>
      </c>
      <c r="D21" s="22" t="n">
        <f aca="false">IF($A21="","",COUNTIF(全体!$C$2:$C$908,$A21))</f>
        <v>1</v>
      </c>
      <c r="E21" s="11" t="n">
        <f aca="false">IF($A21="","",SUMIFS(全体!$M$2:$M$908,全体!$C$2:$C$908,$A21))</f>
        <v>34.46</v>
      </c>
      <c r="F21" s="11" t="n">
        <f aca="false">IF($A21="","",SUMIFS(全体!$T$2:$T$908,全体!$C$2:$C$908,$A21))</f>
        <v>6.34</v>
      </c>
      <c r="G21" s="11" t="n">
        <f aca="false">IF($A21="","",SUMIFS(全体!$AA$2:$AA$908,全体!$C$2:$C$908,$A21))</f>
        <v>77.816</v>
      </c>
      <c r="H21" s="11" t="n">
        <f aca="false">IF($A21="","",SUMIFS(全体!$AH$2:$AH$908,全体!$C$2:$C$908,$A21))</f>
        <v>12.503</v>
      </c>
      <c r="I21" s="22" t="n">
        <f aca="false">IF($A21="","",COUNTIF(全体!$E$2:$E$908,$A21))</f>
        <v>0</v>
      </c>
      <c r="J21" s="11" t="n">
        <f aca="false">IF($A21="","",SUMIFS(全体!$M$2:$M$908,全体!$E$2:$E$908,$A21))</f>
        <v>0</v>
      </c>
      <c r="K21" s="11" t="n">
        <f aca="false">IF($A21="","",SUMIFS(全体!$T$2:$T$908,全体!$E$2:$E$908,$A21))</f>
        <v>0</v>
      </c>
      <c r="L21" s="11" t="n">
        <f aca="false">IF($A21="","",SUMIFS(全体!$AA$2:$AA$908,全体!$E$2:$E$908,$A21))</f>
        <v>0</v>
      </c>
      <c r="M21" s="11" t="n">
        <f aca="false">IF($A21="","",SUMIFS(全体!$AH$2:$AH$908,全体!$E$2:$E$908,$A21))</f>
        <v>0</v>
      </c>
    </row>
    <row r="22" customFormat="false" ht="15" hidden="false" customHeight="false" outlineLevel="0" collapsed="false">
      <c r="A22" s="8" t="str">
        <f aca="false">IF(担当者マスタ!A22="","",担当者マスタ!A22)</f>
        <v>0039</v>
      </c>
      <c r="B22" s="9" t="str">
        <f aca="false">IF(担当者マスタ!A22="","",担当者マスタ!B22)</f>
        <v>その他</v>
      </c>
      <c r="C22" s="9" t="str">
        <f aca="false">IF(担当者マスタ!A22="","",担当者マスタ!C22)</f>
        <v>松江・境港</v>
      </c>
      <c r="D22" s="22" t="n">
        <f aca="false">IF($A22="","",COUNTIF(全体!$C$2:$C$908,$A22))</f>
        <v>6</v>
      </c>
      <c r="E22" s="11" t="n">
        <f aca="false">IF($A22="","",SUMIFS(全体!$M$2:$M$908,全体!$C$2:$C$908,$A22))</f>
        <v>114.099</v>
      </c>
      <c r="F22" s="11" t="n">
        <f aca="false">IF($A22="","",SUMIFS(全体!$T$2:$T$908,全体!$C$2:$C$908,$A22))</f>
        <v>33.933</v>
      </c>
      <c r="G22" s="11" t="n">
        <f aca="false">IF($A22="","",SUMIFS(全体!$AA$2:$AA$908,全体!$C$2:$C$908,$A22))</f>
        <v>76.105</v>
      </c>
      <c r="H22" s="11" t="n">
        <f aca="false">IF($A22="","",SUMIFS(全体!$AH$2:$AH$908,全体!$C$2:$C$908,$A22))</f>
        <v>11.725</v>
      </c>
      <c r="I22" s="22" t="n">
        <f aca="false">IF($A22="","",COUNTIF(全体!$E$2:$E$908,$A22))</f>
        <v>0</v>
      </c>
      <c r="J22" s="11" t="n">
        <f aca="false">IF($A22="","",SUMIFS(全体!$M$2:$M$908,全体!$E$2:$E$908,$A22))</f>
        <v>0</v>
      </c>
      <c r="K22" s="11" t="n">
        <f aca="false">IF($A22="","",SUMIFS(全体!$T$2:$T$908,全体!$E$2:$E$908,$A22))</f>
        <v>0</v>
      </c>
      <c r="L22" s="11" t="n">
        <f aca="false">IF($A22="","",SUMIFS(全体!$AA$2:$AA$908,全体!$E$2:$E$908,$A22))</f>
        <v>0</v>
      </c>
      <c r="M22" s="11" t="n">
        <f aca="false">IF($A22="","",SUMIFS(全体!$AH$2:$AH$908,全体!$E$2:$E$908,$A22))</f>
        <v>0</v>
      </c>
    </row>
    <row r="23" customFormat="false" ht="15" hidden="false" customHeight="false" outlineLevel="0" collapsed="false">
      <c r="A23" s="8" t="str">
        <f aca="false">IF(担当者マスタ!A23="","",担当者マスタ!A23)</f>
        <v>0042</v>
      </c>
      <c r="B23" s="9" t="str">
        <f aca="false">IF(担当者マスタ!A23="","",担当者マスタ!B23)</f>
        <v>馬場部長</v>
      </c>
      <c r="C23" s="9" t="str">
        <f aca="false">IF(担当者マスタ!A23="","",担当者マスタ!C23)</f>
        <v>鳥栖・静岡・東京</v>
      </c>
      <c r="D23" s="22" t="n">
        <f aca="false">IF($A23="","",COUNTIF(全体!$C$2:$C$908,$A23))</f>
        <v>3</v>
      </c>
      <c r="E23" s="11" t="n">
        <f aca="false">IF($A23="","",SUMIFS(全体!$M$2:$M$908,全体!$C$2:$C$908,$A23))</f>
        <v>191505.117</v>
      </c>
      <c r="F23" s="11" t="n">
        <f aca="false">IF($A23="","",SUMIFS(全体!$T$2:$T$908,全体!$C$2:$C$908,$A23))</f>
        <v>27641.052</v>
      </c>
      <c r="G23" s="11" t="n">
        <f aca="false">IF($A23="","",SUMIFS(全体!$AA$2:$AA$908,全体!$C$2:$C$908,$A23))</f>
        <v>185402.111</v>
      </c>
      <c r="H23" s="11" t="n">
        <f aca="false">IF($A23="","",SUMIFS(全体!$AH$2:$AH$908,全体!$C$2:$C$908,$A23))</f>
        <v>26271.142</v>
      </c>
      <c r="I23" s="22" t="n">
        <f aca="false">IF($A23="","",COUNTIF(全体!$E$2:$E$908,$A23))</f>
        <v>0</v>
      </c>
      <c r="J23" s="11" t="n">
        <f aca="false">IF($A23="","",SUMIFS(全体!$M$2:$M$908,全体!$E$2:$E$908,$A23))</f>
        <v>0</v>
      </c>
      <c r="K23" s="11" t="n">
        <f aca="false">IF($A23="","",SUMIFS(全体!$T$2:$T$908,全体!$E$2:$E$908,$A23))</f>
        <v>0</v>
      </c>
      <c r="L23" s="11" t="n">
        <f aca="false">IF($A23="","",SUMIFS(全体!$AA$2:$AA$908,全体!$E$2:$E$908,$A23))</f>
        <v>0</v>
      </c>
      <c r="M23" s="11" t="n">
        <f aca="false">IF($A23="","",SUMIFS(全体!$AH$2:$AH$908,全体!$E$2:$E$908,$A23))</f>
        <v>0</v>
      </c>
    </row>
    <row r="24" customFormat="false" ht="15" hidden="false" customHeight="false" outlineLevel="0" collapsed="false">
      <c r="A24" s="8" t="str">
        <f aca="false">IF(担当者マスタ!A24="","",担当者マスタ!A24)</f>
        <v>0046</v>
      </c>
      <c r="B24" s="9" t="str">
        <f aca="false">IF(担当者マスタ!A24="","",担当者マスタ!B24)</f>
        <v>角田</v>
      </c>
      <c r="C24" s="9" t="str">
        <f aca="false">IF(担当者マスタ!A24="","",担当者マスタ!C24)</f>
        <v>鳥栖・静岡・東京</v>
      </c>
      <c r="D24" s="22" t="n">
        <f aca="false">IF($A24="","",COUNTIF(全体!$C$2:$C$908,$A24))</f>
        <v>36</v>
      </c>
      <c r="E24" s="11" t="n">
        <f aca="false">IF($A24="","",SUMIFS(全体!$M$2:$M$908,全体!$C$2:$C$908,$A24))</f>
        <v>34488.403</v>
      </c>
      <c r="F24" s="11" t="n">
        <f aca="false">IF($A24="","",SUMIFS(全体!$T$2:$T$908,全体!$C$2:$C$908,$A24))</f>
        <v>6746.381</v>
      </c>
      <c r="G24" s="11" t="n">
        <f aca="false">IF($A24="","",SUMIFS(全体!$AA$2:$AA$908,全体!$C$2:$C$908,$A24))</f>
        <v>33271.952</v>
      </c>
      <c r="H24" s="11" t="n">
        <f aca="false">IF($A24="","",SUMIFS(全体!$AH$2:$AH$908,全体!$C$2:$C$908,$A24))</f>
        <v>6243.223</v>
      </c>
      <c r="I24" s="22" t="n">
        <f aca="false">IF($A24="","",COUNTIF(全体!$E$2:$E$908,$A24))</f>
        <v>0</v>
      </c>
      <c r="J24" s="11" t="n">
        <f aca="false">IF($A24="","",SUMIFS(全体!$M$2:$M$908,全体!$E$2:$E$908,$A24))</f>
        <v>0</v>
      </c>
      <c r="K24" s="11" t="n">
        <f aca="false">IF($A24="","",SUMIFS(全体!$T$2:$T$908,全体!$E$2:$E$908,$A24))</f>
        <v>0</v>
      </c>
      <c r="L24" s="11" t="n">
        <f aca="false">IF($A24="","",SUMIFS(全体!$AA$2:$AA$908,全体!$E$2:$E$908,$A24))</f>
        <v>0</v>
      </c>
      <c r="M24" s="11" t="n">
        <f aca="false">IF($A24="","",SUMIFS(全体!$AH$2:$AH$908,全体!$E$2:$E$908,$A24))</f>
        <v>0</v>
      </c>
    </row>
    <row r="25" customFormat="false" ht="15" hidden="false" customHeight="false" outlineLevel="0" collapsed="false">
      <c r="A25" s="8" t="str">
        <f aca="false">IF(担当者マスタ!A25="","",担当者マスタ!A25)</f>
        <v>0101</v>
      </c>
      <c r="B25" s="9" t="str">
        <f aca="false">IF(担当者マスタ!A25="","",担当者マスタ!B25)</f>
        <v>漁協サービス</v>
      </c>
      <c r="C25" s="9" t="str">
        <f aca="false">IF(担当者マスタ!A25="","",担当者マスタ!C25)</f>
        <v>水産部X</v>
      </c>
      <c r="D25" s="22" t="n">
        <f aca="false">IF($A25="","",COUNTIF(全体!$C$2:$C$908,$A25))</f>
        <v>1</v>
      </c>
      <c r="E25" s="11" t="n">
        <f aca="false">IF($A25="","",SUMIFS(全体!$M$2:$M$908,全体!$C$2:$C$908,$A25))</f>
        <v>4332.565</v>
      </c>
      <c r="F25" s="11" t="n">
        <f aca="false">IF($A25="","",SUMIFS(全体!$T$2:$T$908,全体!$C$2:$C$908,$A25))</f>
        <v>2758.447</v>
      </c>
      <c r="G25" s="11" t="n">
        <f aca="false">IF($A25="","",SUMIFS(全体!$AA$2:$AA$908,全体!$C$2:$C$908,$A25))</f>
        <v>4373.084</v>
      </c>
      <c r="H25" s="11" t="n">
        <f aca="false">IF($A25="","",SUMIFS(全体!$AH$2:$AH$908,全体!$C$2:$C$908,$A25))</f>
        <v>3132.166</v>
      </c>
      <c r="I25" s="22" t="n">
        <f aca="false">IF($A25="","",COUNTIF(全体!$E$2:$E$908,$A25))</f>
        <v>0</v>
      </c>
      <c r="J25" s="11" t="n">
        <f aca="false">IF($A25="","",SUMIFS(全体!$M$2:$M$908,全体!$E$2:$E$908,$A25))</f>
        <v>0</v>
      </c>
      <c r="K25" s="11" t="n">
        <f aca="false">IF($A25="","",SUMIFS(全体!$T$2:$T$908,全体!$E$2:$E$908,$A25))</f>
        <v>0</v>
      </c>
      <c r="L25" s="11" t="n">
        <f aca="false">IF($A25="","",SUMIFS(全体!$AA$2:$AA$908,全体!$E$2:$E$908,$A25))</f>
        <v>0</v>
      </c>
      <c r="M25" s="11" t="n">
        <f aca="false">IF($A25="","",SUMIFS(全体!$AH$2:$AH$908,全体!$E$2:$E$908,$A25))</f>
        <v>0</v>
      </c>
    </row>
    <row r="26" customFormat="false" ht="15" hidden="false" customHeight="false" outlineLevel="0" collapsed="false">
      <c r="A26" s="8" t="str">
        <f aca="false">IF(担当者マスタ!A26="","",担当者マスタ!A26)</f>
        <v>0102</v>
      </c>
      <c r="B26" s="9" t="str">
        <f aca="false">IF(担当者マスタ!A26="","",担当者マスタ!B26)</f>
        <v>JF大田</v>
      </c>
      <c r="C26" s="9" t="str">
        <f aca="false">IF(担当者マスタ!A26="","",担当者マスタ!C26)</f>
        <v>水産部X</v>
      </c>
      <c r="D26" s="22" t="n">
        <f aca="false">IF($A26="","",COUNTIF(全体!$C$2:$C$908,$A26))</f>
        <v>2</v>
      </c>
      <c r="E26" s="11" t="n">
        <f aca="false">IF($A26="","",SUMIFS(全体!$M$2:$M$908,全体!$C$2:$C$908,$A26))</f>
        <v>42183.719</v>
      </c>
      <c r="F26" s="11" t="n">
        <f aca="false">IF($A26="","",SUMIFS(全体!$T$2:$T$908,全体!$C$2:$C$908,$A26))</f>
        <v>8762.886</v>
      </c>
      <c r="G26" s="11" t="n">
        <f aca="false">IF($A26="","",SUMIFS(全体!$AA$2:$AA$908,全体!$C$2:$C$908,$A26))</f>
        <v>51315.676</v>
      </c>
      <c r="H26" s="11" t="n">
        <f aca="false">IF($A26="","",SUMIFS(全体!$AH$2:$AH$908,全体!$C$2:$C$908,$A26))</f>
        <v>12091.011</v>
      </c>
      <c r="I26" s="22" t="n">
        <f aca="false">IF($A26="","",COUNTIF(全体!$E$2:$E$908,$A26))</f>
        <v>0</v>
      </c>
      <c r="J26" s="11" t="n">
        <f aca="false">IF($A26="","",SUMIFS(全体!$M$2:$M$908,全体!$E$2:$E$908,$A26))</f>
        <v>0</v>
      </c>
      <c r="K26" s="11" t="n">
        <f aca="false">IF($A26="","",SUMIFS(全体!$T$2:$T$908,全体!$E$2:$E$908,$A26))</f>
        <v>0</v>
      </c>
      <c r="L26" s="11" t="n">
        <f aca="false">IF($A26="","",SUMIFS(全体!$AA$2:$AA$908,全体!$E$2:$E$908,$A26))</f>
        <v>0</v>
      </c>
      <c r="M26" s="11" t="n">
        <f aca="false">IF($A26="","",SUMIFS(全体!$AH$2:$AH$908,全体!$E$2:$E$908,$A26))</f>
        <v>0</v>
      </c>
    </row>
    <row r="27" customFormat="false" ht="15" hidden="false" customHeight="false" outlineLevel="0" collapsed="false">
      <c r="A27" s="8" t="str">
        <f aca="false">IF(担当者マスタ!A27="","",担当者マスタ!A27)</f>
        <v>0104</v>
      </c>
      <c r="B27" s="9" t="str">
        <f aca="false">IF(担当者マスタ!A27="","",担当者マスタ!B27)</f>
        <v>大田荷役</v>
      </c>
      <c r="C27" s="9" t="str">
        <f aca="false">IF(担当者マスタ!A27="","",担当者マスタ!C27)</f>
        <v>水産部X</v>
      </c>
      <c r="D27" s="22" t="n">
        <f aca="false">IF($A27="","",COUNTIF(全体!$C$2:$C$908,$A27))</f>
        <v>18</v>
      </c>
      <c r="E27" s="11" t="n">
        <f aca="false">IF($A27="","",SUMIFS(全体!$M$2:$M$908,全体!$C$2:$C$908,$A27))</f>
        <v>20226.485</v>
      </c>
      <c r="F27" s="11" t="n">
        <f aca="false">IF($A27="","",SUMIFS(全体!$T$2:$T$908,全体!$C$2:$C$908,$A27))</f>
        <v>13273.166</v>
      </c>
      <c r="G27" s="11" t="n">
        <f aca="false">IF($A27="","",SUMIFS(全体!$AA$2:$AA$908,全体!$C$2:$C$908,$A27))</f>
        <v>22659.295</v>
      </c>
      <c r="H27" s="11" t="n">
        <f aca="false">IF($A27="","",SUMIFS(全体!$AH$2:$AH$908,全体!$C$2:$C$908,$A27))</f>
        <v>14913.779</v>
      </c>
      <c r="I27" s="22" t="n">
        <f aca="false">IF($A27="","",COUNTIF(全体!$E$2:$E$908,$A27))</f>
        <v>0</v>
      </c>
      <c r="J27" s="11" t="n">
        <f aca="false">IF($A27="","",SUMIFS(全体!$M$2:$M$908,全体!$E$2:$E$908,$A27))</f>
        <v>0</v>
      </c>
      <c r="K27" s="11" t="n">
        <f aca="false">IF($A27="","",SUMIFS(全体!$T$2:$T$908,全体!$E$2:$E$908,$A27))</f>
        <v>0</v>
      </c>
      <c r="L27" s="11" t="n">
        <f aca="false">IF($A27="","",SUMIFS(全体!$AA$2:$AA$908,全体!$E$2:$E$908,$A27))</f>
        <v>0</v>
      </c>
      <c r="M27" s="11" t="n">
        <f aca="false">IF($A27="","",SUMIFS(全体!$AH$2:$AH$908,全体!$E$2:$E$908,$A27))</f>
        <v>0</v>
      </c>
    </row>
    <row r="28" customFormat="false" ht="15" hidden="false" customHeight="false" outlineLevel="0" collapsed="false">
      <c r="A28" s="8" t="str">
        <f aca="false">IF(担当者マスタ!A28="","",担当者マスタ!A28)</f>
        <v>0106</v>
      </c>
      <c r="B28" s="9" t="str">
        <f aca="false">IF(担当者マスタ!A28="","",担当者マスタ!B28)</f>
        <v>浜田荷役</v>
      </c>
      <c r="C28" s="9" t="str">
        <f aca="false">IF(担当者マスタ!A28="","",担当者マスタ!C28)</f>
        <v>水産部X</v>
      </c>
      <c r="D28" s="22" t="n">
        <f aca="false">IF($A28="","",COUNTIF(全体!$C$2:$C$908,$A28))</f>
        <v>75</v>
      </c>
      <c r="E28" s="11" t="n">
        <f aca="false">IF($A28="","",SUMIFS(全体!$M$2:$M$908,全体!$C$2:$C$908,$A28))</f>
        <v>21623.209</v>
      </c>
      <c r="F28" s="11" t="n">
        <f aca="false">IF($A28="","",SUMIFS(全体!$T$2:$T$908,全体!$C$2:$C$908,$A28))</f>
        <v>11680.323</v>
      </c>
      <c r="G28" s="11" t="n">
        <f aca="false">IF($A28="","",SUMIFS(全体!$AA$2:$AA$908,全体!$C$2:$C$908,$A28))</f>
        <v>24642.639</v>
      </c>
      <c r="H28" s="11" t="n">
        <f aca="false">IF($A28="","",SUMIFS(全体!$AH$2:$AH$908,全体!$C$2:$C$908,$A28))</f>
        <v>13207.823</v>
      </c>
      <c r="I28" s="22" t="n">
        <f aca="false">IF($A28="","",COUNTIF(全体!$E$2:$E$908,$A28))</f>
        <v>0</v>
      </c>
      <c r="J28" s="11" t="n">
        <f aca="false">IF($A28="","",SUMIFS(全体!$M$2:$M$908,全体!$E$2:$E$908,$A28))</f>
        <v>0</v>
      </c>
      <c r="K28" s="11" t="n">
        <f aca="false">IF($A28="","",SUMIFS(全体!$T$2:$T$908,全体!$E$2:$E$908,$A28))</f>
        <v>0</v>
      </c>
      <c r="L28" s="11" t="n">
        <f aca="false">IF($A28="","",SUMIFS(全体!$AA$2:$AA$908,全体!$E$2:$E$908,$A28))</f>
        <v>0</v>
      </c>
      <c r="M28" s="11" t="n">
        <f aca="false">IF($A28="","",SUMIFS(全体!$AH$2:$AH$908,全体!$E$2:$E$908,$A28))</f>
        <v>0</v>
      </c>
    </row>
    <row r="29" customFormat="false" ht="15" hidden="false" customHeight="false" outlineLevel="0" collapsed="false">
      <c r="A29" s="8" t="str">
        <f aca="false">IF(担当者マスタ!A29="","",担当者マスタ!A29)</f>
        <v>0552</v>
      </c>
      <c r="B29" s="9" t="str">
        <f aca="false">IF(担当者マスタ!A29="","",担当者マスタ!B29)</f>
        <v>馬場部長(東京)</v>
      </c>
      <c r="C29" s="9" t="str">
        <f aca="false">IF(担当者マスタ!A29="","",担当者マスタ!C29)</f>
        <v>鳥栖・静岡・東京</v>
      </c>
      <c r="D29" s="22" t="n">
        <f aca="false">IF($A29="","",COUNTIF(全体!$C$2:$C$908,$A29))</f>
        <v>28</v>
      </c>
      <c r="E29" s="11" t="n">
        <f aca="false">IF($A29="","",SUMIFS(全体!$M$2:$M$908,全体!$C$2:$C$908,$A29))</f>
        <v>28619.861</v>
      </c>
      <c r="F29" s="11" t="n">
        <f aca="false">IF($A29="","",SUMIFS(全体!$T$2:$T$908,全体!$C$2:$C$908,$A29))</f>
        <v>3284.285</v>
      </c>
      <c r="G29" s="11" t="n">
        <f aca="false">IF($A29="","",SUMIFS(全体!$AA$2:$AA$908,全体!$C$2:$C$908,$A29))</f>
        <v>31960.62</v>
      </c>
      <c r="H29" s="11" t="n">
        <f aca="false">IF($A29="","",SUMIFS(全体!$AH$2:$AH$908,全体!$C$2:$C$908,$A29))</f>
        <v>3947.438</v>
      </c>
      <c r="I29" s="22" t="n">
        <f aca="false">IF($A29="","",COUNTIF(全体!$E$2:$E$908,$A29))</f>
        <v>0</v>
      </c>
      <c r="J29" s="11" t="n">
        <f aca="false">IF($A29="","",SUMIFS(全体!$M$2:$M$908,全体!$E$2:$E$908,$A29))</f>
        <v>0</v>
      </c>
      <c r="K29" s="11" t="n">
        <f aca="false">IF($A29="","",SUMIFS(全体!$T$2:$T$908,全体!$E$2:$E$908,$A29))</f>
        <v>0</v>
      </c>
      <c r="L29" s="11" t="n">
        <f aca="false">IF($A29="","",SUMIFS(全体!$AA$2:$AA$908,全体!$E$2:$E$908,$A29))</f>
        <v>0</v>
      </c>
      <c r="M29" s="11" t="n">
        <f aca="false">IF($A29="","",SUMIFS(全体!$AH$2:$AH$908,全体!$E$2:$E$908,$A29))</f>
        <v>0</v>
      </c>
    </row>
    <row r="30" customFormat="false" ht="15" hidden="false" customHeight="false" outlineLevel="0" collapsed="false">
      <c r="A30" s="8" t="str">
        <f aca="false">IF(担当者マスタ!A30="","",担当者マスタ!A30)</f>
        <v>0903</v>
      </c>
      <c r="B30" s="9" t="str">
        <f aca="false">IF(担当者マスタ!A30="","",担当者マスタ!B30)</f>
        <v>西岡</v>
      </c>
      <c r="C30" s="9" t="str">
        <f aca="false">IF(担当者マスタ!A30="","",担当者マスタ!C30)</f>
        <v>松江・境港</v>
      </c>
      <c r="D30" s="22" t="n">
        <f aca="false">IF($A30="","",COUNTIF(全体!$C$2:$C$908,$A30))</f>
        <v>61</v>
      </c>
      <c r="E30" s="11" t="n">
        <f aca="false">IF($A30="","",SUMIFS(全体!$M$2:$M$908,全体!$C$2:$C$908,$A30))</f>
        <v>28281.351</v>
      </c>
      <c r="F30" s="11" t="n">
        <f aca="false">IF($A30="","",SUMIFS(全体!$T$2:$T$908,全体!$C$2:$C$908,$A30))</f>
        <v>5436.758</v>
      </c>
      <c r="G30" s="11" t="n">
        <f aca="false">IF($A30="","",SUMIFS(全体!$AA$2:$AA$908,全体!$C$2:$C$908,$A30))</f>
        <v>24777.163</v>
      </c>
      <c r="H30" s="11" t="n">
        <f aca="false">IF($A30="","",SUMIFS(全体!$AH$2:$AH$908,全体!$C$2:$C$908,$A30))</f>
        <v>4897.7575</v>
      </c>
      <c r="I30" s="22" t="n">
        <f aca="false">IF($A30="","",COUNTIF(全体!$E$2:$E$908,$A30))</f>
        <v>0</v>
      </c>
      <c r="J30" s="11" t="n">
        <f aca="false">IF($A30="","",SUMIFS(全体!$M$2:$M$908,全体!$E$2:$E$908,$A30))</f>
        <v>0</v>
      </c>
      <c r="K30" s="11" t="n">
        <f aca="false">IF($A30="","",SUMIFS(全体!$T$2:$T$908,全体!$E$2:$E$908,$A30))</f>
        <v>0</v>
      </c>
      <c r="L30" s="11" t="n">
        <f aca="false">IF($A30="","",SUMIFS(全体!$AA$2:$AA$908,全体!$E$2:$E$908,$A30))</f>
        <v>0</v>
      </c>
      <c r="M30" s="11" t="n">
        <f aca="false">IF($A30="","",SUMIFS(全体!$AH$2:$AH$908,全体!$E$2:$E$908,$A30))</f>
        <v>0</v>
      </c>
    </row>
    <row r="31" customFormat="false" ht="15" hidden="false" customHeight="false" outlineLevel="0" collapsed="false">
      <c r="A31" s="8" t="str">
        <f aca="false">IF(担当者マスタ!A31="","",担当者マスタ!A31)</f>
        <v>0904</v>
      </c>
      <c r="B31" s="9" t="str">
        <f aca="false">IF(担当者マスタ!A31="","",担当者マスタ!B31)</f>
        <v>足立(直)</v>
      </c>
      <c r="C31" s="9" t="str">
        <f aca="false">IF(担当者マスタ!A31="","",担当者マスタ!C31)</f>
        <v>松江・境港</v>
      </c>
      <c r="D31" s="22" t="n">
        <f aca="false">IF($A31="","",COUNTIF(全体!$C$2:$C$908,$A31))</f>
        <v>20</v>
      </c>
      <c r="E31" s="11" t="n">
        <f aca="false">IF($A31="","",SUMIFS(全体!$M$2:$M$908,全体!$C$2:$C$908,$A31))</f>
        <v>64189.816</v>
      </c>
      <c r="F31" s="11" t="n">
        <f aca="false">IF($A31="","",SUMIFS(全体!$T$2:$T$908,全体!$C$2:$C$908,$A31))</f>
        <v>13519.905</v>
      </c>
      <c r="G31" s="11" t="n">
        <f aca="false">IF($A31="","",SUMIFS(全体!$AA$2:$AA$908,全体!$C$2:$C$908,$A31))</f>
        <v>78759.298</v>
      </c>
      <c r="H31" s="11" t="n">
        <f aca="false">IF($A31="","",SUMIFS(全体!$AH$2:$AH$908,全体!$C$2:$C$908,$A31))</f>
        <v>15795.381</v>
      </c>
      <c r="I31" s="22" t="n">
        <f aca="false">IF($A31="","",COUNTIF(全体!$E$2:$E$908,$A31))</f>
        <v>0</v>
      </c>
      <c r="J31" s="11" t="n">
        <f aca="false">IF($A31="","",SUMIFS(全体!$M$2:$M$908,全体!$E$2:$E$908,$A31))</f>
        <v>0</v>
      </c>
      <c r="K31" s="11" t="n">
        <f aca="false">IF($A31="","",SUMIFS(全体!$T$2:$T$908,全体!$E$2:$E$908,$A31))</f>
        <v>0</v>
      </c>
      <c r="L31" s="11" t="n">
        <f aca="false">IF($A31="","",SUMIFS(全体!$AA$2:$AA$908,全体!$E$2:$E$908,$A31))</f>
        <v>0</v>
      </c>
      <c r="M31" s="11" t="n">
        <f aca="false">IF($A31="","",SUMIFS(全体!$AH$2:$AH$908,全体!$E$2:$E$908,$A31))</f>
        <v>0</v>
      </c>
    </row>
    <row r="32" customFormat="false" ht="15" hidden="false" customHeight="false" outlineLevel="0" collapsed="false">
      <c r="A32" s="8" t="str">
        <f aca="false">IF(担当者マスタ!A32="","",担当者マスタ!A32)</f>
        <v>0909</v>
      </c>
      <c r="B32" s="9" t="str">
        <f aca="false">IF(担当者マスタ!A32="","",担当者マスタ!B32)</f>
        <v>藤波</v>
      </c>
      <c r="C32" s="9" t="str">
        <f aca="false">IF(担当者マスタ!A32="","",担当者マスタ!C32)</f>
        <v>松江・境港</v>
      </c>
      <c r="D32" s="22" t="n">
        <f aca="false">IF($A32="","",COUNTIF(全体!$C$2:$C$908,$A32))</f>
        <v>29</v>
      </c>
      <c r="E32" s="11" t="n">
        <f aca="false">IF($A32="","",SUMIFS(全体!$M$2:$M$908,全体!$C$2:$C$908,$A32))</f>
        <v>69376.982</v>
      </c>
      <c r="F32" s="11" t="n">
        <f aca="false">IF($A32="","",SUMIFS(全体!$T$2:$T$908,全体!$C$2:$C$908,$A32))</f>
        <v>12811.19</v>
      </c>
      <c r="G32" s="11" t="n">
        <f aca="false">IF($A32="","",SUMIFS(全体!$AA$2:$AA$908,全体!$C$2:$C$908,$A32))</f>
        <v>73453.227</v>
      </c>
      <c r="H32" s="11" t="n">
        <f aca="false">IF($A32="","",SUMIFS(全体!$AH$2:$AH$908,全体!$C$2:$C$908,$A32))</f>
        <v>14385.56</v>
      </c>
      <c r="I32" s="22" t="n">
        <f aca="false">IF($A32="","",COUNTIF(全体!$E$2:$E$908,$A32))</f>
        <v>0</v>
      </c>
      <c r="J32" s="11" t="n">
        <f aca="false">IF($A32="","",SUMIFS(全体!$M$2:$M$908,全体!$E$2:$E$908,$A32))</f>
        <v>0</v>
      </c>
      <c r="K32" s="11" t="n">
        <f aca="false">IF($A32="","",SUMIFS(全体!$T$2:$T$908,全体!$E$2:$E$908,$A32))</f>
        <v>0</v>
      </c>
      <c r="L32" s="11" t="n">
        <f aca="false">IF($A32="","",SUMIFS(全体!$AA$2:$AA$908,全体!$E$2:$E$908,$A32))</f>
        <v>0</v>
      </c>
      <c r="M32" s="11" t="n">
        <f aca="false">IF($A32="","",SUMIFS(全体!$AH$2:$AH$908,全体!$E$2:$E$908,$A32))</f>
        <v>0</v>
      </c>
    </row>
    <row r="33" customFormat="false" ht="15" hidden="false" customHeight="false" outlineLevel="0" collapsed="false">
      <c r="A33" s="8" t="str">
        <f aca="false">IF(担当者マスタ!A33="","",担当者マスタ!A33)</f>
        <v>0911</v>
      </c>
      <c r="B33" s="9" t="str">
        <f aca="false">IF(担当者マスタ!A33="","",担当者マスタ!B33)</f>
        <v>川邊</v>
      </c>
      <c r="C33" s="9" t="str">
        <f aca="false">IF(担当者マスタ!A33="","",担当者マスタ!C33)</f>
        <v>松江・境港</v>
      </c>
      <c r="D33" s="22" t="n">
        <f aca="false">IF($A33="","",COUNTIF(全体!$C$2:$C$908,$A33))</f>
        <v>39</v>
      </c>
      <c r="E33" s="11" t="n">
        <f aca="false">IF($A33="","",SUMIFS(全体!$M$2:$M$908,全体!$C$2:$C$908,$A33))</f>
        <v>87221.44</v>
      </c>
      <c r="F33" s="11" t="n">
        <f aca="false">IF($A33="","",SUMIFS(全体!$T$2:$T$908,全体!$C$2:$C$908,$A33))</f>
        <v>16456.752</v>
      </c>
      <c r="G33" s="11" t="n">
        <f aca="false">IF($A33="","",SUMIFS(全体!$AA$2:$AA$908,全体!$C$2:$C$908,$A33))</f>
        <v>77577.736</v>
      </c>
      <c r="H33" s="11" t="n">
        <f aca="false">IF($A33="","",SUMIFS(全体!$AH$2:$AH$908,全体!$C$2:$C$908,$A33))</f>
        <v>12887.607</v>
      </c>
      <c r="I33" s="22" t="n">
        <f aca="false">IF($A33="","",COUNTIF(全体!$E$2:$E$908,$A33))</f>
        <v>0</v>
      </c>
      <c r="J33" s="11" t="n">
        <f aca="false">IF($A33="","",SUMIFS(全体!$M$2:$M$908,全体!$E$2:$E$908,$A33))</f>
        <v>0</v>
      </c>
      <c r="K33" s="11" t="n">
        <f aca="false">IF($A33="","",SUMIFS(全体!$T$2:$T$908,全体!$E$2:$E$908,$A33))</f>
        <v>0</v>
      </c>
      <c r="L33" s="11" t="n">
        <f aca="false">IF($A33="","",SUMIFS(全体!$AA$2:$AA$908,全体!$E$2:$E$908,$A33))</f>
        <v>0</v>
      </c>
      <c r="M33" s="11" t="n">
        <f aca="false">IF($A33="","",SUMIFS(全体!$AH$2:$AH$908,全体!$E$2:$E$908,$A33))</f>
        <v>0</v>
      </c>
    </row>
    <row r="34" customFormat="false" ht="15" hidden="false" customHeight="false" outlineLevel="0" collapsed="false">
      <c r="A34" s="8" t="str">
        <f aca="false">IF(担当者マスタ!A34="","",担当者マスタ!A34)</f>
        <v>0914</v>
      </c>
      <c r="B34" s="9" t="str">
        <f aca="false">IF(担当者マスタ!A34="","",担当者マスタ!B34)</f>
        <v>白根</v>
      </c>
      <c r="C34" s="9" t="str">
        <f aca="false">IF(担当者マスタ!A34="","",担当者マスタ!C34)</f>
        <v>松江・境港</v>
      </c>
      <c r="D34" s="22" t="n">
        <f aca="false">IF($A34="","",COUNTIF(全体!$C$2:$C$908,$A34))</f>
        <v>28</v>
      </c>
      <c r="E34" s="11" t="n">
        <f aca="false">IF($A34="","",SUMIFS(全体!$M$2:$M$908,全体!$C$2:$C$908,$A34))</f>
        <v>109763.725</v>
      </c>
      <c r="F34" s="11" t="n">
        <f aca="false">IF($A34="","",SUMIFS(全体!$T$2:$T$908,全体!$C$2:$C$908,$A34))</f>
        <v>23951.849</v>
      </c>
      <c r="G34" s="11" t="n">
        <f aca="false">IF($A34="","",SUMIFS(全体!$AA$2:$AA$908,全体!$C$2:$C$908,$A34))</f>
        <v>88559.3</v>
      </c>
      <c r="H34" s="11" t="n">
        <f aca="false">IF($A34="","",SUMIFS(全体!$AH$2:$AH$908,全体!$C$2:$C$908,$A34))</f>
        <v>20961.377</v>
      </c>
      <c r="I34" s="22" t="n">
        <f aca="false">IF($A34="","",COUNTIF(全体!$E$2:$E$908,$A34))</f>
        <v>0</v>
      </c>
      <c r="J34" s="11" t="n">
        <f aca="false">IF($A34="","",SUMIFS(全体!$M$2:$M$908,全体!$E$2:$E$908,$A34))</f>
        <v>0</v>
      </c>
      <c r="K34" s="11" t="n">
        <f aca="false">IF($A34="","",SUMIFS(全体!$T$2:$T$908,全体!$E$2:$E$908,$A34))</f>
        <v>0</v>
      </c>
      <c r="L34" s="11" t="n">
        <f aca="false">IF($A34="","",SUMIFS(全体!$AA$2:$AA$908,全体!$E$2:$E$908,$A34))</f>
        <v>0</v>
      </c>
      <c r="M34" s="11" t="n">
        <f aca="false">IF($A34="","",SUMIFS(全体!$AH$2:$AH$908,全体!$E$2:$E$908,$A34))</f>
        <v>0</v>
      </c>
    </row>
    <row r="35" customFormat="false" ht="15" hidden="false" customHeight="false" outlineLevel="0" collapsed="false">
      <c r="A35" s="8" t="str">
        <f aca="false">IF(担当者マスタ!A35="","",担当者マスタ!A35)</f>
        <v>0918</v>
      </c>
      <c r="B35" s="9" t="str">
        <f aca="false">IF(担当者マスタ!A35="","",担当者マスタ!B35)</f>
        <v>足立秀(海外)</v>
      </c>
      <c r="C35" s="9" t="str">
        <f aca="false">IF(担当者マスタ!A35="","",担当者マスタ!C35)</f>
        <v>松江・境港</v>
      </c>
      <c r="D35" s="22" t="n">
        <f aca="false">IF($A35="","",COUNTIF(全体!$C$2:$C$908,$A35))</f>
        <v>7</v>
      </c>
      <c r="E35" s="11" t="n">
        <f aca="false">IF($A35="","",SUMIFS(全体!$M$2:$M$908,全体!$C$2:$C$908,$A35))</f>
        <v>9246.216</v>
      </c>
      <c r="F35" s="11" t="n">
        <f aca="false">IF($A35="","",SUMIFS(全体!$T$2:$T$908,全体!$C$2:$C$908,$A35))</f>
        <v>1863.607</v>
      </c>
      <c r="G35" s="11" t="n">
        <f aca="false">IF($A35="","",SUMIFS(全体!$AA$2:$AA$908,全体!$C$2:$C$908,$A35))</f>
        <v>25345.304</v>
      </c>
      <c r="H35" s="11" t="n">
        <f aca="false">IF($A35="","",SUMIFS(全体!$AH$2:$AH$908,全体!$C$2:$C$908,$A35))</f>
        <v>5868.739</v>
      </c>
      <c r="I35" s="22" t="n">
        <f aca="false">IF($A35="","",COUNTIF(全体!$E$2:$E$908,$A35))</f>
        <v>0</v>
      </c>
      <c r="J35" s="11" t="n">
        <f aca="false">IF($A35="","",SUMIFS(全体!$M$2:$M$908,全体!$E$2:$E$908,$A35))</f>
        <v>0</v>
      </c>
      <c r="K35" s="11" t="n">
        <f aca="false">IF($A35="","",SUMIFS(全体!$T$2:$T$908,全体!$E$2:$E$908,$A35))</f>
        <v>0</v>
      </c>
      <c r="L35" s="11" t="n">
        <f aca="false">IF($A35="","",SUMIFS(全体!$AA$2:$AA$908,全体!$E$2:$E$908,$A35))</f>
        <v>0</v>
      </c>
      <c r="M35" s="11" t="n">
        <f aca="false">IF($A35="","",SUMIFS(全体!$AH$2:$AH$908,全体!$E$2:$E$908,$A35))</f>
        <v>0</v>
      </c>
    </row>
    <row r="36" customFormat="false" ht="15" hidden="false" customHeight="false" outlineLevel="0" collapsed="false">
      <c r="A36" s="8" t="str">
        <f aca="false">IF(担当者マスタ!A36="","",担当者マスタ!A36)</f>
        <v>0919</v>
      </c>
      <c r="B36" s="9" t="str">
        <f aca="false">IF(担当者マスタ!A36="","",担当者マスタ!B36)</f>
        <v>その他</v>
      </c>
      <c r="C36" s="9" t="str">
        <f aca="false">IF(担当者マスタ!A36="","",担当者マスタ!C36)</f>
        <v>松江・境港</v>
      </c>
      <c r="D36" s="22" t="n">
        <f aca="false">IF($A36="","",COUNTIF(全体!$C$2:$C$908,$A36))</f>
        <v>11</v>
      </c>
      <c r="E36" s="11" t="n">
        <f aca="false">IF($A36="","",SUMIFS(全体!$M$2:$M$908,全体!$C$2:$C$908,$A36))</f>
        <v>286.537</v>
      </c>
      <c r="F36" s="11" t="n">
        <f aca="false">IF($A36="","",SUMIFS(全体!$T$2:$T$908,全体!$C$2:$C$908,$A36))</f>
        <v>62.509</v>
      </c>
      <c r="G36" s="11" t="n">
        <f aca="false">IF($A36="","",SUMIFS(全体!$AA$2:$AA$908,全体!$C$2:$C$908,$A36))</f>
        <v>179.452</v>
      </c>
      <c r="H36" s="11" t="n">
        <f aca="false">IF($A36="","",SUMIFS(全体!$AH$2:$AH$908,全体!$C$2:$C$908,$A36))</f>
        <v>34.464</v>
      </c>
      <c r="I36" s="22" t="n">
        <f aca="false">IF($A36="","",COUNTIF(全体!$E$2:$E$908,$A36))</f>
        <v>0</v>
      </c>
      <c r="J36" s="11" t="n">
        <f aca="false">IF($A36="","",SUMIFS(全体!$M$2:$M$908,全体!$E$2:$E$908,$A36))</f>
        <v>0</v>
      </c>
      <c r="K36" s="11" t="n">
        <f aca="false">IF($A36="","",SUMIFS(全体!$T$2:$T$908,全体!$E$2:$E$908,$A36))</f>
        <v>0</v>
      </c>
      <c r="L36" s="11" t="n">
        <f aca="false">IF($A36="","",SUMIFS(全体!$AA$2:$AA$908,全体!$E$2:$E$908,$A36))</f>
        <v>0</v>
      </c>
      <c r="M36" s="11" t="n">
        <f aca="false">IF($A36="","",SUMIFS(全体!$AH$2:$AH$908,全体!$E$2:$E$908,$A36))</f>
        <v>0</v>
      </c>
    </row>
    <row r="37" customFormat="false" ht="15" hidden="false" customHeight="false" outlineLevel="0" collapsed="false">
      <c r="A37" s="8" t="str">
        <f aca="false">IF(担当者マスタ!A37="","",担当者マスタ!A37)</f>
        <v>0930</v>
      </c>
      <c r="B37" s="9" t="str">
        <f aca="false">IF(担当者マスタ!A37="","",担当者マスタ!B37)</f>
        <v>自治体</v>
      </c>
      <c r="C37" s="9" t="str">
        <f aca="false">IF(担当者マスタ!A37="","",担当者マスタ!C37)</f>
        <v>松江・境港</v>
      </c>
      <c r="D37" s="22" t="n">
        <f aca="false">IF($A37="","",COUNTIF(全体!$C$2:$C$908,$A37))</f>
        <v>2</v>
      </c>
      <c r="E37" s="11" t="n">
        <f aca="false">IF($A37="","",SUMIFS(全体!$M$2:$M$908,全体!$C$2:$C$908,$A37))</f>
        <v>66.099</v>
      </c>
      <c r="F37" s="11" t="n">
        <f aca="false">IF($A37="","",SUMIFS(全体!$T$2:$T$908,全体!$C$2:$C$908,$A37))</f>
        <v>2.449</v>
      </c>
      <c r="G37" s="11" t="n">
        <f aca="false">IF($A37="","",SUMIFS(全体!$AA$2:$AA$908,全体!$C$2:$C$908,$A37))</f>
        <v>1093.924</v>
      </c>
      <c r="H37" s="11" t="n">
        <f aca="false">IF($A37="","",SUMIFS(全体!$AH$2:$AH$908,全体!$C$2:$C$908,$A37))</f>
        <v>50.737</v>
      </c>
      <c r="I37" s="22" t="n">
        <f aca="false">IF($A37="","",COUNTIF(全体!$E$2:$E$908,$A37))</f>
        <v>0</v>
      </c>
      <c r="J37" s="11" t="n">
        <f aca="false">IF($A37="","",SUMIFS(全体!$M$2:$M$908,全体!$E$2:$E$908,$A37))</f>
        <v>0</v>
      </c>
      <c r="K37" s="11" t="n">
        <f aca="false">IF($A37="","",SUMIFS(全体!$T$2:$T$908,全体!$E$2:$E$908,$A37))</f>
        <v>0</v>
      </c>
      <c r="L37" s="11" t="n">
        <f aca="false">IF($A37="","",SUMIFS(全体!$AA$2:$AA$908,全体!$E$2:$E$908,$A37))</f>
        <v>0</v>
      </c>
      <c r="M37" s="11" t="n">
        <f aca="false">IF($A37="","",SUMIFS(全体!$AH$2:$AH$908,全体!$E$2:$E$908,$A37))</f>
        <v>0</v>
      </c>
    </row>
    <row r="38" customFormat="false" ht="15" hidden="false" customHeight="false" outlineLevel="0" collapsed="false">
      <c r="A38" s="8" t="str">
        <f aca="false">IF(担当者マスタ!A38="","",担当者マスタ!A38)</f>
        <v/>
      </c>
      <c r="B38" s="9" t="str">
        <f aca="false">IF(担当者マスタ!A38="","",担当者マスタ!B38)</f>
        <v/>
      </c>
      <c r="C38" s="9" t="str">
        <f aca="false">IF(担当者マスタ!A38="","",担当者マスタ!C38)</f>
        <v/>
      </c>
      <c r="D38" s="22" t="str">
        <f aca="false">IF($A38="","",COUNTIF(全体!$C$2:$C$908,$A38))</f>
        <v/>
      </c>
      <c r="E38" s="11" t="str">
        <f aca="false">IF($A38="","",SUMIFS(全体!$M$2:$M$908,全体!$C$2:$C$908,$A38))</f>
        <v/>
      </c>
      <c r="F38" s="11" t="str">
        <f aca="false">IF($A38="","",SUMIFS(全体!$T$2:$T$908,全体!$C$2:$C$908,$A38))</f>
        <v/>
      </c>
      <c r="G38" s="11" t="str">
        <f aca="false">IF($A38="","",SUMIFS(全体!$AA$2:$AA$908,全体!$C$2:$C$908,$A38))</f>
        <v/>
      </c>
      <c r="H38" s="11" t="str">
        <f aca="false">IF($A38="","",SUMIFS(全体!$AH$2:$AH$908,全体!$C$2:$C$908,$A38))</f>
        <v/>
      </c>
      <c r="I38" s="22" t="str">
        <f aca="false">IF($A38="","",COUNTIF(全体!$E$2:$E$908,$A38))</f>
        <v/>
      </c>
      <c r="J38" s="11" t="str">
        <f aca="false">IF($A38="","",SUMIFS(全体!$M$2:$M$908,全体!$E$2:$E$908,$A38))</f>
        <v/>
      </c>
      <c r="K38" s="11" t="str">
        <f aca="false">IF($A38="","",SUMIFS(全体!$T$2:$T$908,全体!$E$2:$E$908,$A38))</f>
        <v/>
      </c>
      <c r="L38" s="11" t="str">
        <f aca="false">IF($A38="","",SUMIFS(全体!$AA$2:$AA$908,全体!$E$2:$E$908,$A38))</f>
        <v/>
      </c>
      <c r="M38" s="11" t="str">
        <f aca="false">IF($A38="","",SUMIFS(全体!$AH$2:$AH$908,全体!$E$2:$E$908,$A38))</f>
        <v/>
      </c>
    </row>
    <row r="39" customFormat="false" ht="15" hidden="false" customHeight="false" outlineLevel="0" collapsed="false">
      <c r="A39" s="8" t="str">
        <f aca="false">IF(担当者マスタ!A39="","",担当者マスタ!A39)</f>
        <v/>
      </c>
      <c r="B39" s="9" t="str">
        <f aca="false">IF(担当者マスタ!A39="","",担当者マスタ!B39)</f>
        <v/>
      </c>
      <c r="C39" s="9" t="str">
        <f aca="false">IF(担当者マスタ!A39="","",担当者マスタ!C39)</f>
        <v/>
      </c>
      <c r="D39" s="22" t="str">
        <f aca="false">IF($A39="","",COUNTIF(全体!$C$2:$C$908,$A39))</f>
        <v/>
      </c>
      <c r="E39" s="11" t="str">
        <f aca="false">IF($A39="","",SUMIFS(全体!$M$2:$M$908,全体!$C$2:$C$908,$A39))</f>
        <v/>
      </c>
      <c r="F39" s="11" t="str">
        <f aca="false">IF($A39="","",SUMIFS(全体!$T$2:$T$908,全体!$C$2:$C$908,$A39))</f>
        <v/>
      </c>
      <c r="G39" s="11" t="str">
        <f aca="false">IF($A39="","",SUMIFS(全体!$AA$2:$AA$908,全体!$C$2:$C$908,$A39))</f>
        <v/>
      </c>
      <c r="H39" s="11" t="str">
        <f aca="false">IF($A39="","",SUMIFS(全体!$AH$2:$AH$908,全体!$C$2:$C$908,$A39))</f>
        <v/>
      </c>
      <c r="I39" s="22" t="str">
        <f aca="false">IF($A39="","",COUNTIF(全体!$E$2:$E$908,$A39))</f>
        <v/>
      </c>
      <c r="J39" s="11" t="str">
        <f aca="false">IF($A39="","",SUMIFS(全体!$M$2:$M$908,全体!$E$2:$E$908,$A39))</f>
        <v/>
      </c>
      <c r="K39" s="11" t="str">
        <f aca="false">IF($A39="","",SUMIFS(全体!$T$2:$T$908,全体!$E$2:$E$908,$A39))</f>
        <v/>
      </c>
      <c r="L39" s="11" t="str">
        <f aca="false">IF($A39="","",SUMIFS(全体!$AA$2:$AA$908,全体!$E$2:$E$908,$A39))</f>
        <v/>
      </c>
      <c r="M39" s="11" t="str">
        <f aca="false">IF($A39="","",SUMIFS(全体!$AH$2:$AH$908,全体!$E$2:$E$908,$A39))</f>
        <v/>
      </c>
    </row>
    <row r="40" customFormat="false" ht="15" hidden="false" customHeight="false" outlineLevel="0" collapsed="false">
      <c r="A40" s="8" t="str">
        <f aca="false">IF(担当者マスタ!A40="","",担当者マスタ!A40)</f>
        <v/>
      </c>
      <c r="B40" s="9" t="str">
        <f aca="false">IF(担当者マスタ!A40="","",担当者マスタ!B40)</f>
        <v/>
      </c>
      <c r="C40" s="9" t="str">
        <f aca="false">IF(担当者マスタ!A40="","",担当者マスタ!C40)</f>
        <v/>
      </c>
      <c r="D40" s="22" t="str">
        <f aca="false">IF($A40="","",COUNTIF(全体!$C$2:$C$908,$A40))</f>
        <v/>
      </c>
      <c r="E40" s="11" t="str">
        <f aca="false">IF($A40="","",SUMIFS(全体!$M$2:$M$908,全体!$C$2:$C$908,$A40))</f>
        <v/>
      </c>
      <c r="F40" s="11" t="str">
        <f aca="false">IF($A40="","",SUMIFS(全体!$T$2:$T$908,全体!$C$2:$C$908,$A40))</f>
        <v/>
      </c>
      <c r="G40" s="11" t="str">
        <f aca="false">IF($A40="","",SUMIFS(全体!$AA$2:$AA$908,全体!$C$2:$C$908,$A40))</f>
        <v/>
      </c>
      <c r="H40" s="11" t="str">
        <f aca="false">IF($A40="","",SUMIFS(全体!$AH$2:$AH$908,全体!$C$2:$C$908,$A40))</f>
        <v/>
      </c>
      <c r="I40" s="22" t="str">
        <f aca="false">IF($A40="","",COUNTIF(全体!$E$2:$E$908,$A40))</f>
        <v/>
      </c>
      <c r="J40" s="11" t="str">
        <f aca="false">IF($A40="","",SUMIFS(全体!$M$2:$M$908,全体!$E$2:$E$908,$A40))</f>
        <v/>
      </c>
      <c r="K40" s="11" t="str">
        <f aca="false">IF($A40="","",SUMIFS(全体!$T$2:$T$908,全体!$E$2:$E$908,$A40))</f>
        <v/>
      </c>
      <c r="L40" s="11" t="str">
        <f aca="false">IF($A40="","",SUMIFS(全体!$AA$2:$AA$908,全体!$E$2:$E$908,$A40))</f>
        <v/>
      </c>
      <c r="M40" s="11" t="str">
        <f aca="false">IF($A40="","",SUMIFS(全体!$AH$2:$AH$908,全体!$E$2:$E$908,$A40))</f>
        <v/>
      </c>
    </row>
    <row r="41" customFormat="false" ht="15" hidden="false" customHeight="false" outlineLevel="0" collapsed="false">
      <c r="A41" s="8" t="str">
        <f aca="false">IF(担当者マスタ!A41="","",担当者マスタ!A41)</f>
        <v/>
      </c>
      <c r="B41" s="9" t="str">
        <f aca="false">IF(担当者マスタ!A41="","",担当者マスタ!B41)</f>
        <v/>
      </c>
      <c r="C41" s="9" t="str">
        <f aca="false">IF(担当者マスタ!A41="","",担当者マスタ!C41)</f>
        <v/>
      </c>
      <c r="D41" s="22" t="str">
        <f aca="false">IF($A41="","",COUNTIF(全体!$C$2:$C$908,$A41))</f>
        <v/>
      </c>
      <c r="E41" s="11" t="str">
        <f aca="false">IF($A41="","",SUMIFS(全体!$M$2:$M$908,全体!$C$2:$C$908,$A41))</f>
        <v/>
      </c>
      <c r="F41" s="11" t="str">
        <f aca="false">IF($A41="","",SUMIFS(全体!$T$2:$T$908,全体!$C$2:$C$908,$A41))</f>
        <v/>
      </c>
      <c r="G41" s="11" t="str">
        <f aca="false">IF($A41="","",SUMIFS(全体!$AA$2:$AA$908,全体!$C$2:$C$908,$A41))</f>
        <v/>
      </c>
      <c r="H41" s="11" t="str">
        <f aca="false">IF($A41="","",SUMIFS(全体!$AH$2:$AH$908,全体!$C$2:$C$908,$A41))</f>
        <v/>
      </c>
      <c r="I41" s="22" t="str">
        <f aca="false">IF($A41="","",COUNTIF(全体!$E$2:$E$908,$A41))</f>
        <v/>
      </c>
      <c r="J41" s="11" t="str">
        <f aca="false">IF($A41="","",SUMIFS(全体!$M$2:$M$908,全体!$E$2:$E$908,$A41))</f>
        <v/>
      </c>
      <c r="K41" s="11" t="str">
        <f aca="false">IF($A41="","",SUMIFS(全体!$T$2:$T$908,全体!$E$2:$E$908,$A41))</f>
        <v/>
      </c>
      <c r="L41" s="11" t="str">
        <f aca="false">IF($A41="","",SUMIFS(全体!$AA$2:$AA$908,全体!$E$2:$E$908,$A41))</f>
        <v/>
      </c>
      <c r="M41" s="11" t="str">
        <f aca="false">IF($A41="","",SUMIFS(全体!$AH$2:$AH$908,全体!$E$2:$E$908,$A41))</f>
        <v/>
      </c>
    </row>
    <row r="42" customFormat="false" ht="15" hidden="false" customHeight="false" outlineLevel="0" collapsed="false">
      <c r="A42" s="8" t="str">
        <f aca="false">IF(担当者マスタ!A42="","",担当者マスタ!A42)</f>
        <v/>
      </c>
      <c r="B42" s="9" t="str">
        <f aca="false">IF(担当者マスタ!A42="","",担当者マスタ!B42)</f>
        <v/>
      </c>
      <c r="C42" s="9" t="str">
        <f aca="false">IF(担当者マスタ!A42="","",担当者マスタ!C42)</f>
        <v/>
      </c>
      <c r="D42" s="22" t="str">
        <f aca="false">IF($A42="","",COUNTIF(全体!$C$2:$C$908,$A42))</f>
        <v/>
      </c>
      <c r="E42" s="11" t="str">
        <f aca="false">IF($A42="","",SUMIFS(全体!$M$2:$M$908,全体!$C$2:$C$908,$A42))</f>
        <v/>
      </c>
      <c r="F42" s="11" t="str">
        <f aca="false">IF($A42="","",SUMIFS(全体!$T$2:$T$908,全体!$C$2:$C$908,$A42))</f>
        <v/>
      </c>
      <c r="G42" s="11" t="str">
        <f aca="false">IF($A42="","",SUMIFS(全体!$AA$2:$AA$908,全体!$C$2:$C$908,$A42))</f>
        <v/>
      </c>
      <c r="H42" s="11" t="str">
        <f aca="false">IF($A42="","",SUMIFS(全体!$AH$2:$AH$908,全体!$C$2:$C$908,$A42))</f>
        <v/>
      </c>
      <c r="I42" s="22" t="str">
        <f aca="false">IF($A42="","",COUNTIF(全体!$E$2:$E$908,$A42))</f>
        <v/>
      </c>
      <c r="J42" s="11" t="str">
        <f aca="false">IF($A42="","",SUMIFS(全体!$M$2:$M$908,全体!$E$2:$E$908,$A42))</f>
        <v/>
      </c>
      <c r="K42" s="11" t="str">
        <f aca="false">IF($A42="","",SUMIFS(全体!$T$2:$T$908,全体!$E$2:$E$908,$A42))</f>
        <v/>
      </c>
      <c r="L42" s="11" t="str">
        <f aca="false">IF($A42="","",SUMIFS(全体!$AA$2:$AA$908,全体!$E$2:$E$908,$A42))</f>
        <v/>
      </c>
      <c r="M42" s="11" t="str">
        <f aca="false">IF($A42="","",SUMIFS(全体!$AH$2:$AH$908,全体!$E$2:$E$908,$A42))</f>
        <v/>
      </c>
    </row>
    <row r="43" customFormat="false" ht="15" hidden="false" customHeight="false" outlineLevel="0" collapsed="false">
      <c r="A43" s="8" t="str">
        <f aca="false">IF(担当者マスタ!A43="","",担当者マスタ!A43)</f>
        <v/>
      </c>
      <c r="B43" s="9" t="str">
        <f aca="false">IF(担当者マスタ!A43="","",担当者マスタ!B43)</f>
        <v/>
      </c>
      <c r="C43" s="9" t="str">
        <f aca="false">IF(担当者マスタ!A43="","",担当者マスタ!C43)</f>
        <v/>
      </c>
      <c r="D43" s="22" t="str">
        <f aca="false">IF($A43="","",COUNTIF(全体!$C$2:$C$908,$A43))</f>
        <v/>
      </c>
      <c r="E43" s="11" t="str">
        <f aca="false">IF($A43="","",SUMIFS(全体!$M$2:$M$908,全体!$C$2:$C$908,$A43))</f>
        <v/>
      </c>
      <c r="F43" s="11" t="str">
        <f aca="false">IF($A43="","",SUMIFS(全体!$T$2:$T$908,全体!$C$2:$C$908,$A43))</f>
        <v/>
      </c>
      <c r="G43" s="11" t="str">
        <f aca="false">IF($A43="","",SUMIFS(全体!$AA$2:$AA$908,全体!$C$2:$C$908,$A43))</f>
        <v/>
      </c>
      <c r="H43" s="11" t="str">
        <f aca="false">IF($A43="","",SUMIFS(全体!$AH$2:$AH$908,全体!$C$2:$C$908,$A43))</f>
        <v/>
      </c>
      <c r="I43" s="22" t="str">
        <f aca="false">IF($A43="","",COUNTIF(全体!$E$2:$E$908,$A43))</f>
        <v/>
      </c>
      <c r="J43" s="11" t="str">
        <f aca="false">IF($A43="","",SUMIFS(全体!$M$2:$M$908,全体!$E$2:$E$908,$A43))</f>
        <v/>
      </c>
      <c r="K43" s="11" t="str">
        <f aca="false">IF($A43="","",SUMIFS(全体!$T$2:$T$908,全体!$E$2:$E$908,$A43))</f>
        <v/>
      </c>
      <c r="L43" s="11" t="str">
        <f aca="false">IF($A43="","",SUMIFS(全体!$AA$2:$AA$908,全体!$E$2:$E$908,$A43))</f>
        <v/>
      </c>
      <c r="M43" s="11" t="str">
        <f aca="false">IF($A43="","",SUMIFS(全体!$AH$2:$AH$908,全体!$E$2:$E$908,$A43))</f>
        <v/>
      </c>
    </row>
    <row r="44" customFormat="false" ht="15" hidden="false" customHeight="false" outlineLevel="0" collapsed="false">
      <c r="A44" s="8" t="str">
        <f aca="false">IF(担当者マスタ!A44="","",担当者マスタ!A44)</f>
        <v/>
      </c>
      <c r="B44" s="9" t="str">
        <f aca="false">IF(担当者マスタ!A44="","",担当者マスタ!B44)</f>
        <v/>
      </c>
      <c r="C44" s="9" t="str">
        <f aca="false">IF(担当者マスタ!A44="","",担当者マスタ!C44)</f>
        <v/>
      </c>
      <c r="D44" s="22" t="str">
        <f aca="false">IF($A44="","",COUNTIF(全体!$C$2:$C$908,$A44))</f>
        <v/>
      </c>
      <c r="E44" s="11" t="str">
        <f aca="false">IF($A44="","",SUMIFS(全体!$M$2:$M$908,全体!$C$2:$C$908,$A44))</f>
        <v/>
      </c>
      <c r="F44" s="11" t="str">
        <f aca="false">IF($A44="","",SUMIFS(全体!$T$2:$T$908,全体!$C$2:$C$908,$A44))</f>
        <v/>
      </c>
      <c r="G44" s="11" t="str">
        <f aca="false">IF($A44="","",SUMIFS(全体!$AA$2:$AA$908,全体!$C$2:$C$908,$A44))</f>
        <v/>
      </c>
      <c r="H44" s="11" t="str">
        <f aca="false">IF($A44="","",SUMIFS(全体!$AH$2:$AH$908,全体!$C$2:$C$908,$A44))</f>
        <v/>
      </c>
      <c r="I44" s="22" t="str">
        <f aca="false">IF($A44="","",COUNTIF(全体!$E$2:$E$908,$A44))</f>
        <v/>
      </c>
      <c r="J44" s="11" t="str">
        <f aca="false">IF($A44="","",SUMIFS(全体!$M$2:$M$908,全体!$E$2:$E$908,$A44))</f>
        <v/>
      </c>
      <c r="K44" s="11" t="str">
        <f aca="false">IF($A44="","",SUMIFS(全体!$T$2:$T$908,全体!$E$2:$E$908,$A44))</f>
        <v/>
      </c>
      <c r="L44" s="11" t="str">
        <f aca="false">IF($A44="","",SUMIFS(全体!$AA$2:$AA$908,全体!$E$2:$E$908,$A44))</f>
        <v/>
      </c>
      <c r="M44" s="11" t="str">
        <f aca="false">IF($A44="","",SUMIFS(全体!$AH$2:$AH$908,全体!$E$2:$E$908,$A44))</f>
        <v/>
      </c>
    </row>
    <row r="45" customFormat="false" ht="15" hidden="false" customHeight="false" outlineLevel="0" collapsed="false">
      <c r="A45" s="8" t="str">
        <f aca="false">IF(担当者マスタ!A45="","",担当者マスタ!A45)</f>
        <v/>
      </c>
      <c r="B45" s="9" t="str">
        <f aca="false">IF(担当者マスタ!A45="","",担当者マスタ!B45)</f>
        <v/>
      </c>
      <c r="C45" s="9" t="str">
        <f aca="false">IF(担当者マスタ!A45="","",担当者マスタ!C45)</f>
        <v/>
      </c>
      <c r="D45" s="22" t="str">
        <f aca="false">IF($A45="","",COUNTIF(全体!$C$2:$C$908,$A45))</f>
        <v/>
      </c>
      <c r="E45" s="11" t="str">
        <f aca="false">IF($A45="","",SUMIFS(全体!$M$2:$M$908,全体!$C$2:$C$908,$A45))</f>
        <v/>
      </c>
      <c r="F45" s="11" t="str">
        <f aca="false">IF($A45="","",SUMIFS(全体!$T$2:$T$908,全体!$C$2:$C$908,$A45))</f>
        <v/>
      </c>
      <c r="G45" s="11" t="str">
        <f aca="false">IF($A45="","",SUMIFS(全体!$AA$2:$AA$908,全体!$C$2:$C$908,$A45))</f>
        <v/>
      </c>
      <c r="H45" s="11" t="str">
        <f aca="false">IF($A45="","",SUMIFS(全体!$AH$2:$AH$908,全体!$C$2:$C$908,$A45))</f>
        <v/>
      </c>
      <c r="I45" s="22" t="str">
        <f aca="false">IF($A45="","",COUNTIF(全体!$E$2:$E$908,$A45))</f>
        <v/>
      </c>
      <c r="J45" s="11" t="str">
        <f aca="false">IF($A45="","",SUMIFS(全体!$M$2:$M$908,全体!$E$2:$E$908,$A45))</f>
        <v/>
      </c>
      <c r="K45" s="11" t="str">
        <f aca="false">IF($A45="","",SUMIFS(全体!$T$2:$T$908,全体!$E$2:$E$908,$A45))</f>
        <v/>
      </c>
      <c r="L45" s="11" t="str">
        <f aca="false">IF($A45="","",SUMIFS(全体!$AA$2:$AA$908,全体!$E$2:$E$908,$A45))</f>
        <v/>
      </c>
      <c r="M45" s="11" t="str">
        <f aca="false">IF($A45="","",SUMIFS(全体!$AH$2:$AH$908,全体!$E$2:$E$908,$A45))</f>
        <v/>
      </c>
    </row>
    <row r="46" customFormat="false" ht="15" hidden="false" customHeight="false" outlineLevel="0" collapsed="false">
      <c r="A46" s="8" t="str">
        <f aca="false">IF(担当者マスタ!A46="","",担当者マスタ!A46)</f>
        <v/>
      </c>
      <c r="B46" s="9" t="str">
        <f aca="false">IF(担当者マスタ!A46="","",担当者マスタ!B46)</f>
        <v/>
      </c>
      <c r="C46" s="9" t="str">
        <f aca="false">IF(担当者マスタ!A46="","",担当者マスタ!C46)</f>
        <v/>
      </c>
      <c r="D46" s="22" t="str">
        <f aca="false">IF($A46="","",COUNTIF(全体!$C$2:$C$908,$A46))</f>
        <v/>
      </c>
      <c r="E46" s="11" t="str">
        <f aca="false">IF($A46="","",SUMIFS(全体!$M$2:$M$908,全体!$C$2:$C$908,$A46))</f>
        <v/>
      </c>
      <c r="F46" s="11" t="str">
        <f aca="false">IF($A46="","",SUMIFS(全体!$T$2:$T$908,全体!$C$2:$C$908,$A46))</f>
        <v/>
      </c>
      <c r="G46" s="11" t="str">
        <f aca="false">IF($A46="","",SUMIFS(全体!$AA$2:$AA$908,全体!$C$2:$C$908,$A46))</f>
        <v/>
      </c>
      <c r="H46" s="11" t="str">
        <f aca="false">IF($A46="","",SUMIFS(全体!$AH$2:$AH$908,全体!$C$2:$C$908,$A46))</f>
        <v/>
      </c>
      <c r="I46" s="22" t="str">
        <f aca="false">IF($A46="","",COUNTIF(全体!$E$2:$E$908,$A46))</f>
        <v/>
      </c>
      <c r="J46" s="11" t="str">
        <f aca="false">IF($A46="","",SUMIFS(全体!$M$2:$M$908,全体!$E$2:$E$908,$A46))</f>
        <v/>
      </c>
      <c r="K46" s="11" t="str">
        <f aca="false">IF($A46="","",SUMIFS(全体!$T$2:$T$908,全体!$E$2:$E$908,$A46))</f>
        <v/>
      </c>
      <c r="L46" s="11" t="str">
        <f aca="false">IF($A46="","",SUMIFS(全体!$AA$2:$AA$908,全体!$E$2:$E$908,$A46))</f>
        <v/>
      </c>
      <c r="M46" s="11" t="str">
        <f aca="false">IF($A46="","",SUMIFS(全体!$AH$2:$AH$908,全体!$E$2:$E$908,$A46))</f>
        <v/>
      </c>
    </row>
    <row r="47" customFormat="false" ht="15" hidden="false" customHeight="false" outlineLevel="0" collapsed="false">
      <c r="A47" s="8" t="str">
        <f aca="false">IF(担当者マスタ!A47="","",担当者マスタ!A47)</f>
        <v/>
      </c>
      <c r="B47" s="9" t="str">
        <f aca="false">IF(担当者マスタ!A47="","",担当者マスタ!B47)</f>
        <v/>
      </c>
      <c r="C47" s="9" t="str">
        <f aca="false">IF(担当者マスタ!A47="","",担当者マスタ!C47)</f>
        <v/>
      </c>
      <c r="D47" s="22" t="str">
        <f aca="false">IF($A47="","",COUNTIF(全体!$C$2:$C$908,$A47))</f>
        <v/>
      </c>
      <c r="E47" s="11" t="str">
        <f aca="false">IF($A47="","",SUMIFS(全体!$M$2:$M$908,全体!$C$2:$C$908,$A47))</f>
        <v/>
      </c>
      <c r="F47" s="11" t="str">
        <f aca="false">IF($A47="","",SUMIFS(全体!$T$2:$T$908,全体!$C$2:$C$908,$A47))</f>
        <v/>
      </c>
      <c r="G47" s="11" t="str">
        <f aca="false">IF($A47="","",SUMIFS(全体!$AA$2:$AA$908,全体!$C$2:$C$908,$A47))</f>
        <v/>
      </c>
      <c r="H47" s="11" t="str">
        <f aca="false">IF($A47="","",SUMIFS(全体!$AH$2:$AH$908,全体!$C$2:$C$908,$A47))</f>
        <v/>
      </c>
      <c r="I47" s="22" t="str">
        <f aca="false">IF($A47="","",COUNTIF(全体!$E$2:$E$908,$A47))</f>
        <v/>
      </c>
      <c r="J47" s="11" t="str">
        <f aca="false">IF($A47="","",SUMIFS(全体!$M$2:$M$908,全体!$E$2:$E$908,$A47))</f>
        <v/>
      </c>
      <c r="K47" s="11" t="str">
        <f aca="false">IF($A47="","",SUMIFS(全体!$T$2:$T$908,全体!$E$2:$E$908,$A47))</f>
        <v/>
      </c>
      <c r="L47" s="11" t="str">
        <f aca="false">IF($A47="","",SUMIFS(全体!$AA$2:$AA$908,全体!$E$2:$E$908,$A47))</f>
        <v/>
      </c>
      <c r="M47" s="11" t="str">
        <f aca="false">IF($A47="","",SUMIFS(全体!$AH$2:$AH$908,全体!$E$2:$E$908,$A47))</f>
        <v/>
      </c>
    </row>
    <row r="48" customFormat="false" ht="15" hidden="false" customHeight="false" outlineLevel="0" collapsed="false">
      <c r="A48" s="8" t="str">
        <f aca="false">IF(担当者マスタ!A48="","",担当者マスタ!A48)</f>
        <v/>
      </c>
      <c r="B48" s="9" t="str">
        <f aca="false">IF(担当者マスタ!A48="","",担当者マスタ!B48)</f>
        <v/>
      </c>
      <c r="C48" s="9" t="str">
        <f aca="false">IF(担当者マスタ!A48="","",担当者マスタ!C48)</f>
        <v/>
      </c>
      <c r="D48" s="22" t="str">
        <f aca="false">IF($A48="","",COUNTIF(全体!$C$2:$C$908,$A48))</f>
        <v/>
      </c>
      <c r="E48" s="11" t="str">
        <f aca="false">IF($A48="","",SUMIFS(全体!$M$2:$M$908,全体!$C$2:$C$908,$A48))</f>
        <v/>
      </c>
      <c r="F48" s="11" t="str">
        <f aca="false">IF($A48="","",SUMIFS(全体!$T$2:$T$908,全体!$C$2:$C$908,$A48))</f>
        <v/>
      </c>
      <c r="G48" s="11" t="str">
        <f aca="false">IF($A48="","",SUMIFS(全体!$AA$2:$AA$908,全体!$C$2:$C$908,$A48))</f>
        <v/>
      </c>
      <c r="H48" s="11" t="str">
        <f aca="false">IF($A48="","",SUMIFS(全体!$AH$2:$AH$908,全体!$C$2:$C$908,$A48))</f>
        <v/>
      </c>
      <c r="I48" s="22" t="str">
        <f aca="false">IF($A48="","",COUNTIF(全体!$E$2:$E$908,$A48))</f>
        <v/>
      </c>
      <c r="J48" s="11" t="str">
        <f aca="false">IF($A48="","",SUMIFS(全体!$M$2:$M$908,全体!$E$2:$E$908,$A48))</f>
        <v/>
      </c>
      <c r="K48" s="11" t="str">
        <f aca="false">IF($A48="","",SUMIFS(全体!$T$2:$T$908,全体!$E$2:$E$908,$A48))</f>
        <v/>
      </c>
      <c r="L48" s="11" t="str">
        <f aca="false">IF($A48="","",SUMIFS(全体!$AA$2:$AA$908,全体!$E$2:$E$908,$A48))</f>
        <v/>
      </c>
      <c r="M48" s="11" t="str">
        <f aca="false">IF($A48="","",SUMIFS(全体!$AH$2:$AH$908,全体!$E$2:$E$908,$A48))</f>
        <v/>
      </c>
    </row>
    <row r="49" customFormat="false" ht="15" hidden="false" customHeight="false" outlineLevel="0" collapsed="false">
      <c r="A49" s="8" t="str">
        <f aca="false">IF(担当者マスタ!A49="","",担当者マスタ!A49)</f>
        <v/>
      </c>
      <c r="B49" s="9" t="str">
        <f aca="false">IF(担当者マスタ!A49="","",担当者マスタ!B49)</f>
        <v/>
      </c>
      <c r="C49" s="9" t="str">
        <f aca="false">IF(担当者マスタ!A49="","",担当者マスタ!C49)</f>
        <v/>
      </c>
      <c r="D49" s="22" t="str">
        <f aca="false">IF($A49="","",COUNTIF(全体!$C$2:$C$908,$A49))</f>
        <v/>
      </c>
      <c r="E49" s="11" t="str">
        <f aca="false">IF($A49="","",SUMIFS(全体!$M$2:$M$908,全体!$C$2:$C$908,$A49))</f>
        <v/>
      </c>
      <c r="F49" s="11" t="str">
        <f aca="false">IF($A49="","",SUMIFS(全体!$T$2:$T$908,全体!$C$2:$C$908,$A49))</f>
        <v/>
      </c>
      <c r="G49" s="11" t="str">
        <f aca="false">IF($A49="","",SUMIFS(全体!$AA$2:$AA$908,全体!$C$2:$C$908,$A49))</f>
        <v/>
      </c>
      <c r="H49" s="11" t="str">
        <f aca="false">IF($A49="","",SUMIFS(全体!$AH$2:$AH$908,全体!$C$2:$C$908,$A49))</f>
        <v/>
      </c>
      <c r="I49" s="22" t="str">
        <f aca="false">IF($A49="","",COUNTIF(全体!$E$2:$E$908,$A49))</f>
        <v/>
      </c>
      <c r="J49" s="11" t="str">
        <f aca="false">IF($A49="","",SUMIFS(全体!$M$2:$M$908,全体!$E$2:$E$908,$A49))</f>
        <v/>
      </c>
      <c r="K49" s="11" t="str">
        <f aca="false">IF($A49="","",SUMIFS(全体!$T$2:$T$908,全体!$E$2:$E$908,$A49))</f>
        <v/>
      </c>
      <c r="L49" s="11" t="str">
        <f aca="false">IF($A49="","",SUMIFS(全体!$AA$2:$AA$908,全体!$E$2:$E$908,$A49))</f>
        <v/>
      </c>
      <c r="M49" s="11" t="str">
        <f aca="false">IF($A49="","",SUMIFS(全体!$AH$2:$AH$908,全体!$E$2:$E$908,$A49))</f>
        <v/>
      </c>
    </row>
    <row r="50" customFormat="false" ht="15" hidden="false" customHeight="false" outlineLevel="0" collapsed="false">
      <c r="A50" s="8" t="str">
        <f aca="false">IF(担当者マスタ!A50="","",担当者マスタ!A50)</f>
        <v/>
      </c>
      <c r="B50" s="9" t="str">
        <f aca="false">IF(担当者マスタ!A50="","",担当者マスタ!B50)</f>
        <v/>
      </c>
      <c r="C50" s="9" t="str">
        <f aca="false">IF(担当者マスタ!A50="","",担当者マスタ!C50)</f>
        <v/>
      </c>
      <c r="D50" s="22" t="str">
        <f aca="false">IF($A50="","",COUNTIF(全体!$C$2:$C$908,$A50))</f>
        <v/>
      </c>
      <c r="E50" s="11" t="str">
        <f aca="false">IF($A50="","",SUMIFS(全体!$M$2:$M$908,全体!$C$2:$C$908,$A50))</f>
        <v/>
      </c>
      <c r="F50" s="11" t="str">
        <f aca="false">IF($A50="","",SUMIFS(全体!$T$2:$T$908,全体!$C$2:$C$908,$A50))</f>
        <v/>
      </c>
      <c r="G50" s="11" t="str">
        <f aca="false">IF($A50="","",SUMIFS(全体!$AA$2:$AA$908,全体!$C$2:$C$908,$A50))</f>
        <v/>
      </c>
      <c r="H50" s="11" t="str">
        <f aca="false">IF($A50="","",SUMIFS(全体!$AH$2:$AH$908,全体!$C$2:$C$908,$A50))</f>
        <v/>
      </c>
      <c r="I50" s="22" t="str">
        <f aca="false">IF($A50="","",COUNTIF(全体!$E$2:$E$908,$A50))</f>
        <v/>
      </c>
      <c r="J50" s="11" t="str">
        <f aca="false">IF($A50="","",SUMIFS(全体!$M$2:$M$908,全体!$E$2:$E$908,$A50))</f>
        <v/>
      </c>
      <c r="K50" s="11" t="str">
        <f aca="false">IF($A50="","",SUMIFS(全体!$T$2:$T$908,全体!$E$2:$E$908,$A50))</f>
        <v/>
      </c>
      <c r="L50" s="11" t="str">
        <f aca="false">IF($A50="","",SUMIFS(全体!$AA$2:$AA$908,全体!$E$2:$E$908,$A50))</f>
        <v/>
      </c>
      <c r="M50" s="11" t="str">
        <f aca="false">IF($A50="","",SUMIFS(全体!$AH$2:$AH$908,全体!$E$2:$E$908,$A50))</f>
        <v/>
      </c>
    </row>
    <row r="51" customFormat="false" ht="15" hidden="false" customHeight="false" outlineLevel="0" collapsed="false">
      <c r="A51" s="8" t="str">
        <f aca="false">IF(担当者マスタ!A51="","",担当者マスタ!A51)</f>
        <v/>
      </c>
      <c r="B51" s="9" t="str">
        <f aca="false">IF(担当者マスタ!A51="","",担当者マスタ!B51)</f>
        <v/>
      </c>
      <c r="C51" s="9" t="str">
        <f aca="false">IF(担当者マスタ!A51="","",担当者マスタ!C51)</f>
        <v/>
      </c>
      <c r="D51" s="22" t="str">
        <f aca="false">IF($A51="","",COUNTIF(全体!$C$2:$C$908,$A51))</f>
        <v/>
      </c>
      <c r="E51" s="11" t="str">
        <f aca="false">IF($A51="","",SUMIFS(全体!$M$2:$M$908,全体!$C$2:$C$908,$A51))</f>
        <v/>
      </c>
      <c r="F51" s="11" t="str">
        <f aca="false">IF($A51="","",SUMIFS(全体!$T$2:$T$908,全体!$C$2:$C$908,$A51))</f>
        <v/>
      </c>
      <c r="G51" s="11" t="str">
        <f aca="false">IF($A51="","",SUMIFS(全体!$AA$2:$AA$908,全体!$C$2:$C$908,$A51))</f>
        <v/>
      </c>
      <c r="H51" s="11" t="str">
        <f aca="false">IF($A51="","",SUMIFS(全体!$AH$2:$AH$908,全体!$C$2:$C$908,$A51))</f>
        <v/>
      </c>
      <c r="I51" s="22" t="str">
        <f aca="false">IF($A51="","",COUNTIF(全体!$E$2:$E$908,$A51))</f>
        <v/>
      </c>
      <c r="J51" s="11" t="str">
        <f aca="false">IF($A51="","",SUMIFS(全体!$M$2:$M$908,全体!$E$2:$E$908,$A51))</f>
        <v/>
      </c>
      <c r="K51" s="11" t="str">
        <f aca="false">IF($A51="","",SUMIFS(全体!$T$2:$T$908,全体!$E$2:$E$908,$A51))</f>
        <v/>
      </c>
      <c r="L51" s="11" t="str">
        <f aca="false">IF($A51="","",SUMIFS(全体!$AA$2:$AA$908,全体!$E$2:$E$908,$A51))</f>
        <v/>
      </c>
      <c r="M51" s="11" t="str">
        <f aca="false">IF($A51="","",SUMIFS(全体!$AH$2:$AH$908,全体!$E$2:$E$908,$A51))</f>
        <v/>
      </c>
    </row>
    <row r="52" customFormat="false" ht="15" hidden="false" customHeight="false" outlineLevel="0" collapsed="false">
      <c r="A52" s="8" t="str">
        <f aca="false">IF(担当者マスタ!A52="","",担当者マスタ!A52)</f>
        <v/>
      </c>
      <c r="B52" s="9" t="str">
        <f aca="false">IF(担当者マスタ!A52="","",担当者マスタ!B52)</f>
        <v/>
      </c>
      <c r="C52" s="9" t="str">
        <f aca="false">IF(担当者マスタ!A52="","",担当者マスタ!C52)</f>
        <v/>
      </c>
      <c r="D52" s="22" t="str">
        <f aca="false">IF($A52="","",COUNTIF(全体!$C$2:$C$908,$A52))</f>
        <v/>
      </c>
      <c r="E52" s="11" t="str">
        <f aca="false">IF($A52="","",SUMIFS(全体!$M$2:$M$908,全体!$C$2:$C$908,$A52))</f>
        <v/>
      </c>
      <c r="F52" s="11" t="str">
        <f aca="false">IF($A52="","",SUMIFS(全体!$T$2:$T$908,全体!$C$2:$C$908,$A52))</f>
        <v/>
      </c>
      <c r="G52" s="11" t="str">
        <f aca="false">IF($A52="","",SUMIFS(全体!$AA$2:$AA$908,全体!$C$2:$C$908,$A52))</f>
        <v/>
      </c>
      <c r="H52" s="11" t="str">
        <f aca="false">IF($A52="","",SUMIFS(全体!$AH$2:$AH$908,全体!$C$2:$C$908,$A52))</f>
        <v/>
      </c>
      <c r="I52" s="22" t="str">
        <f aca="false">IF($A52="","",COUNTIF(全体!$E$2:$E$908,$A52))</f>
        <v/>
      </c>
      <c r="J52" s="11" t="str">
        <f aca="false">IF($A52="","",SUMIFS(全体!$M$2:$M$908,全体!$E$2:$E$908,$A52))</f>
        <v/>
      </c>
      <c r="K52" s="11" t="str">
        <f aca="false">IF($A52="","",SUMIFS(全体!$T$2:$T$908,全体!$E$2:$E$908,$A52))</f>
        <v/>
      </c>
      <c r="L52" s="11" t="str">
        <f aca="false">IF($A52="","",SUMIFS(全体!$AA$2:$AA$908,全体!$E$2:$E$908,$A52))</f>
        <v/>
      </c>
      <c r="M52" s="11" t="str">
        <f aca="false">IF($A52="","",SUMIFS(全体!$AH$2:$AH$908,全体!$E$2:$E$908,$A52))</f>
        <v/>
      </c>
    </row>
    <row r="53" customFormat="false" ht="15" hidden="false" customHeight="false" outlineLevel="0" collapsed="false">
      <c r="A53" s="8" t="str">
        <f aca="false">IF(担当者マスタ!A53="","",担当者マスタ!A53)</f>
        <v/>
      </c>
      <c r="B53" s="9" t="str">
        <f aca="false">IF(担当者マスタ!A53="","",担当者マスタ!B53)</f>
        <v/>
      </c>
      <c r="C53" s="9" t="str">
        <f aca="false">IF(担当者マスタ!A53="","",担当者マスタ!C53)</f>
        <v/>
      </c>
      <c r="D53" s="22" t="str">
        <f aca="false">IF($A53="","",COUNTIF(全体!$C$2:$C$908,$A53))</f>
        <v/>
      </c>
      <c r="E53" s="11" t="str">
        <f aca="false">IF($A53="","",SUMIFS(全体!$M$2:$M$908,全体!$C$2:$C$908,$A53))</f>
        <v/>
      </c>
      <c r="F53" s="11" t="str">
        <f aca="false">IF($A53="","",SUMIFS(全体!$T$2:$T$908,全体!$C$2:$C$908,$A53))</f>
        <v/>
      </c>
      <c r="G53" s="11" t="str">
        <f aca="false">IF($A53="","",SUMIFS(全体!$AA$2:$AA$908,全体!$C$2:$C$908,$A53))</f>
        <v/>
      </c>
      <c r="H53" s="11" t="str">
        <f aca="false">IF($A53="","",SUMIFS(全体!$AH$2:$AH$908,全体!$C$2:$C$908,$A53))</f>
        <v/>
      </c>
      <c r="I53" s="22" t="str">
        <f aca="false">IF($A53="","",COUNTIF(全体!$E$2:$E$908,$A53))</f>
        <v/>
      </c>
      <c r="J53" s="11" t="str">
        <f aca="false">IF($A53="","",SUMIFS(全体!$M$2:$M$908,全体!$E$2:$E$908,$A53))</f>
        <v/>
      </c>
      <c r="K53" s="11" t="str">
        <f aca="false">IF($A53="","",SUMIFS(全体!$T$2:$T$908,全体!$E$2:$E$908,$A53))</f>
        <v/>
      </c>
      <c r="L53" s="11" t="str">
        <f aca="false">IF($A53="","",SUMIFS(全体!$AA$2:$AA$908,全体!$E$2:$E$908,$A53))</f>
        <v/>
      </c>
      <c r="M53" s="11" t="str">
        <f aca="false">IF($A53="","",SUMIFS(全体!$AH$2:$AH$908,全体!$E$2:$E$908,$A53))</f>
        <v/>
      </c>
    </row>
    <row r="54" customFormat="false" ht="15" hidden="false" customHeight="false" outlineLevel="0" collapsed="false">
      <c r="A54" s="8" t="str">
        <f aca="false">IF(担当者マスタ!A54="","",担当者マスタ!A54)</f>
        <v/>
      </c>
      <c r="B54" s="9" t="str">
        <f aca="false">IF(担当者マスタ!A54="","",担当者マスタ!B54)</f>
        <v/>
      </c>
      <c r="C54" s="9" t="str">
        <f aca="false">IF(担当者マスタ!A54="","",担当者マスタ!C54)</f>
        <v/>
      </c>
      <c r="D54" s="22" t="str">
        <f aca="false">IF($A54="","",COUNTIF(全体!$C$2:$C$908,$A54))</f>
        <v/>
      </c>
      <c r="E54" s="11" t="str">
        <f aca="false">IF($A54="","",SUMIFS(全体!$M$2:$M$908,全体!$C$2:$C$908,$A54))</f>
        <v/>
      </c>
      <c r="F54" s="11" t="str">
        <f aca="false">IF($A54="","",SUMIFS(全体!$T$2:$T$908,全体!$C$2:$C$908,$A54))</f>
        <v/>
      </c>
      <c r="G54" s="11" t="str">
        <f aca="false">IF($A54="","",SUMIFS(全体!$AA$2:$AA$908,全体!$C$2:$C$908,$A54))</f>
        <v/>
      </c>
      <c r="H54" s="11" t="str">
        <f aca="false">IF($A54="","",SUMIFS(全体!$AH$2:$AH$908,全体!$C$2:$C$908,$A54))</f>
        <v/>
      </c>
      <c r="I54" s="22" t="str">
        <f aca="false">IF($A54="","",COUNTIF(全体!$E$2:$E$908,$A54))</f>
        <v/>
      </c>
      <c r="J54" s="11" t="str">
        <f aca="false">IF($A54="","",SUMIFS(全体!$M$2:$M$908,全体!$E$2:$E$908,$A54))</f>
        <v/>
      </c>
      <c r="K54" s="11" t="str">
        <f aca="false">IF($A54="","",SUMIFS(全体!$T$2:$T$908,全体!$E$2:$E$908,$A54))</f>
        <v/>
      </c>
      <c r="L54" s="11" t="str">
        <f aca="false">IF($A54="","",SUMIFS(全体!$AA$2:$AA$908,全体!$E$2:$E$908,$A54))</f>
        <v/>
      </c>
      <c r="M54" s="11" t="str">
        <f aca="false">IF($A54="","",SUMIFS(全体!$AH$2:$AH$908,全体!$E$2:$E$908,$A54))</f>
        <v/>
      </c>
    </row>
    <row r="55" customFormat="false" ht="15" hidden="false" customHeight="false" outlineLevel="0" collapsed="false">
      <c r="A55" s="8" t="str">
        <f aca="false">IF(担当者マスタ!A55="","",担当者マスタ!A55)</f>
        <v/>
      </c>
      <c r="B55" s="9" t="str">
        <f aca="false">IF(担当者マスタ!A55="","",担当者マスタ!B55)</f>
        <v/>
      </c>
      <c r="C55" s="9" t="str">
        <f aca="false">IF(担当者マスタ!A55="","",担当者マスタ!C55)</f>
        <v/>
      </c>
      <c r="D55" s="22" t="str">
        <f aca="false">IF($A55="","",COUNTIF(全体!$C$2:$C$908,$A55))</f>
        <v/>
      </c>
      <c r="E55" s="11" t="str">
        <f aca="false">IF($A55="","",SUMIFS(全体!$M$2:$M$908,全体!$C$2:$C$908,$A55))</f>
        <v/>
      </c>
      <c r="F55" s="11" t="str">
        <f aca="false">IF($A55="","",SUMIFS(全体!$T$2:$T$908,全体!$C$2:$C$908,$A55))</f>
        <v/>
      </c>
      <c r="G55" s="11" t="str">
        <f aca="false">IF($A55="","",SUMIFS(全体!$AA$2:$AA$908,全体!$C$2:$C$908,$A55))</f>
        <v/>
      </c>
      <c r="H55" s="11" t="str">
        <f aca="false">IF($A55="","",SUMIFS(全体!$AH$2:$AH$908,全体!$C$2:$C$908,$A55))</f>
        <v/>
      </c>
      <c r="I55" s="22" t="str">
        <f aca="false">IF($A55="","",COUNTIF(全体!$E$2:$E$908,$A55))</f>
        <v/>
      </c>
      <c r="J55" s="11" t="str">
        <f aca="false">IF($A55="","",SUMIFS(全体!$M$2:$M$908,全体!$E$2:$E$908,$A55))</f>
        <v/>
      </c>
      <c r="K55" s="11" t="str">
        <f aca="false">IF($A55="","",SUMIFS(全体!$T$2:$T$908,全体!$E$2:$E$908,$A55))</f>
        <v/>
      </c>
      <c r="L55" s="11" t="str">
        <f aca="false">IF($A55="","",SUMIFS(全体!$AA$2:$AA$908,全体!$E$2:$E$908,$A55))</f>
        <v/>
      </c>
      <c r="M55" s="11" t="str">
        <f aca="false">IF($A55="","",SUMIFS(全体!$AH$2:$AH$908,全体!$E$2:$E$908,$A55))</f>
        <v/>
      </c>
    </row>
    <row r="56" customFormat="false" ht="15" hidden="false" customHeight="false" outlineLevel="0" collapsed="false">
      <c r="A56" s="8" t="str">
        <f aca="false">IF(担当者マスタ!A56="","",担当者マスタ!A56)</f>
        <v/>
      </c>
      <c r="B56" s="9" t="str">
        <f aca="false">IF(担当者マスタ!A56="","",担当者マスタ!B56)</f>
        <v/>
      </c>
      <c r="C56" s="9" t="str">
        <f aca="false">IF(担当者マスタ!A56="","",担当者マスタ!C56)</f>
        <v/>
      </c>
      <c r="D56" s="22" t="str">
        <f aca="false">IF($A56="","",COUNTIF(全体!$C$2:$C$908,$A56))</f>
        <v/>
      </c>
      <c r="E56" s="11" t="str">
        <f aca="false">IF($A56="","",SUMIFS(全体!$M$2:$M$908,全体!$C$2:$C$908,$A56))</f>
        <v/>
      </c>
      <c r="F56" s="11" t="str">
        <f aca="false">IF($A56="","",SUMIFS(全体!$T$2:$T$908,全体!$C$2:$C$908,$A56))</f>
        <v/>
      </c>
      <c r="G56" s="11" t="str">
        <f aca="false">IF($A56="","",SUMIFS(全体!$AA$2:$AA$908,全体!$C$2:$C$908,$A56))</f>
        <v/>
      </c>
      <c r="H56" s="11" t="str">
        <f aca="false">IF($A56="","",SUMIFS(全体!$AH$2:$AH$908,全体!$C$2:$C$908,$A56))</f>
        <v/>
      </c>
      <c r="I56" s="22" t="str">
        <f aca="false">IF($A56="","",COUNTIF(全体!$E$2:$E$908,$A56))</f>
        <v/>
      </c>
      <c r="J56" s="11" t="str">
        <f aca="false">IF($A56="","",SUMIFS(全体!$M$2:$M$908,全体!$E$2:$E$908,$A56))</f>
        <v/>
      </c>
      <c r="K56" s="11" t="str">
        <f aca="false">IF($A56="","",SUMIFS(全体!$T$2:$T$908,全体!$E$2:$E$908,$A56))</f>
        <v/>
      </c>
      <c r="L56" s="11" t="str">
        <f aca="false">IF($A56="","",SUMIFS(全体!$AA$2:$AA$908,全体!$E$2:$E$908,$A56))</f>
        <v/>
      </c>
      <c r="M56" s="11" t="str">
        <f aca="false">IF($A56="","",SUMIFS(全体!$AH$2:$AH$908,全体!$E$2:$E$908,$A56))</f>
        <v/>
      </c>
    </row>
    <row r="57" customFormat="false" ht="15" hidden="false" customHeight="false" outlineLevel="0" collapsed="false">
      <c r="A57" s="8" t="str">
        <f aca="false">IF(担当者マスタ!A57="","",担当者マスタ!A57)</f>
        <v/>
      </c>
      <c r="B57" s="9" t="str">
        <f aca="false">IF(担当者マスタ!A57="","",担当者マスタ!B57)</f>
        <v/>
      </c>
      <c r="C57" s="9" t="str">
        <f aca="false">IF(担当者マスタ!A57="","",担当者マスタ!C57)</f>
        <v/>
      </c>
      <c r="D57" s="22" t="str">
        <f aca="false">IF($A57="","",COUNTIF(全体!$C$2:$C$908,$A57))</f>
        <v/>
      </c>
      <c r="E57" s="11" t="str">
        <f aca="false">IF($A57="","",SUMIFS(全体!$M$2:$M$908,全体!$C$2:$C$908,$A57))</f>
        <v/>
      </c>
      <c r="F57" s="11" t="str">
        <f aca="false">IF($A57="","",SUMIFS(全体!$T$2:$T$908,全体!$C$2:$C$908,$A57))</f>
        <v/>
      </c>
      <c r="G57" s="11" t="str">
        <f aca="false">IF($A57="","",SUMIFS(全体!$AA$2:$AA$908,全体!$C$2:$C$908,$A57))</f>
        <v/>
      </c>
      <c r="H57" s="11" t="str">
        <f aca="false">IF($A57="","",SUMIFS(全体!$AH$2:$AH$908,全体!$C$2:$C$908,$A57))</f>
        <v/>
      </c>
      <c r="I57" s="22" t="str">
        <f aca="false">IF($A57="","",COUNTIF(全体!$E$2:$E$908,$A57))</f>
        <v/>
      </c>
      <c r="J57" s="11" t="str">
        <f aca="false">IF($A57="","",SUMIFS(全体!$M$2:$M$908,全体!$E$2:$E$908,$A57))</f>
        <v/>
      </c>
      <c r="K57" s="11" t="str">
        <f aca="false">IF($A57="","",SUMIFS(全体!$T$2:$T$908,全体!$E$2:$E$908,$A57))</f>
        <v/>
      </c>
      <c r="L57" s="11" t="str">
        <f aca="false">IF($A57="","",SUMIFS(全体!$AA$2:$AA$908,全体!$E$2:$E$908,$A57))</f>
        <v/>
      </c>
      <c r="M57" s="11" t="str">
        <f aca="false">IF($A57="","",SUMIFS(全体!$AH$2:$AH$908,全体!$E$2:$E$908,$A57))</f>
        <v/>
      </c>
    </row>
    <row r="58" customFormat="false" ht="15" hidden="false" customHeight="false" outlineLevel="0" collapsed="false">
      <c r="A58" s="8" t="str">
        <f aca="false">IF(担当者マスタ!A58="","",担当者マスタ!A58)</f>
        <v/>
      </c>
      <c r="B58" s="9" t="str">
        <f aca="false">IF(担当者マスタ!A58="","",担当者マスタ!B58)</f>
        <v/>
      </c>
      <c r="C58" s="9" t="str">
        <f aca="false">IF(担当者マスタ!A58="","",担当者マスタ!C58)</f>
        <v/>
      </c>
      <c r="D58" s="22" t="str">
        <f aca="false">IF($A58="","",COUNTIF(全体!$C$2:$C$908,$A58))</f>
        <v/>
      </c>
      <c r="E58" s="11" t="str">
        <f aca="false">IF($A58="","",SUMIFS(全体!$M$2:$M$908,全体!$C$2:$C$908,$A58))</f>
        <v/>
      </c>
      <c r="F58" s="11" t="str">
        <f aca="false">IF($A58="","",SUMIFS(全体!$T$2:$T$908,全体!$C$2:$C$908,$A58))</f>
        <v/>
      </c>
      <c r="G58" s="11" t="str">
        <f aca="false">IF($A58="","",SUMIFS(全体!$AA$2:$AA$908,全体!$C$2:$C$908,$A58))</f>
        <v/>
      </c>
      <c r="H58" s="11" t="str">
        <f aca="false">IF($A58="","",SUMIFS(全体!$AH$2:$AH$908,全体!$C$2:$C$908,$A58))</f>
        <v/>
      </c>
      <c r="I58" s="22" t="str">
        <f aca="false">IF($A58="","",COUNTIF(全体!$E$2:$E$908,$A58))</f>
        <v/>
      </c>
      <c r="J58" s="11" t="str">
        <f aca="false">IF($A58="","",SUMIFS(全体!$M$2:$M$908,全体!$E$2:$E$908,$A58))</f>
        <v/>
      </c>
      <c r="K58" s="11" t="str">
        <f aca="false">IF($A58="","",SUMIFS(全体!$T$2:$T$908,全体!$E$2:$E$908,$A58))</f>
        <v/>
      </c>
      <c r="L58" s="11" t="str">
        <f aca="false">IF($A58="","",SUMIFS(全体!$AA$2:$AA$908,全体!$E$2:$E$908,$A58))</f>
        <v/>
      </c>
      <c r="M58" s="11" t="str">
        <f aca="false">IF($A58="","",SUMIFS(全体!$AH$2:$AH$908,全体!$E$2:$E$908,$A58))</f>
        <v/>
      </c>
    </row>
    <row r="59" customFormat="false" ht="15" hidden="false" customHeight="false" outlineLevel="0" collapsed="false">
      <c r="A59" s="8" t="str">
        <f aca="false">IF(担当者マスタ!A59="","",担当者マスタ!A59)</f>
        <v/>
      </c>
      <c r="B59" s="9" t="str">
        <f aca="false">IF(担当者マスタ!A59="","",担当者マスタ!B59)</f>
        <v/>
      </c>
      <c r="C59" s="9" t="str">
        <f aca="false">IF(担当者マスタ!A59="","",担当者マスタ!C59)</f>
        <v/>
      </c>
      <c r="D59" s="22" t="str">
        <f aca="false">IF($A59="","",COUNTIF(全体!$C$2:$C$908,$A59))</f>
        <v/>
      </c>
      <c r="E59" s="11" t="str">
        <f aca="false">IF($A59="","",SUMIFS(全体!$M$2:$M$908,全体!$C$2:$C$908,$A59))</f>
        <v/>
      </c>
      <c r="F59" s="11" t="str">
        <f aca="false">IF($A59="","",SUMIFS(全体!$T$2:$T$908,全体!$C$2:$C$908,$A59))</f>
        <v/>
      </c>
      <c r="G59" s="11" t="str">
        <f aca="false">IF($A59="","",SUMIFS(全体!$AA$2:$AA$908,全体!$C$2:$C$908,$A59))</f>
        <v/>
      </c>
      <c r="H59" s="11" t="str">
        <f aca="false">IF($A59="","",SUMIFS(全体!$AH$2:$AH$908,全体!$C$2:$C$908,$A59))</f>
        <v/>
      </c>
      <c r="I59" s="22" t="str">
        <f aca="false">IF($A59="","",COUNTIF(全体!$E$2:$E$908,$A59))</f>
        <v/>
      </c>
      <c r="J59" s="11" t="str">
        <f aca="false">IF($A59="","",SUMIFS(全体!$M$2:$M$908,全体!$E$2:$E$908,$A59))</f>
        <v/>
      </c>
      <c r="K59" s="11" t="str">
        <f aca="false">IF($A59="","",SUMIFS(全体!$T$2:$T$908,全体!$E$2:$E$908,$A59))</f>
        <v/>
      </c>
      <c r="L59" s="11" t="str">
        <f aca="false">IF($A59="","",SUMIFS(全体!$AA$2:$AA$908,全体!$E$2:$E$908,$A59))</f>
        <v/>
      </c>
      <c r="M59" s="11" t="str">
        <f aca="false">IF($A59="","",SUMIFS(全体!$AH$2:$AH$908,全体!$E$2:$E$908,$A59))</f>
        <v/>
      </c>
    </row>
    <row r="60" customFormat="false" ht="15" hidden="false" customHeight="false" outlineLevel="0" collapsed="false">
      <c r="A60" s="8" t="str">
        <f aca="false">IF(担当者マスタ!A60="","",担当者マスタ!A60)</f>
        <v/>
      </c>
      <c r="B60" s="9" t="str">
        <f aca="false">IF(担当者マスタ!A60="","",担当者マスタ!B60)</f>
        <v/>
      </c>
      <c r="C60" s="9" t="str">
        <f aca="false">IF(担当者マスタ!A60="","",担当者マスタ!C60)</f>
        <v/>
      </c>
      <c r="D60" s="22" t="str">
        <f aca="false">IF($A60="","",COUNTIF(全体!$C$2:$C$908,$A60))</f>
        <v/>
      </c>
      <c r="E60" s="11" t="str">
        <f aca="false">IF($A60="","",SUMIFS(全体!$M$2:$M$908,全体!$C$2:$C$908,$A60))</f>
        <v/>
      </c>
      <c r="F60" s="11" t="str">
        <f aca="false">IF($A60="","",SUMIFS(全体!$T$2:$T$908,全体!$C$2:$C$908,$A60))</f>
        <v/>
      </c>
      <c r="G60" s="11" t="str">
        <f aca="false">IF($A60="","",SUMIFS(全体!$AA$2:$AA$908,全体!$C$2:$C$908,$A60))</f>
        <v/>
      </c>
      <c r="H60" s="11" t="str">
        <f aca="false">IF($A60="","",SUMIFS(全体!$AH$2:$AH$908,全体!$C$2:$C$908,$A60))</f>
        <v/>
      </c>
      <c r="I60" s="22" t="str">
        <f aca="false">IF($A60="","",COUNTIF(全体!$E$2:$E$908,$A60))</f>
        <v/>
      </c>
      <c r="J60" s="11" t="str">
        <f aca="false">IF($A60="","",SUMIFS(全体!$M$2:$M$908,全体!$E$2:$E$908,$A60))</f>
        <v/>
      </c>
      <c r="K60" s="11" t="str">
        <f aca="false">IF($A60="","",SUMIFS(全体!$T$2:$T$908,全体!$E$2:$E$908,$A60))</f>
        <v/>
      </c>
      <c r="L60" s="11" t="str">
        <f aca="false">IF($A60="","",SUMIFS(全体!$AA$2:$AA$908,全体!$E$2:$E$908,$A60))</f>
        <v/>
      </c>
      <c r="M60" s="11" t="str">
        <f aca="false">IF($A60="","",SUMIFS(全体!$AH$2:$AH$908,全体!$E$2:$E$908,$A60))</f>
        <v/>
      </c>
    </row>
    <row r="61" customFormat="false" ht="15" hidden="false" customHeight="false" outlineLevel="0" collapsed="false">
      <c r="A61" s="8" t="str">
        <f aca="false">IF(担当者マスタ!A61="","",担当者マスタ!A61)</f>
        <v/>
      </c>
      <c r="B61" s="9" t="str">
        <f aca="false">IF(担当者マスタ!A61="","",担当者マスタ!B61)</f>
        <v/>
      </c>
      <c r="C61" s="9" t="str">
        <f aca="false">IF(担当者マスタ!A61="","",担当者マスタ!C61)</f>
        <v/>
      </c>
      <c r="D61" s="22" t="str">
        <f aca="false">IF($A61="","",COUNTIF(全体!$C$2:$C$908,$A61))</f>
        <v/>
      </c>
      <c r="E61" s="11" t="str">
        <f aca="false">IF($A61="","",SUMIFS(全体!$M$2:$M$908,全体!$C$2:$C$908,$A61))</f>
        <v/>
      </c>
      <c r="F61" s="11" t="str">
        <f aca="false">IF($A61="","",SUMIFS(全体!$T$2:$T$908,全体!$C$2:$C$908,$A61))</f>
        <v/>
      </c>
      <c r="G61" s="11" t="str">
        <f aca="false">IF($A61="","",SUMIFS(全体!$AA$2:$AA$908,全体!$C$2:$C$908,$A61))</f>
        <v/>
      </c>
      <c r="H61" s="11" t="str">
        <f aca="false">IF($A61="","",SUMIFS(全体!$AH$2:$AH$908,全体!$C$2:$C$908,$A61))</f>
        <v/>
      </c>
      <c r="I61" s="22" t="str">
        <f aca="false">IF($A61="","",COUNTIF(全体!$E$2:$E$908,$A61))</f>
        <v/>
      </c>
      <c r="J61" s="11" t="str">
        <f aca="false">IF($A61="","",SUMIFS(全体!$M$2:$M$908,全体!$E$2:$E$908,$A61))</f>
        <v/>
      </c>
      <c r="K61" s="11" t="str">
        <f aca="false">IF($A61="","",SUMIFS(全体!$T$2:$T$908,全体!$E$2:$E$908,$A61))</f>
        <v/>
      </c>
      <c r="L61" s="11" t="str">
        <f aca="false">IF($A61="","",SUMIFS(全体!$AA$2:$AA$908,全体!$E$2:$E$908,$A61))</f>
        <v/>
      </c>
      <c r="M61" s="11" t="str">
        <f aca="false">IF($A61="","",SUMIFS(全体!$AH$2:$AH$908,全体!$E$2:$E$908,$A61))</f>
        <v/>
      </c>
    </row>
    <row r="62" customFormat="false" ht="15" hidden="false" customHeight="false" outlineLevel="0" collapsed="false">
      <c r="A62" s="8" t="str">
        <f aca="false">IF(担当者マスタ!A62="","",担当者マスタ!A62)</f>
        <v/>
      </c>
      <c r="B62" s="9" t="str">
        <f aca="false">IF(担当者マスタ!A62="","",担当者マスタ!B62)</f>
        <v/>
      </c>
      <c r="C62" s="9" t="str">
        <f aca="false">IF(担当者マスタ!A62="","",担当者マスタ!C62)</f>
        <v/>
      </c>
      <c r="D62" s="22" t="str">
        <f aca="false">IF($A62="","",COUNTIF(全体!$C$2:$C$908,$A62))</f>
        <v/>
      </c>
      <c r="E62" s="11" t="str">
        <f aca="false">IF($A62="","",SUMIFS(全体!$M$2:$M$908,全体!$C$2:$C$908,$A62))</f>
        <v/>
      </c>
      <c r="F62" s="11" t="str">
        <f aca="false">IF($A62="","",SUMIFS(全体!$T$2:$T$908,全体!$C$2:$C$908,$A62))</f>
        <v/>
      </c>
      <c r="G62" s="11" t="str">
        <f aca="false">IF($A62="","",SUMIFS(全体!$AA$2:$AA$908,全体!$C$2:$C$908,$A62))</f>
        <v/>
      </c>
      <c r="H62" s="11" t="str">
        <f aca="false">IF($A62="","",SUMIFS(全体!$AH$2:$AH$908,全体!$C$2:$C$908,$A62))</f>
        <v/>
      </c>
      <c r="I62" s="22" t="str">
        <f aca="false">IF($A62="","",COUNTIF(全体!$E$2:$E$908,$A62))</f>
        <v/>
      </c>
      <c r="J62" s="11" t="str">
        <f aca="false">IF($A62="","",SUMIFS(全体!$M$2:$M$908,全体!$E$2:$E$908,$A62))</f>
        <v/>
      </c>
      <c r="K62" s="11" t="str">
        <f aca="false">IF($A62="","",SUMIFS(全体!$T$2:$T$908,全体!$E$2:$E$908,$A62))</f>
        <v/>
      </c>
      <c r="L62" s="11" t="str">
        <f aca="false">IF($A62="","",SUMIFS(全体!$AA$2:$AA$908,全体!$E$2:$E$908,$A62))</f>
        <v/>
      </c>
      <c r="M62" s="11" t="str">
        <f aca="false">IF($A62="","",SUMIFS(全体!$AH$2:$AH$908,全体!$E$2:$E$908,$A62))</f>
        <v/>
      </c>
    </row>
    <row r="63" customFormat="false" ht="15" hidden="false" customHeight="false" outlineLevel="0" collapsed="false">
      <c r="A63" s="8" t="str">
        <f aca="false">IF(担当者マスタ!A63="","",担当者マスタ!A63)</f>
        <v/>
      </c>
      <c r="B63" s="9" t="str">
        <f aca="false">IF(担当者マスタ!A63="","",担当者マスタ!B63)</f>
        <v/>
      </c>
      <c r="C63" s="9" t="str">
        <f aca="false">IF(担当者マスタ!A63="","",担当者マスタ!C63)</f>
        <v/>
      </c>
      <c r="D63" s="22" t="str">
        <f aca="false">IF($A63="","",COUNTIF(全体!$C$2:$C$908,$A63))</f>
        <v/>
      </c>
      <c r="E63" s="11" t="str">
        <f aca="false">IF($A63="","",SUMIFS(全体!$M$2:$M$908,全体!$C$2:$C$908,$A63))</f>
        <v/>
      </c>
      <c r="F63" s="11" t="str">
        <f aca="false">IF($A63="","",SUMIFS(全体!$T$2:$T$908,全体!$C$2:$C$908,$A63))</f>
        <v/>
      </c>
      <c r="G63" s="11" t="str">
        <f aca="false">IF($A63="","",SUMIFS(全体!$AA$2:$AA$908,全体!$C$2:$C$908,$A63))</f>
        <v/>
      </c>
      <c r="H63" s="11" t="str">
        <f aca="false">IF($A63="","",SUMIFS(全体!$AH$2:$AH$908,全体!$C$2:$C$908,$A63))</f>
        <v/>
      </c>
      <c r="I63" s="22" t="str">
        <f aca="false">IF($A63="","",COUNTIF(全体!$E$2:$E$908,$A63))</f>
        <v/>
      </c>
      <c r="J63" s="11" t="str">
        <f aca="false">IF($A63="","",SUMIFS(全体!$M$2:$M$908,全体!$E$2:$E$908,$A63))</f>
        <v/>
      </c>
      <c r="K63" s="11" t="str">
        <f aca="false">IF($A63="","",SUMIFS(全体!$T$2:$T$908,全体!$E$2:$E$908,$A63))</f>
        <v/>
      </c>
      <c r="L63" s="11" t="str">
        <f aca="false">IF($A63="","",SUMIFS(全体!$AA$2:$AA$908,全体!$E$2:$E$908,$A63))</f>
        <v/>
      </c>
      <c r="M63" s="11" t="str">
        <f aca="false">IF($A63="","",SUMIFS(全体!$AH$2:$AH$908,全体!$E$2:$E$908,$A63))</f>
        <v/>
      </c>
    </row>
    <row r="64" customFormat="false" ht="15" hidden="false" customHeight="false" outlineLevel="0" collapsed="false">
      <c r="A64" s="8" t="str">
        <f aca="false">IF(担当者マスタ!A64="","",担当者マスタ!A64)</f>
        <v/>
      </c>
      <c r="B64" s="9" t="str">
        <f aca="false">IF(担当者マスタ!A64="","",担当者マスタ!B64)</f>
        <v/>
      </c>
      <c r="C64" s="9" t="str">
        <f aca="false">IF(担当者マスタ!A64="","",担当者マスタ!C64)</f>
        <v/>
      </c>
      <c r="D64" s="22" t="str">
        <f aca="false">IF($A64="","",COUNTIF(全体!$C$2:$C$908,$A64))</f>
        <v/>
      </c>
      <c r="E64" s="11" t="str">
        <f aca="false">IF($A64="","",SUMIFS(全体!$M$2:$M$908,全体!$C$2:$C$908,$A64))</f>
        <v/>
      </c>
      <c r="F64" s="11" t="str">
        <f aca="false">IF($A64="","",SUMIFS(全体!$T$2:$T$908,全体!$C$2:$C$908,$A64))</f>
        <v/>
      </c>
      <c r="G64" s="11" t="str">
        <f aca="false">IF($A64="","",SUMIFS(全体!$AA$2:$AA$908,全体!$C$2:$C$908,$A64))</f>
        <v/>
      </c>
      <c r="H64" s="11" t="str">
        <f aca="false">IF($A64="","",SUMIFS(全体!$AH$2:$AH$908,全体!$C$2:$C$908,$A64))</f>
        <v/>
      </c>
      <c r="I64" s="22" t="str">
        <f aca="false">IF($A64="","",COUNTIF(全体!$E$2:$E$908,$A64))</f>
        <v/>
      </c>
      <c r="J64" s="11" t="str">
        <f aca="false">IF($A64="","",SUMIFS(全体!$M$2:$M$908,全体!$E$2:$E$908,$A64))</f>
        <v/>
      </c>
      <c r="K64" s="11" t="str">
        <f aca="false">IF($A64="","",SUMIFS(全体!$T$2:$T$908,全体!$E$2:$E$908,$A64))</f>
        <v/>
      </c>
      <c r="L64" s="11" t="str">
        <f aca="false">IF($A64="","",SUMIFS(全体!$AA$2:$AA$908,全体!$E$2:$E$908,$A64))</f>
        <v/>
      </c>
      <c r="M64" s="11" t="str">
        <f aca="false">IF($A64="","",SUMIFS(全体!$AH$2:$AH$908,全体!$E$2:$E$908,$A64))</f>
        <v/>
      </c>
    </row>
    <row r="65" customFormat="false" ht="15" hidden="false" customHeight="false" outlineLevel="0" collapsed="false">
      <c r="A65" s="8" t="str">
        <f aca="false">IF(担当者マスタ!A65="","",担当者マスタ!A65)</f>
        <v/>
      </c>
      <c r="B65" s="9" t="str">
        <f aca="false">IF(担当者マスタ!A65="","",担当者マスタ!B65)</f>
        <v/>
      </c>
      <c r="C65" s="9" t="str">
        <f aca="false">IF(担当者マスタ!A65="","",担当者マスタ!C65)</f>
        <v/>
      </c>
      <c r="D65" s="22" t="str">
        <f aca="false">IF($A65="","",COUNTIF(全体!$C$2:$C$908,$A65))</f>
        <v/>
      </c>
      <c r="E65" s="11" t="str">
        <f aca="false">IF($A65="","",SUMIFS(全体!$M$2:$M$908,全体!$C$2:$C$908,$A65))</f>
        <v/>
      </c>
      <c r="F65" s="11" t="str">
        <f aca="false">IF($A65="","",SUMIFS(全体!$T$2:$T$908,全体!$C$2:$C$908,$A65))</f>
        <v/>
      </c>
      <c r="G65" s="11" t="str">
        <f aca="false">IF($A65="","",SUMIFS(全体!$AA$2:$AA$908,全体!$C$2:$C$908,$A65))</f>
        <v/>
      </c>
      <c r="H65" s="11" t="str">
        <f aca="false">IF($A65="","",SUMIFS(全体!$AH$2:$AH$908,全体!$C$2:$C$908,$A65))</f>
        <v/>
      </c>
      <c r="I65" s="22" t="str">
        <f aca="false">IF($A65="","",COUNTIF(全体!$E$2:$E$908,$A65))</f>
        <v/>
      </c>
      <c r="J65" s="11" t="str">
        <f aca="false">IF($A65="","",SUMIFS(全体!$M$2:$M$908,全体!$E$2:$E$908,$A65))</f>
        <v/>
      </c>
      <c r="K65" s="11" t="str">
        <f aca="false">IF($A65="","",SUMIFS(全体!$T$2:$T$908,全体!$E$2:$E$908,$A65))</f>
        <v/>
      </c>
      <c r="L65" s="11" t="str">
        <f aca="false">IF($A65="","",SUMIFS(全体!$AA$2:$AA$908,全体!$E$2:$E$908,$A65))</f>
        <v/>
      </c>
      <c r="M65" s="11" t="str">
        <f aca="false">IF($A65="","",SUMIFS(全体!$AH$2:$AH$908,全体!$E$2:$E$908,$A65))</f>
        <v/>
      </c>
    </row>
    <row r="66" customFormat="false" ht="15" hidden="false" customHeight="false" outlineLevel="0" collapsed="false">
      <c r="A66" s="8" t="str">
        <f aca="false">IF(担当者マスタ!A66="","",担当者マスタ!A66)</f>
        <v/>
      </c>
      <c r="B66" s="9" t="str">
        <f aca="false">IF(担当者マスタ!A66="","",担当者マスタ!B66)</f>
        <v/>
      </c>
      <c r="C66" s="9" t="str">
        <f aca="false">IF(担当者マスタ!A66="","",担当者マスタ!C66)</f>
        <v/>
      </c>
      <c r="D66" s="22" t="str">
        <f aca="false">IF($A66="","",COUNTIF(全体!$C$2:$C$908,$A66))</f>
        <v/>
      </c>
      <c r="E66" s="11" t="str">
        <f aca="false">IF($A66="","",SUMIFS(全体!$M$2:$M$908,全体!$C$2:$C$908,$A66))</f>
        <v/>
      </c>
      <c r="F66" s="11" t="str">
        <f aca="false">IF($A66="","",SUMIFS(全体!$T$2:$T$908,全体!$C$2:$C$908,$A66))</f>
        <v/>
      </c>
      <c r="G66" s="11" t="str">
        <f aca="false">IF($A66="","",SUMIFS(全体!$AA$2:$AA$908,全体!$C$2:$C$908,$A66))</f>
        <v/>
      </c>
      <c r="H66" s="11" t="str">
        <f aca="false">IF($A66="","",SUMIFS(全体!$AH$2:$AH$908,全体!$C$2:$C$908,$A66))</f>
        <v/>
      </c>
      <c r="I66" s="22" t="str">
        <f aca="false">IF($A66="","",COUNTIF(全体!$E$2:$E$908,$A66))</f>
        <v/>
      </c>
      <c r="J66" s="11" t="str">
        <f aca="false">IF($A66="","",SUMIFS(全体!$M$2:$M$908,全体!$E$2:$E$908,$A66))</f>
        <v/>
      </c>
      <c r="K66" s="11" t="str">
        <f aca="false">IF($A66="","",SUMIFS(全体!$T$2:$T$908,全体!$E$2:$E$908,$A66))</f>
        <v/>
      </c>
      <c r="L66" s="11" t="str">
        <f aca="false">IF($A66="","",SUMIFS(全体!$AA$2:$AA$908,全体!$E$2:$E$908,$A66))</f>
        <v/>
      </c>
      <c r="M66" s="11" t="str">
        <f aca="false">IF($A66="","",SUMIFS(全体!$AH$2:$AH$908,全体!$E$2:$E$908,$A66))</f>
        <v/>
      </c>
    </row>
    <row r="67" customFormat="false" ht="15" hidden="false" customHeight="false" outlineLevel="0" collapsed="false">
      <c r="A67" s="8" t="str">
        <f aca="false">IF(担当者マスタ!A67="","",担当者マスタ!A67)</f>
        <v/>
      </c>
      <c r="B67" s="9" t="str">
        <f aca="false">IF(担当者マスタ!A67="","",担当者マスタ!B67)</f>
        <v/>
      </c>
      <c r="C67" s="9" t="str">
        <f aca="false">IF(担当者マスタ!A67="","",担当者マスタ!C67)</f>
        <v/>
      </c>
      <c r="D67" s="22" t="str">
        <f aca="false">IF($A67="","",COUNTIF(全体!$C$2:$C$908,$A67))</f>
        <v/>
      </c>
      <c r="E67" s="11" t="str">
        <f aca="false">IF($A67="","",SUMIFS(全体!$M$2:$M$908,全体!$C$2:$C$908,$A67))</f>
        <v/>
      </c>
      <c r="F67" s="11" t="str">
        <f aca="false">IF($A67="","",SUMIFS(全体!$T$2:$T$908,全体!$C$2:$C$908,$A67))</f>
        <v/>
      </c>
      <c r="G67" s="11" t="str">
        <f aca="false">IF($A67="","",SUMIFS(全体!$AA$2:$AA$908,全体!$C$2:$C$908,$A67))</f>
        <v/>
      </c>
      <c r="H67" s="11" t="str">
        <f aca="false">IF($A67="","",SUMIFS(全体!$AH$2:$AH$908,全体!$C$2:$C$908,$A67))</f>
        <v/>
      </c>
      <c r="I67" s="22" t="str">
        <f aca="false">IF($A67="","",COUNTIF(全体!$E$2:$E$908,$A67))</f>
        <v/>
      </c>
      <c r="J67" s="11" t="str">
        <f aca="false">IF($A67="","",SUMIFS(全体!$M$2:$M$908,全体!$E$2:$E$908,$A67))</f>
        <v/>
      </c>
      <c r="K67" s="11" t="str">
        <f aca="false">IF($A67="","",SUMIFS(全体!$T$2:$T$908,全体!$E$2:$E$908,$A67))</f>
        <v/>
      </c>
      <c r="L67" s="11" t="str">
        <f aca="false">IF($A67="","",SUMIFS(全体!$AA$2:$AA$908,全体!$E$2:$E$908,$A67))</f>
        <v/>
      </c>
      <c r="M67" s="11" t="str">
        <f aca="false">IF($A67="","",SUMIFS(全体!$AH$2:$AH$908,全体!$E$2:$E$908,$A67))</f>
        <v/>
      </c>
    </row>
    <row r="68" customFormat="false" ht="15" hidden="false" customHeight="false" outlineLevel="0" collapsed="false">
      <c r="A68" s="8" t="str">
        <f aca="false">IF(担当者マスタ!A68="","",担当者マスタ!A68)</f>
        <v/>
      </c>
      <c r="B68" s="9" t="str">
        <f aca="false">IF(担当者マスタ!A68="","",担当者マスタ!B68)</f>
        <v/>
      </c>
      <c r="C68" s="9" t="str">
        <f aca="false">IF(担当者マスタ!A68="","",担当者マスタ!C68)</f>
        <v/>
      </c>
      <c r="D68" s="22" t="str">
        <f aca="false">IF($A68="","",COUNTIF(全体!$C$2:$C$908,$A68))</f>
        <v/>
      </c>
      <c r="E68" s="11" t="str">
        <f aca="false">IF($A68="","",SUMIFS(全体!$M$2:$M$908,全体!$C$2:$C$908,$A68))</f>
        <v/>
      </c>
      <c r="F68" s="11" t="str">
        <f aca="false">IF($A68="","",SUMIFS(全体!$T$2:$T$908,全体!$C$2:$C$908,$A68))</f>
        <v/>
      </c>
      <c r="G68" s="11" t="str">
        <f aca="false">IF($A68="","",SUMIFS(全体!$AA$2:$AA$908,全体!$C$2:$C$908,$A68))</f>
        <v/>
      </c>
      <c r="H68" s="11" t="str">
        <f aca="false">IF($A68="","",SUMIFS(全体!$AH$2:$AH$908,全体!$C$2:$C$908,$A68))</f>
        <v/>
      </c>
      <c r="I68" s="22" t="str">
        <f aca="false">IF($A68="","",COUNTIF(全体!$E$2:$E$908,$A68))</f>
        <v/>
      </c>
      <c r="J68" s="11" t="str">
        <f aca="false">IF($A68="","",SUMIFS(全体!$M$2:$M$908,全体!$E$2:$E$908,$A68))</f>
        <v/>
      </c>
      <c r="K68" s="11" t="str">
        <f aca="false">IF($A68="","",SUMIFS(全体!$T$2:$T$908,全体!$E$2:$E$908,$A68))</f>
        <v/>
      </c>
      <c r="L68" s="11" t="str">
        <f aca="false">IF($A68="","",SUMIFS(全体!$AA$2:$AA$908,全体!$E$2:$E$908,$A68))</f>
        <v/>
      </c>
      <c r="M68" s="11" t="str">
        <f aca="false">IF($A68="","",SUMIFS(全体!$AH$2:$AH$908,全体!$E$2:$E$908,$A68))</f>
        <v/>
      </c>
    </row>
    <row r="69" customFormat="false" ht="15" hidden="false" customHeight="false" outlineLevel="0" collapsed="false">
      <c r="A69" s="8" t="str">
        <f aca="false">IF(担当者マスタ!A69="","",担当者マスタ!A69)</f>
        <v/>
      </c>
      <c r="B69" s="9" t="str">
        <f aca="false">IF(担当者マスタ!A69="","",担当者マスタ!B69)</f>
        <v/>
      </c>
      <c r="C69" s="9" t="str">
        <f aca="false">IF(担当者マスタ!A69="","",担当者マスタ!C69)</f>
        <v/>
      </c>
      <c r="D69" s="22" t="str">
        <f aca="false">IF($A69="","",COUNTIF(全体!$C$2:$C$908,$A69))</f>
        <v/>
      </c>
      <c r="E69" s="11" t="str">
        <f aca="false">IF($A69="","",SUMIFS(全体!$M$2:$M$908,全体!$C$2:$C$908,$A69))</f>
        <v/>
      </c>
      <c r="F69" s="11" t="str">
        <f aca="false">IF($A69="","",SUMIFS(全体!$T$2:$T$908,全体!$C$2:$C$908,$A69))</f>
        <v/>
      </c>
      <c r="G69" s="11" t="str">
        <f aca="false">IF($A69="","",SUMIFS(全体!$AA$2:$AA$908,全体!$C$2:$C$908,$A69))</f>
        <v/>
      </c>
      <c r="H69" s="11" t="str">
        <f aca="false">IF($A69="","",SUMIFS(全体!$AH$2:$AH$908,全体!$C$2:$C$908,$A69))</f>
        <v/>
      </c>
      <c r="I69" s="22" t="str">
        <f aca="false">IF($A69="","",COUNTIF(全体!$E$2:$E$908,$A69))</f>
        <v/>
      </c>
      <c r="J69" s="11" t="str">
        <f aca="false">IF($A69="","",SUMIFS(全体!$M$2:$M$908,全体!$E$2:$E$908,$A69))</f>
        <v/>
      </c>
      <c r="K69" s="11" t="str">
        <f aca="false">IF($A69="","",SUMIFS(全体!$T$2:$T$908,全体!$E$2:$E$908,$A69))</f>
        <v/>
      </c>
      <c r="L69" s="11" t="str">
        <f aca="false">IF($A69="","",SUMIFS(全体!$AA$2:$AA$908,全体!$E$2:$E$908,$A69))</f>
        <v/>
      </c>
      <c r="M69" s="11" t="str">
        <f aca="false">IF($A69="","",SUMIFS(全体!$AH$2:$AH$908,全体!$E$2:$E$908,$A69))</f>
        <v/>
      </c>
    </row>
    <row r="70" customFormat="false" ht="15" hidden="false" customHeight="false" outlineLevel="0" collapsed="false">
      <c r="A70" s="8" t="str">
        <f aca="false">IF(担当者マスタ!A70="","",担当者マスタ!A70)</f>
        <v/>
      </c>
      <c r="B70" s="9" t="str">
        <f aca="false">IF(担当者マスタ!A70="","",担当者マスタ!B70)</f>
        <v/>
      </c>
      <c r="C70" s="9" t="str">
        <f aca="false">IF(担当者マスタ!A70="","",担当者マスタ!C70)</f>
        <v/>
      </c>
      <c r="D70" s="22" t="str">
        <f aca="false">IF($A70="","",COUNTIF(全体!$C$2:$C$908,$A70))</f>
        <v/>
      </c>
      <c r="E70" s="11" t="str">
        <f aca="false">IF($A70="","",SUMIFS(全体!$M$2:$M$908,全体!$C$2:$C$908,$A70))</f>
        <v/>
      </c>
      <c r="F70" s="11" t="str">
        <f aca="false">IF($A70="","",SUMIFS(全体!$T$2:$T$908,全体!$C$2:$C$908,$A70))</f>
        <v/>
      </c>
      <c r="G70" s="11" t="str">
        <f aca="false">IF($A70="","",SUMIFS(全体!$AA$2:$AA$908,全体!$C$2:$C$908,$A70))</f>
        <v/>
      </c>
      <c r="H70" s="11" t="str">
        <f aca="false">IF($A70="","",SUMIFS(全体!$AH$2:$AH$908,全体!$C$2:$C$908,$A70))</f>
        <v/>
      </c>
      <c r="I70" s="22" t="str">
        <f aca="false">IF($A70="","",COUNTIF(全体!$E$2:$E$908,$A70))</f>
        <v/>
      </c>
      <c r="J70" s="11" t="str">
        <f aca="false">IF($A70="","",SUMIFS(全体!$M$2:$M$908,全体!$E$2:$E$908,$A70))</f>
        <v/>
      </c>
      <c r="K70" s="11" t="str">
        <f aca="false">IF($A70="","",SUMIFS(全体!$T$2:$T$908,全体!$E$2:$E$908,$A70))</f>
        <v/>
      </c>
      <c r="L70" s="11" t="str">
        <f aca="false">IF($A70="","",SUMIFS(全体!$AA$2:$AA$908,全体!$E$2:$E$908,$A70))</f>
        <v/>
      </c>
      <c r="M70" s="11" t="str">
        <f aca="false">IF($A70="","",SUMIFS(全体!$AH$2:$AH$908,全体!$E$2:$E$908,$A70))</f>
        <v/>
      </c>
    </row>
    <row r="71" customFormat="false" ht="15" hidden="false" customHeight="false" outlineLevel="0" collapsed="false">
      <c r="A71" s="8" t="str">
        <f aca="false">IF(担当者マスタ!A71="","",担当者マスタ!A71)</f>
        <v/>
      </c>
      <c r="B71" s="9" t="str">
        <f aca="false">IF(担当者マスタ!A71="","",担当者マスタ!B71)</f>
        <v/>
      </c>
      <c r="C71" s="9" t="str">
        <f aca="false">IF(担当者マスタ!A71="","",担当者マスタ!C71)</f>
        <v/>
      </c>
      <c r="D71" s="22" t="str">
        <f aca="false">IF($A71="","",COUNTIF(全体!$C$2:$C$908,$A71))</f>
        <v/>
      </c>
      <c r="E71" s="11" t="str">
        <f aca="false">IF($A71="","",SUMIFS(全体!$M$2:$M$908,全体!$C$2:$C$908,$A71))</f>
        <v/>
      </c>
      <c r="F71" s="11" t="str">
        <f aca="false">IF($A71="","",SUMIFS(全体!$T$2:$T$908,全体!$C$2:$C$908,$A71))</f>
        <v/>
      </c>
      <c r="G71" s="11" t="str">
        <f aca="false">IF($A71="","",SUMIFS(全体!$AA$2:$AA$908,全体!$C$2:$C$908,$A71))</f>
        <v/>
      </c>
      <c r="H71" s="11" t="str">
        <f aca="false">IF($A71="","",SUMIFS(全体!$AH$2:$AH$908,全体!$C$2:$C$908,$A71))</f>
        <v/>
      </c>
      <c r="I71" s="22" t="str">
        <f aca="false">IF($A71="","",COUNTIF(全体!$E$2:$E$908,$A71))</f>
        <v/>
      </c>
      <c r="J71" s="11" t="str">
        <f aca="false">IF($A71="","",SUMIFS(全体!$M$2:$M$908,全体!$E$2:$E$908,$A71))</f>
        <v/>
      </c>
      <c r="K71" s="11" t="str">
        <f aca="false">IF($A71="","",SUMIFS(全体!$T$2:$T$908,全体!$E$2:$E$908,$A71))</f>
        <v/>
      </c>
      <c r="L71" s="11" t="str">
        <f aca="false">IF($A71="","",SUMIFS(全体!$AA$2:$AA$908,全体!$E$2:$E$908,$A71))</f>
        <v/>
      </c>
      <c r="M71" s="11" t="str">
        <f aca="false">IF($A71="","",SUMIFS(全体!$AH$2:$AH$908,全体!$E$2:$E$908,$A71))</f>
        <v/>
      </c>
    </row>
    <row r="72" customFormat="false" ht="15" hidden="false" customHeight="false" outlineLevel="0" collapsed="false">
      <c r="A72" s="8" t="str">
        <f aca="false">IF(担当者マスタ!A72="","",担当者マスタ!A72)</f>
        <v/>
      </c>
      <c r="B72" s="9" t="str">
        <f aca="false">IF(担当者マスタ!A72="","",担当者マスタ!B72)</f>
        <v/>
      </c>
      <c r="C72" s="9" t="str">
        <f aca="false">IF(担当者マスタ!A72="","",担当者マスタ!C72)</f>
        <v/>
      </c>
      <c r="D72" s="22" t="str">
        <f aca="false">IF($A72="","",COUNTIF(全体!$C$2:$C$908,$A72))</f>
        <v/>
      </c>
      <c r="E72" s="11" t="str">
        <f aca="false">IF($A72="","",SUMIFS(全体!$M$2:$M$908,全体!$C$2:$C$908,$A72))</f>
        <v/>
      </c>
      <c r="F72" s="11" t="str">
        <f aca="false">IF($A72="","",SUMIFS(全体!$T$2:$T$908,全体!$C$2:$C$908,$A72))</f>
        <v/>
      </c>
      <c r="G72" s="11" t="str">
        <f aca="false">IF($A72="","",SUMIFS(全体!$AA$2:$AA$908,全体!$C$2:$C$908,$A72))</f>
        <v/>
      </c>
      <c r="H72" s="11" t="str">
        <f aca="false">IF($A72="","",SUMIFS(全体!$AH$2:$AH$908,全体!$C$2:$C$908,$A72))</f>
        <v/>
      </c>
      <c r="I72" s="22" t="str">
        <f aca="false">IF($A72="","",COUNTIF(全体!$E$2:$E$908,$A72))</f>
        <v/>
      </c>
      <c r="J72" s="11" t="str">
        <f aca="false">IF($A72="","",SUMIFS(全体!$M$2:$M$908,全体!$E$2:$E$908,$A72))</f>
        <v/>
      </c>
      <c r="K72" s="11" t="str">
        <f aca="false">IF($A72="","",SUMIFS(全体!$T$2:$T$908,全体!$E$2:$E$908,$A72))</f>
        <v/>
      </c>
      <c r="L72" s="11" t="str">
        <f aca="false">IF($A72="","",SUMIFS(全体!$AA$2:$AA$908,全体!$E$2:$E$908,$A72))</f>
        <v/>
      </c>
      <c r="M72" s="11" t="str">
        <f aca="false">IF($A72="","",SUMIFS(全体!$AH$2:$AH$908,全体!$E$2:$E$908,$A72))</f>
        <v/>
      </c>
    </row>
    <row r="73" customFormat="false" ht="15" hidden="false" customHeight="false" outlineLevel="0" collapsed="false">
      <c r="A73" s="8" t="str">
        <f aca="false">IF(担当者マスタ!A73="","",担当者マスタ!A73)</f>
        <v/>
      </c>
      <c r="B73" s="9" t="str">
        <f aca="false">IF(担当者マスタ!A73="","",担当者マスタ!B73)</f>
        <v/>
      </c>
      <c r="C73" s="9" t="str">
        <f aca="false">IF(担当者マスタ!A73="","",担当者マスタ!C73)</f>
        <v/>
      </c>
      <c r="D73" s="22" t="str">
        <f aca="false">IF($A73="","",COUNTIF(全体!$C$2:$C$908,$A73))</f>
        <v/>
      </c>
      <c r="E73" s="11" t="str">
        <f aca="false">IF($A73="","",SUMIFS(全体!$M$2:$M$908,全体!$C$2:$C$908,$A73))</f>
        <v/>
      </c>
      <c r="F73" s="11" t="str">
        <f aca="false">IF($A73="","",SUMIFS(全体!$T$2:$T$908,全体!$C$2:$C$908,$A73))</f>
        <v/>
      </c>
      <c r="G73" s="11" t="str">
        <f aca="false">IF($A73="","",SUMIFS(全体!$AA$2:$AA$908,全体!$C$2:$C$908,$A73))</f>
        <v/>
      </c>
      <c r="H73" s="11" t="str">
        <f aca="false">IF($A73="","",SUMIFS(全体!$AH$2:$AH$908,全体!$C$2:$C$908,$A73))</f>
        <v/>
      </c>
      <c r="I73" s="22" t="str">
        <f aca="false">IF($A73="","",COUNTIF(全体!$E$2:$E$908,$A73))</f>
        <v/>
      </c>
      <c r="J73" s="11" t="str">
        <f aca="false">IF($A73="","",SUMIFS(全体!$M$2:$M$908,全体!$E$2:$E$908,$A73))</f>
        <v/>
      </c>
      <c r="K73" s="11" t="str">
        <f aca="false">IF($A73="","",SUMIFS(全体!$T$2:$T$908,全体!$E$2:$E$908,$A73))</f>
        <v/>
      </c>
      <c r="L73" s="11" t="str">
        <f aca="false">IF($A73="","",SUMIFS(全体!$AA$2:$AA$908,全体!$E$2:$E$908,$A73))</f>
        <v/>
      </c>
      <c r="M73" s="11" t="str">
        <f aca="false">IF($A73="","",SUMIFS(全体!$AH$2:$AH$908,全体!$E$2:$E$908,$A73))</f>
        <v/>
      </c>
    </row>
    <row r="74" customFormat="false" ht="15" hidden="false" customHeight="false" outlineLevel="0" collapsed="false">
      <c r="A74" s="8" t="str">
        <f aca="false">IF(担当者マスタ!A74="","",担当者マスタ!A74)</f>
        <v/>
      </c>
      <c r="B74" s="9" t="str">
        <f aca="false">IF(担当者マスタ!A74="","",担当者マスタ!B74)</f>
        <v/>
      </c>
      <c r="C74" s="9" t="str">
        <f aca="false">IF(担当者マスタ!A74="","",担当者マスタ!C74)</f>
        <v/>
      </c>
      <c r="D74" s="22" t="str">
        <f aca="false">IF($A74="","",COUNTIF(全体!$C$2:$C$908,$A74))</f>
        <v/>
      </c>
      <c r="E74" s="11" t="str">
        <f aca="false">IF($A74="","",SUMIFS(全体!$M$2:$M$908,全体!$C$2:$C$908,$A74))</f>
        <v/>
      </c>
      <c r="F74" s="11" t="str">
        <f aca="false">IF($A74="","",SUMIFS(全体!$T$2:$T$908,全体!$C$2:$C$908,$A74))</f>
        <v/>
      </c>
      <c r="G74" s="11" t="str">
        <f aca="false">IF($A74="","",SUMIFS(全体!$AA$2:$AA$908,全体!$C$2:$C$908,$A74))</f>
        <v/>
      </c>
      <c r="H74" s="11" t="str">
        <f aca="false">IF($A74="","",SUMIFS(全体!$AH$2:$AH$908,全体!$C$2:$C$908,$A74))</f>
        <v/>
      </c>
      <c r="I74" s="22" t="str">
        <f aca="false">IF($A74="","",COUNTIF(全体!$E$2:$E$908,$A74))</f>
        <v/>
      </c>
      <c r="J74" s="11" t="str">
        <f aca="false">IF($A74="","",SUMIFS(全体!$M$2:$M$908,全体!$E$2:$E$908,$A74))</f>
        <v/>
      </c>
      <c r="K74" s="11" t="str">
        <f aca="false">IF($A74="","",SUMIFS(全体!$T$2:$T$908,全体!$E$2:$E$908,$A74))</f>
        <v/>
      </c>
      <c r="L74" s="11" t="str">
        <f aca="false">IF($A74="","",SUMIFS(全体!$AA$2:$AA$908,全体!$E$2:$E$908,$A74))</f>
        <v/>
      </c>
      <c r="M74" s="11" t="str">
        <f aca="false">IF($A74="","",SUMIFS(全体!$AH$2:$AH$908,全体!$E$2:$E$908,$A74))</f>
        <v/>
      </c>
    </row>
    <row r="75" customFormat="false" ht="15" hidden="false" customHeight="false" outlineLevel="0" collapsed="false">
      <c r="A75" s="8" t="str">
        <f aca="false">IF(担当者マスタ!A75="","",担当者マスタ!A75)</f>
        <v/>
      </c>
      <c r="B75" s="9" t="str">
        <f aca="false">IF(担当者マスタ!A75="","",担当者マスタ!B75)</f>
        <v/>
      </c>
      <c r="C75" s="9" t="str">
        <f aca="false">IF(担当者マスタ!A75="","",担当者マスタ!C75)</f>
        <v/>
      </c>
      <c r="D75" s="22" t="str">
        <f aca="false">IF($A75="","",COUNTIF(全体!$C$2:$C$908,$A75))</f>
        <v/>
      </c>
      <c r="E75" s="11" t="str">
        <f aca="false">IF($A75="","",SUMIFS(全体!$M$2:$M$908,全体!$C$2:$C$908,$A75))</f>
        <v/>
      </c>
      <c r="F75" s="11" t="str">
        <f aca="false">IF($A75="","",SUMIFS(全体!$T$2:$T$908,全体!$C$2:$C$908,$A75))</f>
        <v/>
      </c>
      <c r="G75" s="11" t="str">
        <f aca="false">IF($A75="","",SUMIFS(全体!$AA$2:$AA$908,全体!$C$2:$C$908,$A75))</f>
        <v/>
      </c>
      <c r="H75" s="11" t="str">
        <f aca="false">IF($A75="","",SUMIFS(全体!$AH$2:$AH$908,全体!$C$2:$C$908,$A75))</f>
        <v/>
      </c>
      <c r="I75" s="22" t="str">
        <f aca="false">IF($A75="","",COUNTIF(全体!$E$2:$E$908,$A75))</f>
        <v/>
      </c>
      <c r="J75" s="11" t="str">
        <f aca="false">IF($A75="","",SUMIFS(全体!$M$2:$M$908,全体!$E$2:$E$908,$A75))</f>
        <v/>
      </c>
      <c r="K75" s="11" t="str">
        <f aca="false">IF($A75="","",SUMIFS(全体!$T$2:$T$908,全体!$E$2:$E$908,$A75))</f>
        <v/>
      </c>
      <c r="L75" s="11" t="str">
        <f aca="false">IF($A75="","",SUMIFS(全体!$AA$2:$AA$908,全体!$E$2:$E$908,$A75))</f>
        <v/>
      </c>
      <c r="M75" s="11" t="str">
        <f aca="false">IF($A75="","",SUMIFS(全体!$AH$2:$AH$908,全体!$E$2:$E$908,$A75))</f>
        <v/>
      </c>
    </row>
    <row r="76" customFormat="false" ht="15" hidden="false" customHeight="false" outlineLevel="0" collapsed="false">
      <c r="A76" s="8" t="str">
        <f aca="false">IF(担当者マスタ!A76="","",担当者マスタ!A76)</f>
        <v/>
      </c>
      <c r="B76" s="9" t="str">
        <f aca="false">IF(担当者マスタ!A76="","",担当者マスタ!B76)</f>
        <v/>
      </c>
      <c r="C76" s="9" t="str">
        <f aca="false">IF(担当者マスタ!A76="","",担当者マスタ!C76)</f>
        <v/>
      </c>
      <c r="D76" s="22" t="str">
        <f aca="false">IF($A76="","",COUNTIF(全体!$C$2:$C$908,$A76))</f>
        <v/>
      </c>
      <c r="E76" s="11" t="str">
        <f aca="false">IF($A76="","",SUMIFS(全体!$M$2:$M$908,全体!$C$2:$C$908,$A76))</f>
        <v/>
      </c>
      <c r="F76" s="11" t="str">
        <f aca="false">IF($A76="","",SUMIFS(全体!$T$2:$T$908,全体!$C$2:$C$908,$A76))</f>
        <v/>
      </c>
      <c r="G76" s="11" t="str">
        <f aca="false">IF($A76="","",SUMIFS(全体!$AA$2:$AA$908,全体!$C$2:$C$908,$A76))</f>
        <v/>
      </c>
      <c r="H76" s="11" t="str">
        <f aca="false">IF($A76="","",SUMIFS(全体!$AH$2:$AH$908,全体!$C$2:$C$908,$A76))</f>
        <v/>
      </c>
      <c r="I76" s="22" t="str">
        <f aca="false">IF($A76="","",COUNTIF(全体!$E$2:$E$908,$A76))</f>
        <v/>
      </c>
      <c r="J76" s="11" t="str">
        <f aca="false">IF($A76="","",SUMIFS(全体!$M$2:$M$908,全体!$E$2:$E$908,$A76))</f>
        <v/>
      </c>
      <c r="K76" s="11" t="str">
        <f aca="false">IF($A76="","",SUMIFS(全体!$T$2:$T$908,全体!$E$2:$E$908,$A76))</f>
        <v/>
      </c>
      <c r="L76" s="11" t="str">
        <f aca="false">IF($A76="","",SUMIFS(全体!$AA$2:$AA$908,全体!$E$2:$E$908,$A76))</f>
        <v/>
      </c>
      <c r="M76" s="11" t="str">
        <f aca="false">IF($A76="","",SUMIFS(全体!$AH$2:$AH$908,全体!$E$2:$E$908,$A76))</f>
        <v/>
      </c>
    </row>
    <row r="77" customFormat="false" ht="15" hidden="false" customHeight="false" outlineLevel="0" collapsed="false">
      <c r="A77" s="8" t="str">
        <f aca="false">IF(担当者マスタ!A77="","",担当者マスタ!A77)</f>
        <v/>
      </c>
      <c r="B77" s="9" t="str">
        <f aca="false">IF(担当者マスタ!A77="","",担当者マスタ!B77)</f>
        <v/>
      </c>
      <c r="C77" s="9" t="str">
        <f aca="false">IF(担当者マスタ!A77="","",担当者マスタ!C77)</f>
        <v/>
      </c>
      <c r="D77" s="22" t="str">
        <f aca="false">IF($A77="","",COUNTIF(全体!$C$2:$C$908,$A77))</f>
        <v/>
      </c>
      <c r="E77" s="11" t="str">
        <f aca="false">IF($A77="","",SUMIFS(全体!$M$2:$M$908,全体!$C$2:$C$908,$A77))</f>
        <v/>
      </c>
      <c r="F77" s="11" t="str">
        <f aca="false">IF($A77="","",SUMIFS(全体!$T$2:$T$908,全体!$C$2:$C$908,$A77))</f>
        <v/>
      </c>
      <c r="G77" s="11" t="str">
        <f aca="false">IF($A77="","",SUMIFS(全体!$AA$2:$AA$908,全体!$C$2:$C$908,$A77))</f>
        <v/>
      </c>
      <c r="H77" s="11" t="str">
        <f aca="false">IF($A77="","",SUMIFS(全体!$AH$2:$AH$908,全体!$C$2:$C$908,$A77))</f>
        <v/>
      </c>
      <c r="I77" s="22" t="str">
        <f aca="false">IF($A77="","",COUNTIF(全体!$E$2:$E$908,$A77))</f>
        <v/>
      </c>
      <c r="J77" s="11" t="str">
        <f aca="false">IF($A77="","",SUMIFS(全体!$M$2:$M$908,全体!$E$2:$E$908,$A77))</f>
        <v/>
      </c>
      <c r="K77" s="11" t="str">
        <f aca="false">IF($A77="","",SUMIFS(全体!$T$2:$T$908,全体!$E$2:$E$908,$A77))</f>
        <v/>
      </c>
      <c r="L77" s="11" t="str">
        <f aca="false">IF($A77="","",SUMIFS(全体!$AA$2:$AA$908,全体!$E$2:$E$908,$A77))</f>
        <v/>
      </c>
      <c r="M77" s="11" t="str">
        <f aca="false">IF($A77="","",SUMIFS(全体!$AH$2:$AH$908,全体!$E$2:$E$908,$A77))</f>
        <v/>
      </c>
    </row>
    <row r="78" customFormat="false" ht="15" hidden="false" customHeight="false" outlineLevel="0" collapsed="false">
      <c r="A78" s="8" t="str">
        <f aca="false">IF(担当者マスタ!A78="","",担当者マスタ!A78)</f>
        <v/>
      </c>
      <c r="B78" s="9" t="str">
        <f aca="false">IF(担当者マスタ!A78="","",担当者マスタ!B78)</f>
        <v/>
      </c>
      <c r="C78" s="9" t="str">
        <f aca="false">IF(担当者マスタ!A78="","",担当者マスタ!C78)</f>
        <v/>
      </c>
      <c r="D78" s="22" t="str">
        <f aca="false">IF($A78="","",COUNTIF(全体!$C$2:$C$908,$A78))</f>
        <v/>
      </c>
      <c r="E78" s="11" t="str">
        <f aca="false">IF($A78="","",SUMIFS(全体!$M$2:$M$908,全体!$C$2:$C$908,$A78))</f>
        <v/>
      </c>
      <c r="F78" s="11" t="str">
        <f aca="false">IF($A78="","",SUMIFS(全体!$T$2:$T$908,全体!$C$2:$C$908,$A78))</f>
        <v/>
      </c>
      <c r="G78" s="11" t="str">
        <f aca="false">IF($A78="","",SUMIFS(全体!$AA$2:$AA$908,全体!$C$2:$C$908,$A78))</f>
        <v/>
      </c>
      <c r="H78" s="11" t="str">
        <f aca="false">IF($A78="","",SUMIFS(全体!$AH$2:$AH$908,全体!$C$2:$C$908,$A78))</f>
        <v/>
      </c>
      <c r="I78" s="22" t="str">
        <f aca="false">IF($A78="","",COUNTIF(全体!$E$2:$E$908,$A78))</f>
        <v/>
      </c>
      <c r="J78" s="11" t="str">
        <f aca="false">IF($A78="","",SUMIFS(全体!$M$2:$M$908,全体!$E$2:$E$908,$A78))</f>
        <v/>
      </c>
      <c r="K78" s="11" t="str">
        <f aca="false">IF($A78="","",SUMIFS(全体!$T$2:$T$908,全体!$E$2:$E$908,$A78))</f>
        <v/>
      </c>
      <c r="L78" s="11" t="str">
        <f aca="false">IF($A78="","",SUMIFS(全体!$AA$2:$AA$908,全体!$E$2:$E$908,$A78))</f>
        <v/>
      </c>
      <c r="M78" s="11" t="str">
        <f aca="false">IF($A78="","",SUMIFS(全体!$AH$2:$AH$908,全体!$E$2:$E$908,$A78))</f>
        <v/>
      </c>
    </row>
    <row r="79" customFormat="false" ht="15" hidden="false" customHeight="false" outlineLevel="0" collapsed="false">
      <c r="A79" s="8" t="str">
        <f aca="false">IF(担当者マスタ!A79="","",担当者マスタ!A79)</f>
        <v/>
      </c>
      <c r="B79" s="9" t="str">
        <f aca="false">IF(担当者マスタ!A79="","",担当者マスタ!B79)</f>
        <v/>
      </c>
      <c r="C79" s="9" t="str">
        <f aca="false">IF(担当者マスタ!A79="","",担当者マスタ!C79)</f>
        <v/>
      </c>
      <c r="D79" s="22" t="str">
        <f aca="false">IF($A79="","",COUNTIF(全体!$C$2:$C$908,$A79))</f>
        <v/>
      </c>
      <c r="E79" s="11" t="str">
        <f aca="false">IF($A79="","",SUMIFS(全体!$M$2:$M$908,全体!$C$2:$C$908,$A79))</f>
        <v/>
      </c>
      <c r="F79" s="11" t="str">
        <f aca="false">IF($A79="","",SUMIFS(全体!$T$2:$T$908,全体!$C$2:$C$908,$A79))</f>
        <v/>
      </c>
      <c r="G79" s="11" t="str">
        <f aca="false">IF($A79="","",SUMIFS(全体!$AA$2:$AA$908,全体!$C$2:$C$908,$A79))</f>
        <v/>
      </c>
      <c r="H79" s="11" t="str">
        <f aca="false">IF($A79="","",SUMIFS(全体!$AH$2:$AH$908,全体!$C$2:$C$908,$A79))</f>
        <v/>
      </c>
      <c r="I79" s="22" t="str">
        <f aca="false">IF($A79="","",COUNTIF(全体!$E$2:$E$908,$A79))</f>
        <v/>
      </c>
      <c r="J79" s="11" t="str">
        <f aca="false">IF($A79="","",SUMIFS(全体!$M$2:$M$908,全体!$E$2:$E$908,$A79))</f>
        <v/>
      </c>
      <c r="K79" s="11" t="str">
        <f aca="false">IF($A79="","",SUMIFS(全体!$T$2:$T$908,全体!$E$2:$E$908,$A79))</f>
        <v/>
      </c>
      <c r="L79" s="11" t="str">
        <f aca="false">IF($A79="","",SUMIFS(全体!$AA$2:$AA$908,全体!$E$2:$E$908,$A79))</f>
        <v/>
      </c>
      <c r="M79" s="11" t="str">
        <f aca="false">IF($A79="","",SUMIFS(全体!$AH$2:$AH$908,全体!$E$2:$E$908,$A79))</f>
        <v/>
      </c>
    </row>
    <row r="80" customFormat="false" ht="15" hidden="false" customHeight="false" outlineLevel="0" collapsed="false">
      <c r="A80" s="8" t="str">
        <f aca="false">IF(担当者マスタ!A80="","",担当者マスタ!A80)</f>
        <v/>
      </c>
      <c r="B80" s="9" t="str">
        <f aca="false">IF(担当者マスタ!A80="","",担当者マスタ!B80)</f>
        <v/>
      </c>
      <c r="C80" s="9" t="str">
        <f aca="false">IF(担当者マスタ!A80="","",担当者マスタ!C80)</f>
        <v/>
      </c>
      <c r="D80" s="22" t="str">
        <f aca="false">IF($A80="","",COUNTIF(全体!$C$2:$C$908,$A80))</f>
        <v/>
      </c>
      <c r="E80" s="11" t="str">
        <f aca="false">IF($A80="","",SUMIFS(全体!$M$2:$M$908,全体!$C$2:$C$908,$A80))</f>
        <v/>
      </c>
      <c r="F80" s="11" t="str">
        <f aca="false">IF($A80="","",SUMIFS(全体!$T$2:$T$908,全体!$C$2:$C$908,$A80))</f>
        <v/>
      </c>
      <c r="G80" s="11" t="str">
        <f aca="false">IF($A80="","",SUMIFS(全体!$AA$2:$AA$908,全体!$C$2:$C$908,$A80))</f>
        <v/>
      </c>
      <c r="H80" s="11" t="str">
        <f aca="false">IF($A80="","",SUMIFS(全体!$AH$2:$AH$908,全体!$C$2:$C$908,$A80))</f>
        <v/>
      </c>
      <c r="I80" s="22" t="str">
        <f aca="false">IF($A80="","",COUNTIF(全体!$E$2:$E$908,$A80))</f>
        <v/>
      </c>
      <c r="J80" s="11" t="str">
        <f aca="false">IF($A80="","",SUMIFS(全体!$M$2:$M$908,全体!$E$2:$E$908,$A80))</f>
        <v/>
      </c>
      <c r="K80" s="11" t="str">
        <f aca="false">IF($A80="","",SUMIFS(全体!$T$2:$T$908,全体!$E$2:$E$908,$A80))</f>
        <v/>
      </c>
      <c r="L80" s="11" t="str">
        <f aca="false">IF($A80="","",SUMIFS(全体!$AA$2:$AA$908,全体!$E$2:$E$908,$A80))</f>
        <v/>
      </c>
      <c r="M80" s="11" t="str">
        <f aca="false">IF($A80="","",SUMIFS(全体!$AH$2:$AH$908,全体!$E$2:$E$908,$A80))</f>
        <v/>
      </c>
    </row>
    <row r="81" customFormat="false" ht="15" hidden="false" customHeight="false" outlineLevel="0" collapsed="false">
      <c r="A81" s="8" t="str">
        <f aca="false">IF(担当者マスタ!A81="","",担当者マスタ!A81)</f>
        <v/>
      </c>
      <c r="B81" s="9" t="str">
        <f aca="false">IF(担当者マスタ!A81="","",担当者マスタ!B81)</f>
        <v/>
      </c>
      <c r="C81" s="9" t="str">
        <f aca="false">IF(担当者マスタ!A81="","",担当者マスタ!C81)</f>
        <v/>
      </c>
      <c r="D81" s="22" t="str">
        <f aca="false">IF($A81="","",COUNTIF(全体!$C$2:$C$908,$A81))</f>
        <v/>
      </c>
      <c r="E81" s="11" t="str">
        <f aca="false">IF($A81="","",SUMIFS(全体!$M$2:$M$908,全体!$C$2:$C$908,$A81))</f>
        <v/>
      </c>
      <c r="F81" s="11" t="str">
        <f aca="false">IF($A81="","",SUMIFS(全体!$T$2:$T$908,全体!$C$2:$C$908,$A81))</f>
        <v/>
      </c>
      <c r="G81" s="11" t="str">
        <f aca="false">IF($A81="","",SUMIFS(全体!$AA$2:$AA$908,全体!$C$2:$C$908,$A81))</f>
        <v/>
      </c>
      <c r="H81" s="11" t="str">
        <f aca="false">IF($A81="","",SUMIFS(全体!$AH$2:$AH$908,全体!$C$2:$C$908,$A81))</f>
        <v/>
      </c>
      <c r="I81" s="22" t="str">
        <f aca="false">IF($A81="","",COUNTIF(全体!$E$2:$E$908,$A81))</f>
        <v/>
      </c>
      <c r="J81" s="11" t="str">
        <f aca="false">IF($A81="","",SUMIFS(全体!$M$2:$M$908,全体!$E$2:$E$908,$A81))</f>
        <v/>
      </c>
      <c r="K81" s="11" t="str">
        <f aca="false">IF($A81="","",SUMIFS(全体!$T$2:$T$908,全体!$E$2:$E$908,$A81))</f>
        <v/>
      </c>
      <c r="L81" s="11" t="str">
        <f aca="false">IF($A81="","",SUMIFS(全体!$AA$2:$AA$908,全体!$E$2:$E$908,$A81))</f>
        <v/>
      </c>
      <c r="M81" s="11" t="str">
        <f aca="false">IF($A81="","",SUMIFS(全体!$AH$2:$AH$908,全体!$E$2:$E$908,$A81))</f>
        <v/>
      </c>
    </row>
    <row r="82" customFormat="false" ht="15" hidden="false" customHeight="false" outlineLevel="0" collapsed="false">
      <c r="A82" s="8" t="str">
        <f aca="false">IF(担当者マスタ!A82="","",担当者マスタ!A82)</f>
        <v/>
      </c>
      <c r="B82" s="9" t="str">
        <f aca="false">IF(担当者マスタ!A82="","",担当者マスタ!B82)</f>
        <v/>
      </c>
      <c r="C82" s="9" t="str">
        <f aca="false">IF(担当者マスタ!A82="","",担当者マスタ!C82)</f>
        <v/>
      </c>
      <c r="D82" s="22" t="str">
        <f aca="false">IF($A82="","",COUNTIF(全体!$C$2:$C$908,$A82))</f>
        <v/>
      </c>
      <c r="E82" s="11" t="str">
        <f aca="false">IF($A82="","",SUMIFS(全体!$M$2:$M$908,全体!$C$2:$C$908,$A82))</f>
        <v/>
      </c>
      <c r="F82" s="11" t="str">
        <f aca="false">IF($A82="","",SUMIFS(全体!$T$2:$T$908,全体!$C$2:$C$908,$A82))</f>
        <v/>
      </c>
      <c r="G82" s="11" t="str">
        <f aca="false">IF($A82="","",SUMIFS(全体!$AA$2:$AA$908,全体!$C$2:$C$908,$A82))</f>
        <v/>
      </c>
      <c r="H82" s="11" t="str">
        <f aca="false">IF($A82="","",SUMIFS(全体!$AH$2:$AH$908,全体!$C$2:$C$908,$A82))</f>
        <v/>
      </c>
      <c r="I82" s="22" t="str">
        <f aca="false">IF($A82="","",COUNTIF(全体!$E$2:$E$908,$A82))</f>
        <v/>
      </c>
      <c r="J82" s="11" t="str">
        <f aca="false">IF($A82="","",SUMIFS(全体!$M$2:$M$908,全体!$E$2:$E$908,$A82))</f>
        <v/>
      </c>
      <c r="K82" s="11" t="str">
        <f aca="false">IF($A82="","",SUMIFS(全体!$T$2:$T$908,全体!$E$2:$E$908,$A82))</f>
        <v/>
      </c>
      <c r="L82" s="11" t="str">
        <f aca="false">IF($A82="","",SUMIFS(全体!$AA$2:$AA$908,全体!$E$2:$E$908,$A82))</f>
        <v/>
      </c>
      <c r="M82" s="11" t="str">
        <f aca="false">IF($A82="","",SUMIFS(全体!$AH$2:$AH$908,全体!$E$2:$E$908,$A82))</f>
        <v/>
      </c>
    </row>
    <row r="83" customFormat="false" ht="15" hidden="false" customHeight="false" outlineLevel="0" collapsed="false">
      <c r="A83" s="8" t="str">
        <f aca="false">IF(担当者マスタ!A83="","",担当者マスタ!A83)</f>
        <v/>
      </c>
      <c r="B83" s="9" t="str">
        <f aca="false">IF(担当者マスタ!A83="","",担当者マスタ!B83)</f>
        <v/>
      </c>
      <c r="C83" s="9" t="str">
        <f aca="false">IF(担当者マスタ!A83="","",担当者マスタ!C83)</f>
        <v/>
      </c>
      <c r="D83" s="22" t="str">
        <f aca="false">IF($A83="","",COUNTIF(全体!$C$2:$C$908,$A83))</f>
        <v/>
      </c>
      <c r="E83" s="11" t="str">
        <f aca="false">IF($A83="","",SUMIFS(全体!$M$2:$M$908,全体!$C$2:$C$908,$A83))</f>
        <v/>
      </c>
      <c r="F83" s="11" t="str">
        <f aca="false">IF($A83="","",SUMIFS(全体!$T$2:$T$908,全体!$C$2:$C$908,$A83))</f>
        <v/>
      </c>
      <c r="G83" s="11" t="str">
        <f aca="false">IF($A83="","",SUMIFS(全体!$AA$2:$AA$908,全体!$C$2:$C$908,$A83))</f>
        <v/>
      </c>
      <c r="H83" s="11" t="str">
        <f aca="false">IF($A83="","",SUMIFS(全体!$AH$2:$AH$908,全体!$C$2:$C$908,$A83))</f>
        <v/>
      </c>
      <c r="I83" s="22" t="str">
        <f aca="false">IF($A83="","",COUNTIF(全体!$E$2:$E$908,$A83))</f>
        <v/>
      </c>
      <c r="J83" s="11" t="str">
        <f aca="false">IF($A83="","",SUMIFS(全体!$M$2:$M$908,全体!$E$2:$E$908,$A83))</f>
        <v/>
      </c>
      <c r="K83" s="11" t="str">
        <f aca="false">IF($A83="","",SUMIFS(全体!$T$2:$T$908,全体!$E$2:$E$908,$A83))</f>
        <v/>
      </c>
      <c r="L83" s="11" t="str">
        <f aca="false">IF($A83="","",SUMIFS(全体!$AA$2:$AA$908,全体!$E$2:$E$908,$A83))</f>
        <v/>
      </c>
      <c r="M83" s="11" t="str">
        <f aca="false">IF($A83="","",SUMIFS(全体!$AH$2:$AH$908,全体!$E$2:$E$908,$A83))</f>
        <v/>
      </c>
    </row>
    <row r="84" customFormat="false" ht="15" hidden="false" customHeight="false" outlineLevel="0" collapsed="false">
      <c r="A84" s="8" t="str">
        <f aca="false">IF(担当者マスタ!A84="","",担当者マスタ!A84)</f>
        <v/>
      </c>
      <c r="B84" s="9" t="str">
        <f aca="false">IF(担当者マスタ!A84="","",担当者マスタ!B84)</f>
        <v/>
      </c>
      <c r="C84" s="9" t="str">
        <f aca="false">IF(担当者マスタ!A84="","",担当者マスタ!C84)</f>
        <v/>
      </c>
      <c r="D84" s="22" t="str">
        <f aca="false">IF($A84="","",COUNTIF(全体!$C$2:$C$908,$A84))</f>
        <v/>
      </c>
      <c r="E84" s="11" t="str">
        <f aca="false">IF($A84="","",SUMIFS(全体!$M$2:$M$908,全体!$C$2:$C$908,$A84))</f>
        <v/>
      </c>
      <c r="F84" s="11" t="str">
        <f aca="false">IF($A84="","",SUMIFS(全体!$T$2:$T$908,全体!$C$2:$C$908,$A84))</f>
        <v/>
      </c>
      <c r="G84" s="11" t="str">
        <f aca="false">IF($A84="","",SUMIFS(全体!$AA$2:$AA$908,全体!$C$2:$C$908,$A84))</f>
        <v/>
      </c>
      <c r="H84" s="11" t="str">
        <f aca="false">IF($A84="","",SUMIFS(全体!$AH$2:$AH$908,全体!$C$2:$C$908,$A84))</f>
        <v/>
      </c>
      <c r="I84" s="22" t="str">
        <f aca="false">IF($A84="","",COUNTIF(全体!$E$2:$E$908,$A84))</f>
        <v/>
      </c>
      <c r="J84" s="11" t="str">
        <f aca="false">IF($A84="","",SUMIFS(全体!$M$2:$M$908,全体!$E$2:$E$908,$A84))</f>
        <v/>
      </c>
      <c r="K84" s="11" t="str">
        <f aca="false">IF($A84="","",SUMIFS(全体!$T$2:$T$908,全体!$E$2:$E$908,$A84))</f>
        <v/>
      </c>
      <c r="L84" s="11" t="str">
        <f aca="false">IF($A84="","",SUMIFS(全体!$AA$2:$AA$908,全体!$E$2:$E$908,$A84))</f>
        <v/>
      </c>
      <c r="M84" s="11" t="str">
        <f aca="false">IF($A84="","",SUMIFS(全体!$AH$2:$AH$908,全体!$E$2:$E$908,$A84))</f>
        <v/>
      </c>
    </row>
    <row r="85" customFormat="false" ht="15" hidden="false" customHeight="false" outlineLevel="0" collapsed="false">
      <c r="A85" s="8" t="str">
        <f aca="false">IF(担当者マスタ!A85="","",担当者マスタ!A85)</f>
        <v/>
      </c>
      <c r="B85" s="9" t="str">
        <f aca="false">IF(担当者マスタ!A85="","",担当者マスタ!B85)</f>
        <v/>
      </c>
      <c r="C85" s="9" t="str">
        <f aca="false">IF(担当者マスタ!A85="","",担当者マスタ!C85)</f>
        <v/>
      </c>
      <c r="D85" s="22" t="str">
        <f aca="false">IF($A85="","",COUNTIF(全体!$C$2:$C$908,$A85))</f>
        <v/>
      </c>
      <c r="E85" s="11" t="str">
        <f aca="false">IF($A85="","",SUMIFS(全体!$M$2:$M$908,全体!$C$2:$C$908,$A85))</f>
        <v/>
      </c>
      <c r="F85" s="11" t="str">
        <f aca="false">IF($A85="","",SUMIFS(全体!$T$2:$T$908,全体!$C$2:$C$908,$A85))</f>
        <v/>
      </c>
      <c r="G85" s="11" t="str">
        <f aca="false">IF($A85="","",SUMIFS(全体!$AA$2:$AA$908,全体!$C$2:$C$908,$A85))</f>
        <v/>
      </c>
      <c r="H85" s="11" t="str">
        <f aca="false">IF($A85="","",SUMIFS(全体!$AH$2:$AH$908,全体!$C$2:$C$908,$A85))</f>
        <v/>
      </c>
      <c r="I85" s="22" t="str">
        <f aca="false">IF($A85="","",COUNTIF(全体!$E$2:$E$908,$A85))</f>
        <v/>
      </c>
      <c r="J85" s="11" t="str">
        <f aca="false">IF($A85="","",SUMIFS(全体!$M$2:$M$908,全体!$E$2:$E$908,$A85))</f>
        <v/>
      </c>
      <c r="K85" s="11" t="str">
        <f aca="false">IF($A85="","",SUMIFS(全体!$T$2:$T$908,全体!$E$2:$E$908,$A85))</f>
        <v/>
      </c>
      <c r="L85" s="11" t="str">
        <f aca="false">IF($A85="","",SUMIFS(全体!$AA$2:$AA$908,全体!$E$2:$E$908,$A85))</f>
        <v/>
      </c>
      <c r="M85" s="11" t="str">
        <f aca="false">IF($A85="","",SUMIFS(全体!$AH$2:$AH$908,全体!$E$2:$E$908,$A85))</f>
        <v/>
      </c>
    </row>
    <row r="86" customFormat="false" ht="15" hidden="false" customHeight="false" outlineLevel="0" collapsed="false">
      <c r="A86" s="8" t="str">
        <f aca="false">IF(担当者マスタ!A86="","",担当者マスタ!A86)</f>
        <v/>
      </c>
      <c r="B86" s="9" t="str">
        <f aca="false">IF(担当者マスタ!A86="","",担当者マスタ!B86)</f>
        <v/>
      </c>
      <c r="C86" s="9" t="str">
        <f aca="false">IF(担当者マスタ!A86="","",担当者マスタ!C86)</f>
        <v/>
      </c>
      <c r="D86" s="22" t="str">
        <f aca="false">IF($A86="","",COUNTIF(全体!$C$2:$C$908,$A86))</f>
        <v/>
      </c>
      <c r="E86" s="11" t="str">
        <f aca="false">IF($A86="","",SUMIFS(全体!$M$2:$M$908,全体!$C$2:$C$908,$A86))</f>
        <v/>
      </c>
      <c r="F86" s="11" t="str">
        <f aca="false">IF($A86="","",SUMIFS(全体!$T$2:$T$908,全体!$C$2:$C$908,$A86))</f>
        <v/>
      </c>
      <c r="G86" s="11" t="str">
        <f aca="false">IF($A86="","",SUMIFS(全体!$AA$2:$AA$908,全体!$C$2:$C$908,$A86))</f>
        <v/>
      </c>
      <c r="H86" s="11" t="str">
        <f aca="false">IF($A86="","",SUMIFS(全体!$AH$2:$AH$908,全体!$C$2:$C$908,$A86))</f>
        <v/>
      </c>
      <c r="I86" s="22" t="str">
        <f aca="false">IF($A86="","",COUNTIF(全体!$E$2:$E$908,$A86))</f>
        <v/>
      </c>
      <c r="J86" s="11" t="str">
        <f aca="false">IF($A86="","",SUMIFS(全体!$M$2:$M$908,全体!$E$2:$E$908,$A86))</f>
        <v/>
      </c>
      <c r="K86" s="11" t="str">
        <f aca="false">IF($A86="","",SUMIFS(全体!$T$2:$T$908,全体!$E$2:$E$908,$A86))</f>
        <v/>
      </c>
      <c r="L86" s="11" t="str">
        <f aca="false">IF($A86="","",SUMIFS(全体!$AA$2:$AA$908,全体!$E$2:$E$908,$A86))</f>
        <v/>
      </c>
      <c r="M86" s="11" t="str">
        <f aca="false">IF($A86="","",SUMIFS(全体!$AH$2:$AH$908,全体!$E$2:$E$908,$A86))</f>
        <v/>
      </c>
    </row>
    <row r="87" customFormat="false" ht="15" hidden="false" customHeight="false" outlineLevel="0" collapsed="false">
      <c r="A87" s="8" t="str">
        <f aca="false">IF(担当者マスタ!A87="","",担当者マスタ!A87)</f>
        <v/>
      </c>
      <c r="B87" s="9" t="str">
        <f aca="false">IF(担当者マスタ!A87="","",担当者マスタ!B87)</f>
        <v/>
      </c>
      <c r="C87" s="9" t="str">
        <f aca="false">IF(担当者マスタ!A87="","",担当者マスタ!C87)</f>
        <v/>
      </c>
      <c r="D87" s="22" t="str">
        <f aca="false">IF($A87="","",COUNTIF(全体!$C$2:$C$908,$A87))</f>
        <v/>
      </c>
      <c r="E87" s="11" t="str">
        <f aca="false">IF($A87="","",SUMIFS(全体!$M$2:$M$908,全体!$C$2:$C$908,$A87))</f>
        <v/>
      </c>
      <c r="F87" s="11" t="str">
        <f aca="false">IF($A87="","",SUMIFS(全体!$T$2:$T$908,全体!$C$2:$C$908,$A87))</f>
        <v/>
      </c>
      <c r="G87" s="11" t="str">
        <f aca="false">IF($A87="","",SUMIFS(全体!$AA$2:$AA$908,全体!$C$2:$C$908,$A87))</f>
        <v/>
      </c>
      <c r="H87" s="11" t="str">
        <f aca="false">IF($A87="","",SUMIFS(全体!$AH$2:$AH$908,全体!$C$2:$C$908,$A87))</f>
        <v/>
      </c>
      <c r="I87" s="22" t="str">
        <f aca="false">IF($A87="","",COUNTIF(全体!$E$2:$E$908,$A87))</f>
        <v/>
      </c>
      <c r="J87" s="11" t="str">
        <f aca="false">IF($A87="","",SUMIFS(全体!$M$2:$M$908,全体!$E$2:$E$908,$A87))</f>
        <v/>
      </c>
      <c r="K87" s="11" t="str">
        <f aca="false">IF($A87="","",SUMIFS(全体!$T$2:$T$908,全体!$E$2:$E$908,$A87))</f>
        <v/>
      </c>
      <c r="L87" s="11" t="str">
        <f aca="false">IF($A87="","",SUMIFS(全体!$AA$2:$AA$908,全体!$E$2:$E$908,$A87))</f>
        <v/>
      </c>
      <c r="M87" s="11" t="str">
        <f aca="false">IF($A87="","",SUMIFS(全体!$AH$2:$AH$908,全体!$E$2:$E$908,$A87))</f>
        <v/>
      </c>
    </row>
    <row r="88" customFormat="false" ht="15" hidden="false" customHeight="false" outlineLevel="0" collapsed="false">
      <c r="A88" s="8" t="str">
        <f aca="false">IF(担当者マスタ!A88="","",担当者マスタ!A88)</f>
        <v/>
      </c>
      <c r="B88" s="9" t="str">
        <f aca="false">IF(担当者マスタ!A88="","",担当者マスタ!B88)</f>
        <v/>
      </c>
      <c r="C88" s="9" t="str">
        <f aca="false">IF(担当者マスタ!A88="","",担当者マスタ!C88)</f>
        <v/>
      </c>
      <c r="D88" s="22" t="str">
        <f aca="false">IF($A88="","",COUNTIF(全体!$C$2:$C$908,$A88))</f>
        <v/>
      </c>
      <c r="E88" s="11" t="str">
        <f aca="false">IF($A88="","",SUMIFS(全体!$M$2:$M$908,全体!$C$2:$C$908,$A88))</f>
        <v/>
      </c>
      <c r="F88" s="11" t="str">
        <f aca="false">IF($A88="","",SUMIFS(全体!$T$2:$T$908,全体!$C$2:$C$908,$A88))</f>
        <v/>
      </c>
      <c r="G88" s="11" t="str">
        <f aca="false">IF($A88="","",SUMIFS(全体!$AA$2:$AA$908,全体!$C$2:$C$908,$A88))</f>
        <v/>
      </c>
      <c r="H88" s="11" t="str">
        <f aca="false">IF($A88="","",SUMIFS(全体!$AH$2:$AH$908,全体!$C$2:$C$908,$A88))</f>
        <v/>
      </c>
      <c r="I88" s="22" t="str">
        <f aca="false">IF($A88="","",COUNTIF(全体!$E$2:$E$908,$A88))</f>
        <v/>
      </c>
      <c r="J88" s="11" t="str">
        <f aca="false">IF($A88="","",SUMIFS(全体!$M$2:$M$908,全体!$E$2:$E$908,$A88))</f>
        <v/>
      </c>
      <c r="K88" s="11" t="str">
        <f aca="false">IF($A88="","",SUMIFS(全体!$T$2:$T$908,全体!$E$2:$E$908,$A88))</f>
        <v/>
      </c>
      <c r="L88" s="11" t="str">
        <f aca="false">IF($A88="","",SUMIFS(全体!$AA$2:$AA$908,全体!$E$2:$E$908,$A88))</f>
        <v/>
      </c>
      <c r="M88" s="11" t="str">
        <f aca="false">IF($A88="","",SUMIFS(全体!$AH$2:$AH$908,全体!$E$2:$E$908,$A88))</f>
        <v/>
      </c>
    </row>
    <row r="89" customFormat="false" ht="15" hidden="false" customHeight="false" outlineLevel="0" collapsed="false">
      <c r="A89" s="8" t="str">
        <f aca="false">IF(担当者マスタ!A89="","",担当者マスタ!A89)</f>
        <v/>
      </c>
      <c r="B89" s="9" t="str">
        <f aca="false">IF(担当者マスタ!A89="","",担当者マスタ!B89)</f>
        <v/>
      </c>
      <c r="C89" s="9" t="str">
        <f aca="false">IF(担当者マスタ!A89="","",担当者マスタ!C89)</f>
        <v/>
      </c>
      <c r="D89" s="22" t="str">
        <f aca="false">IF($A89="","",COUNTIF(全体!$C$2:$C$908,$A89))</f>
        <v/>
      </c>
      <c r="E89" s="11" t="str">
        <f aca="false">IF($A89="","",SUMIFS(全体!$M$2:$M$908,全体!$C$2:$C$908,$A89))</f>
        <v/>
      </c>
      <c r="F89" s="11" t="str">
        <f aca="false">IF($A89="","",SUMIFS(全体!$T$2:$T$908,全体!$C$2:$C$908,$A89))</f>
        <v/>
      </c>
      <c r="G89" s="11" t="str">
        <f aca="false">IF($A89="","",SUMIFS(全体!$AA$2:$AA$908,全体!$C$2:$C$908,$A89))</f>
        <v/>
      </c>
      <c r="H89" s="11" t="str">
        <f aca="false">IF($A89="","",SUMIFS(全体!$AH$2:$AH$908,全体!$C$2:$C$908,$A89))</f>
        <v/>
      </c>
      <c r="I89" s="22" t="str">
        <f aca="false">IF($A89="","",COUNTIF(全体!$E$2:$E$908,$A89))</f>
        <v/>
      </c>
      <c r="J89" s="11" t="str">
        <f aca="false">IF($A89="","",SUMIFS(全体!$M$2:$M$908,全体!$E$2:$E$908,$A89))</f>
        <v/>
      </c>
      <c r="K89" s="11" t="str">
        <f aca="false">IF($A89="","",SUMIFS(全体!$T$2:$T$908,全体!$E$2:$E$908,$A89))</f>
        <v/>
      </c>
      <c r="L89" s="11" t="str">
        <f aca="false">IF($A89="","",SUMIFS(全体!$AA$2:$AA$908,全体!$E$2:$E$908,$A89))</f>
        <v/>
      </c>
      <c r="M89" s="11" t="str">
        <f aca="false">IF($A89="","",SUMIFS(全体!$AH$2:$AH$908,全体!$E$2:$E$908,$A89))</f>
        <v/>
      </c>
    </row>
    <row r="90" customFormat="false" ht="15" hidden="false" customHeight="false" outlineLevel="0" collapsed="false">
      <c r="A90" s="8" t="str">
        <f aca="false">IF(担当者マスタ!A90="","",担当者マスタ!A90)</f>
        <v/>
      </c>
      <c r="B90" s="9" t="str">
        <f aca="false">IF(担当者マスタ!A90="","",担当者マスタ!B90)</f>
        <v/>
      </c>
      <c r="C90" s="9" t="str">
        <f aca="false">IF(担当者マスタ!A90="","",担当者マスタ!C90)</f>
        <v/>
      </c>
      <c r="D90" s="22" t="str">
        <f aca="false">IF($A90="","",COUNTIF(全体!$C$2:$C$908,$A90))</f>
        <v/>
      </c>
      <c r="E90" s="11" t="str">
        <f aca="false">IF($A90="","",SUMIFS(全体!$M$2:$M$908,全体!$C$2:$C$908,$A90))</f>
        <v/>
      </c>
      <c r="F90" s="11" t="str">
        <f aca="false">IF($A90="","",SUMIFS(全体!$T$2:$T$908,全体!$C$2:$C$908,$A90))</f>
        <v/>
      </c>
      <c r="G90" s="11" t="str">
        <f aca="false">IF($A90="","",SUMIFS(全体!$AA$2:$AA$908,全体!$C$2:$C$908,$A90))</f>
        <v/>
      </c>
      <c r="H90" s="11" t="str">
        <f aca="false">IF($A90="","",SUMIFS(全体!$AH$2:$AH$908,全体!$C$2:$C$908,$A90))</f>
        <v/>
      </c>
      <c r="I90" s="22" t="str">
        <f aca="false">IF($A90="","",COUNTIF(全体!$E$2:$E$908,$A90))</f>
        <v/>
      </c>
      <c r="J90" s="11" t="str">
        <f aca="false">IF($A90="","",SUMIFS(全体!$M$2:$M$908,全体!$E$2:$E$908,$A90))</f>
        <v/>
      </c>
      <c r="K90" s="11" t="str">
        <f aca="false">IF($A90="","",SUMIFS(全体!$T$2:$T$908,全体!$E$2:$E$908,$A90))</f>
        <v/>
      </c>
      <c r="L90" s="11" t="str">
        <f aca="false">IF($A90="","",SUMIFS(全体!$AA$2:$AA$908,全体!$E$2:$E$908,$A90))</f>
        <v/>
      </c>
      <c r="M90" s="11" t="str">
        <f aca="false">IF($A90="","",SUMIFS(全体!$AH$2:$AH$908,全体!$E$2:$E$908,$A90))</f>
        <v/>
      </c>
    </row>
    <row r="91" customFormat="false" ht="15" hidden="false" customHeight="false" outlineLevel="0" collapsed="false">
      <c r="A91" s="8" t="str">
        <f aca="false">IF(担当者マスタ!A91="","",担当者マスタ!A91)</f>
        <v/>
      </c>
      <c r="B91" s="9" t="str">
        <f aca="false">IF(担当者マスタ!A91="","",担当者マスタ!B91)</f>
        <v/>
      </c>
      <c r="C91" s="9" t="str">
        <f aca="false">IF(担当者マスタ!A91="","",担当者マスタ!C91)</f>
        <v/>
      </c>
      <c r="D91" s="22" t="str">
        <f aca="false">IF($A91="","",COUNTIF(全体!$C$2:$C$908,$A91))</f>
        <v/>
      </c>
      <c r="E91" s="11" t="str">
        <f aca="false">IF($A91="","",SUMIFS(全体!$M$2:$M$908,全体!$C$2:$C$908,$A91))</f>
        <v/>
      </c>
      <c r="F91" s="11" t="str">
        <f aca="false">IF($A91="","",SUMIFS(全体!$T$2:$T$908,全体!$C$2:$C$908,$A91))</f>
        <v/>
      </c>
      <c r="G91" s="11" t="str">
        <f aca="false">IF($A91="","",SUMIFS(全体!$AA$2:$AA$908,全体!$C$2:$C$908,$A91))</f>
        <v/>
      </c>
      <c r="H91" s="11" t="str">
        <f aca="false">IF($A91="","",SUMIFS(全体!$AH$2:$AH$908,全体!$C$2:$C$908,$A91))</f>
        <v/>
      </c>
      <c r="I91" s="22" t="str">
        <f aca="false">IF($A91="","",COUNTIF(全体!$E$2:$E$908,$A91))</f>
        <v/>
      </c>
      <c r="J91" s="11" t="str">
        <f aca="false">IF($A91="","",SUMIFS(全体!$M$2:$M$908,全体!$E$2:$E$908,$A91))</f>
        <v/>
      </c>
      <c r="K91" s="11" t="str">
        <f aca="false">IF($A91="","",SUMIFS(全体!$T$2:$T$908,全体!$E$2:$E$908,$A91))</f>
        <v/>
      </c>
      <c r="L91" s="11" t="str">
        <f aca="false">IF($A91="","",SUMIFS(全体!$AA$2:$AA$908,全体!$E$2:$E$908,$A91))</f>
        <v/>
      </c>
      <c r="M91" s="11" t="str">
        <f aca="false">IF($A91="","",SUMIFS(全体!$AH$2:$AH$908,全体!$E$2:$E$908,$A91))</f>
        <v/>
      </c>
    </row>
    <row r="92" customFormat="false" ht="15" hidden="false" customHeight="false" outlineLevel="0" collapsed="false">
      <c r="A92" s="8" t="str">
        <f aca="false">IF(担当者マスタ!A92="","",担当者マスタ!A92)</f>
        <v/>
      </c>
      <c r="B92" s="9" t="str">
        <f aca="false">IF(担当者マスタ!A92="","",担当者マスタ!B92)</f>
        <v/>
      </c>
      <c r="C92" s="9" t="str">
        <f aca="false">IF(担当者マスタ!A92="","",担当者マスタ!C92)</f>
        <v/>
      </c>
      <c r="D92" s="22" t="str">
        <f aca="false">IF($A92="","",COUNTIF(全体!$C$2:$C$908,$A92))</f>
        <v/>
      </c>
      <c r="E92" s="11" t="str">
        <f aca="false">IF($A92="","",SUMIFS(全体!$M$2:$M$908,全体!$C$2:$C$908,$A92))</f>
        <v/>
      </c>
      <c r="F92" s="11" t="str">
        <f aca="false">IF($A92="","",SUMIFS(全体!$T$2:$T$908,全体!$C$2:$C$908,$A92))</f>
        <v/>
      </c>
      <c r="G92" s="11" t="str">
        <f aca="false">IF($A92="","",SUMIFS(全体!$AA$2:$AA$908,全体!$C$2:$C$908,$A92))</f>
        <v/>
      </c>
      <c r="H92" s="11" t="str">
        <f aca="false">IF($A92="","",SUMIFS(全体!$AH$2:$AH$908,全体!$C$2:$C$908,$A92))</f>
        <v/>
      </c>
      <c r="I92" s="22" t="str">
        <f aca="false">IF($A92="","",COUNTIF(全体!$E$2:$E$908,$A92))</f>
        <v/>
      </c>
      <c r="J92" s="11" t="str">
        <f aca="false">IF($A92="","",SUMIFS(全体!$M$2:$M$908,全体!$E$2:$E$908,$A92))</f>
        <v/>
      </c>
      <c r="K92" s="11" t="str">
        <f aca="false">IF($A92="","",SUMIFS(全体!$T$2:$T$908,全体!$E$2:$E$908,$A92))</f>
        <v/>
      </c>
      <c r="L92" s="11" t="str">
        <f aca="false">IF($A92="","",SUMIFS(全体!$AA$2:$AA$908,全体!$E$2:$E$908,$A92))</f>
        <v/>
      </c>
      <c r="M92" s="11" t="str">
        <f aca="false">IF($A92="","",SUMIFS(全体!$AH$2:$AH$908,全体!$E$2:$E$908,$A92))</f>
        <v/>
      </c>
    </row>
    <row r="93" customFormat="false" ht="15" hidden="false" customHeight="false" outlineLevel="0" collapsed="false">
      <c r="A93" s="8" t="str">
        <f aca="false">IF(担当者マスタ!A93="","",担当者マスタ!A93)</f>
        <v/>
      </c>
      <c r="B93" s="9" t="str">
        <f aca="false">IF(担当者マスタ!A93="","",担当者マスタ!B93)</f>
        <v/>
      </c>
      <c r="C93" s="9" t="str">
        <f aca="false">IF(担当者マスタ!A93="","",担当者マスタ!C93)</f>
        <v/>
      </c>
      <c r="D93" s="22" t="str">
        <f aca="false">IF($A93="","",COUNTIF(全体!$C$2:$C$908,$A93))</f>
        <v/>
      </c>
      <c r="E93" s="11" t="str">
        <f aca="false">IF($A93="","",SUMIFS(全体!$M$2:$M$908,全体!$C$2:$C$908,$A93))</f>
        <v/>
      </c>
      <c r="F93" s="11" t="str">
        <f aca="false">IF($A93="","",SUMIFS(全体!$T$2:$T$908,全体!$C$2:$C$908,$A93))</f>
        <v/>
      </c>
      <c r="G93" s="11" t="str">
        <f aca="false">IF($A93="","",SUMIFS(全体!$AA$2:$AA$908,全体!$C$2:$C$908,$A93))</f>
        <v/>
      </c>
      <c r="H93" s="11" t="str">
        <f aca="false">IF($A93="","",SUMIFS(全体!$AH$2:$AH$908,全体!$C$2:$C$908,$A93))</f>
        <v/>
      </c>
      <c r="I93" s="22" t="str">
        <f aca="false">IF($A93="","",COUNTIF(全体!$E$2:$E$908,$A93))</f>
        <v/>
      </c>
      <c r="J93" s="11" t="str">
        <f aca="false">IF($A93="","",SUMIFS(全体!$M$2:$M$908,全体!$E$2:$E$908,$A93))</f>
        <v/>
      </c>
      <c r="K93" s="11" t="str">
        <f aca="false">IF($A93="","",SUMIFS(全体!$T$2:$T$908,全体!$E$2:$E$908,$A93))</f>
        <v/>
      </c>
      <c r="L93" s="11" t="str">
        <f aca="false">IF($A93="","",SUMIFS(全体!$AA$2:$AA$908,全体!$E$2:$E$908,$A93))</f>
        <v/>
      </c>
      <c r="M93" s="11" t="str">
        <f aca="false">IF($A93="","",SUMIFS(全体!$AH$2:$AH$908,全体!$E$2:$E$908,$A93))</f>
        <v/>
      </c>
    </row>
    <row r="94" customFormat="false" ht="15" hidden="false" customHeight="false" outlineLevel="0" collapsed="false">
      <c r="A94" s="8" t="str">
        <f aca="false">IF(担当者マスタ!A94="","",担当者マスタ!A94)</f>
        <v/>
      </c>
      <c r="B94" s="9" t="str">
        <f aca="false">IF(担当者マスタ!A94="","",担当者マスタ!B94)</f>
        <v/>
      </c>
      <c r="C94" s="9" t="str">
        <f aca="false">IF(担当者マスタ!A94="","",担当者マスタ!C94)</f>
        <v/>
      </c>
      <c r="D94" s="22" t="str">
        <f aca="false">IF($A94="","",COUNTIF(全体!$C$2:$C$908,$A94))</f>
        <v/>
      </c>
      <c r="E94" s="11" t="str">
        <f aca="false">IF($A94="","",SUMIFS(全体!$M$2:$M$908,全体!$C$2:$C$908,$A94))</f>
        <v/>
      </c>
      <c r="F94" s="11" t="str">
        <f aca="false">IF($A94="","",SUMIFS(全体!$T$2:$T$908,全体!$C$2:$C$908,$A94))</f>
        <v/>
      </c>
      <c r="G94" s="11" t="str">
        <f aca="false">IF($A94="","",SUMIFS(全体!$AA$2:$AA$908,全体!$C$2:$C$908,$A94))</f>
        <v/>
      </c>
      <c r="H94" s="11" t="str">
        <f aca="false">IF($A94="","",SUMIFS(全体!$AH$2:$AH$908,全体!$C$2:$C$908,$A94))</f>
        <v/>
      </c>
      <c r="I94" s="22" t="str">
        <f aca="false">IF($A94="","",COUNTIF(全体!$E$2:$E$908,$A94))</f>
        <v/>
      </c>
      <c r="J94" s="11" t="str">
        <f aca="false">IF($A94="","",SUMIFS(全体!$M$2:$M$908,全体!$E$2:$E$908,$A94))</f>
        <v/>
      </c>
      <c r="K94" s="11" t="str">
        <f aca="false">IF($A94="","",SUMIFS(全体!$T$2:$T$908,全体!$E$2:$E$908,$A94))</f>
        <v/>
      </c>
      <c r="L94" s="11" t="str">
        <f aca="false">IF($A94="","",SUMIFS(全体!$AA$2:$AA$908,全体!$E$2:$E$908,$A94))</f>
        <v/>
      </c>
      <c r="M94" s="11" t="str">
        <f aca="false">IF($A94="","",SUMIFS(全体!$AH$2:$AH$908,全体!$E$2:$E$908,$A94))</f>
        <v/>
      </c>
    </row>
    <row r="95" customFormat="false" ht="15" hidden="false" customHeight="false" outlineLevel="0" collapsed="false">
      <c r="A95" s="8" t="str">
        <f aca="false">IF(担当者マスタ!A95="","",担当者マスタ!A95)</f>
        <v/>
      </c>
      <c r="B95" s="9" t="str">
        <f aca="false">IF(担当者マスタ!A95="","",担当者マスタ!B95)</f>
        <v/>
      </c>
      <c r="C95" s="9" t="str">
        <f aca="false">IF(担当者マスタ!A95="","",担当者マスタ!C95)</f>
        <v/>
      </c>
      <c r="D95" s="22" t="str">
        <f aca="false">IF($A95="","",COUNTIF(全体!$C$2:$C$908,$A95))</f>
        <v/>
      </c>
      <c r="E95" s="11" t="str">
        <f aca="false">IF($A95="","",SUMIFS(全体!$M$2:$M$908,全体!$C$2:$C$908,$A95))</f>
        <v/>
      </c>
      <c r="F95" s="11" t="str">
        <f aca="false">IF($A95="","",SUMIFS(全体!$T$2:$T$908,全体!$C$2:$C$908,$A95))</f>
        <v/>
      </c>
      <c r="G95" s="11" t="str">
        <f aca="false">IF($A95="","",SUMIFS(全体!$AA$2:$AA$908,全体!$C$2:$C$908,$A95))</f>
        <v/>
      </c>
      <c r="H95" s="11" t="str">
        <f aca="false">IF($A95="","",SUMIFS(全体!$AH$2:$AH$908,全体!$C$2:$C$908,$A95))</f>
        <v/>
      </c>
      <c r="I95" s="22" t="str">
        <f aca="false">IF($A95="","",COUNTIF(全体!$E$2:$E$908,$A95))</f>
        <v/>
      </c>
      <c r="J95" s="11" t="str">
        <f aca="false">IF($A95="","",SUMIFS(全体!$M$2:$M$908,全体!$E$2:$E$908,$A95))</f>
        <v/>
      </c>
      <c r="K95" s="11" t="str">
        <f aca="false">IF($A95="","",SUMIFS(全体!$T$2:$T$908,全体!$E$2:$E$908,$A95))</f>
        <v/>
      </c>
      <c r="L95" s="11" t="str">
        <f aca="false">IF($A95="","",SUMIFS(全体!$AA$2:$AA$908,全体!$E$2:$E$908,$A95))</f>
        <v/>
      </c>
      <c r="M95" s="11" t="str">
        <f aca="false">IF($A95="","",SUMIFS(全体!$AH$2:$AH$908,全体!$E$2:$E$908,$A95))</f>
        <v/>
      </c>
    </row>
    <row r="96" customFormat="false" ht="15" hidden="false" customHeight="false" outlineLevel="0" collapsed="false">
      <c r="A96" s="8" t="str">
        <f aca="false">IF(担当者マスタ!A96="","",担当者マスタ!A96)</f>
        <v/>
      </c>
      <c r="B96" s="9" t="str">
        <f aca="false">IF(担当者マスタ!A96="","",担当者マスタ!B96)</f>
        <v/>
      </c>
      <c r="C96" s="9" t="str">
        <f aca="false">IF(担当者マスタ!A96="","",担当者マスタ!C96)</f>
        <v/>
      </c>
      <c r="D96" s="22" t="str">
        <f aca="false">IF($A96="","",COUNTIF(全体!$C$2:$C$908,$A96))</f>
        <v/>
      </c>
      <c r="E96" s="11" t="str">
        <f aca="false">IF($A96="","",SUMIFS(全体!$M$2:$M$908,全体!$C$2:$C$908,$A96))</f>
        <v/>
      </c>
      <c r="F96" s="11" t="str">
        <f aca="false">IF($A96="","",SUMIFS(全体!$T$2:$T$908,全体!$C$2:$C$908,$A96))</f>
        <v/>
      </c>
      <c r="G96" s="11" t="str">
        <f aca="false">IF($A96="","",SUMIFS(全体!$AA$2:$AA$908,全体!$C$2:$C$908,$A96))</f>
        <v/>
      </c>
      <c r="H96" s="11" t="str">
        <f aca="false">IF($A96="","",SUMIFS(全体!$AH$2:$AH$908,全体!$C$2:$C$908,$A96))</f>
        <v/>
      </c>
      <c r="I96" s="22" t="str">
        <f aca="false">IF($A96="","",COUNTIF(全体!$E$2:$E$908,$A96))</f>
        <v/>
      </c>
      <c r="J96" s="11" t="str">
        <f aca="false">IF($A96="","",SUMIFS(全体!$M$2:$M$908,全体!$E$2:$E$908,$A96))</f>
        <v/>
      </c>
      <c r="K96" s="11" t="str">
        <f aca="false">IF($A96="","",SUMIFS(全体!$T$2:$T$908,全体!$E$2:$E$908,$A96))</f>
        <v/>
      </c>
      <c r="L96" s="11" t="str">
        <f aca="false">IF($A96="","",SUMIFS(全体!$AA$2:$AA$908,全体!$E$2:$E$908,$A96))</f>
        <v/>
      </c>
      <c r="M96" s="11" t="str">
        <f aca="false">IF($A96="","",SUMIFS(全体!$AH$2:$AH$908,全体!$E$2:$E$908,$A96))</f>
        <v/>
      </c>
    </row>
    <row r="97" customFormat="false" ht="15" hidden="false" customHeight="false" outlineLevel="0" collapsed="false">
      <c r="A97" s="8" t="str">
        <f aca="false">IF(担当者マスタ!A97="","",担当者マスタ!A97)</f>
        <v/>
      </c>
      <c r="B97" s="9" t="str">
        <f aca="false">IF(担当者マスタ!A97="","",担当者マスタ!B97)</f>
        <v/>
      </c>
      <c r="C97" s="9" t="str">
        <f aca="false">IF(担当者マスタ!A97="","",担当者マスタ!C97)</f>
        <v/>
      </c>
      <c r="D97" s="22" t="str">
        <f aca="false">IF($A97="","",COUNTIF(全体!$C$2:$C$908,$A97))</f>
        <v/>
      </c>
      <c r="E97" s="11" t="str">
        <f aca="false">IF($A97="","",SUMIFS(全体!$M$2:$M$908,全体!$C$2:$C$908,$A97))</f>
        <v/>
      </c>
      <c r="F97" s="11" t="str">
        <f aca="false">IF($A97="","",SUMIFS(全体!$T$2:$T$908,全体!$C$2:$C$908,$A97))</f>
        <v/>
      </c>
      <c r="G97" s="11" t="str">
        <f aca="false">IF($A97="","",SUMIFS(全体!$AA$2:$AA$908,全体!$C$2:$C$908,$A97))</f>
        <v/>
      </c>
      <c r="H97" s="11" t="str">
        <f aca="false">IF($A97="","",SUMIFS(全体!$AH$2:$AH$908,全体!$C$2:$C$908,$A97))</f>
        <v/>
      </c>
      <c r="I97" s="22" t="str">
        <f aca="false">IF($A97="","",COUNTIF(全体!$E$2:$E$908,$A97))</f>
        <v/>
      </c>
      <c r="J97" s="11" t="str">
        <f aca="false">IF($A97="","",SUMIFS(全体!$M$2:$M$908,全体!$E$2:$E$908,$A97))</f>
        <v/>
      </c>
      <c r="K97" s="11" t="str">
        <f aca="false">IF($A97="","",SUMIFS(全体!$T$2:$T$908,全体!$E$2:$E$908,$A97))</f>
        <v/>
      </c>
      <c r="L97" s="11" t="str">
        <f aca="false">IF($A97="","",SUMIFS(全体!$AA$2:$AA$908,全体!$E$2:$E$908,$A97))</f>
        <v/>
      </c>
      <c r="M97" s="11" t="str">
        <f aca="false">IF($A97="","",SUMIFS(全体!$AH$2:$AH$908,全体!$E$2:$E$908,$A97))</f>
        <v/>
      </c>
    </row>
    <row r="98" customFormat="false" ht="15" hidden="false" customHeight="false" outlineLevel="0" collapsed="false">
      <c r="A98" s="8" t="str">
        <f aca="false">IF(担当者マスタ!A98="","",担当者マスタ!A98)</f>
        <v/>
      </c>
      <c r="B98" s="9" t="str">
        <f aca="false">IF(担当者マスタ!A98="","",担当者マスタ!B98)</f>
        <v/>
      </c>
      <c r="C98" s="9" t="str">
        <f aca="false">IF(担当者マスタ!A98="","",担当者マスタ!C98)</f>
        <v/>
      </c>
      <c r="D98" s="22" t="str">
        <f aca="false">IF($A98="","",COUNTIF(全体!$C$2:$C$908,$A98))</f>
        <v/>
      </c>
      <c r="E98" s="11" t="str">
        <f aca="false">IF($A98="","",SUMIFS(全体!$M$2:$M$908,全体!$C$2:$C$908,$A98))</f>
        <v/>
      </c>
      <c r="F98" s="11" t="str">
        <f aca="false">IF($A98="","",SUMIFS(全体!$T$2:$T$908,全体!$C$2:$C$908,$A98))</f>
        <v/>
      </c>
      <c r="G98" s="11" t="str">
        <f aca="false">IF($A98="","",SUMIFS(全体!$AA$2:$AA$908,全体!$C$2:$C$908,$A98))</f>
        <v/>
      </c>
      <c r="H98" s="11" t="str">
        <f aca="false">IF($A98="","",SUMIFS(全体!$AH$2:$AH$908,全体!$C$2:$C$908,$A98))</f>
        <v/>
      </c>
      <c r="I98" s="22" t="str">
        <f aca="false">IF($A98="","",COUNTIF(全体!$E$2:$E$908,$A98))</f>
        <v/>
      </c>
      <c r="J98" s="11" t="str">
        <f aca="false">IF($A98="","",SUMIFS(全体!$M$2:$M$908,全体!$E$2:$E$908,$A98))</f>
        <v/>
      </c>
      <c r="K98" s="11" t="str">
        <f aca="false">IF($A98="","",SUMIFS(全体!$T$2:$T$908,全体!$E$2:$E$908,$A98))</f>
        <v/>
      </c>
      <c r="L98" s="11" t="str">
        <f aca="false">IF($A98="","",SUMIFS(全体!$AA$2:$AA$908,全体!$E$2:$E$908,$A98))</f>
        <v/>
      </c>
      <c r="M98" s="11" t="str">
        <f aca="false">IF($A98="","",SUMIFS(全体!$AH$2:$AH$908,全体!$E$2:$E$908,$A98))</f>
        <v/>
      </c>
    </row>
    <row r="99" customFormat="false" ht="15" hidden="false" customHeight="false" outlineLevel="0" collapsed="false">
      <c r="A99" s="8" t="str">
        <f aca="false">IF(担当者マスタ!A99="","",担当者マスタ!A99)</f>
        <v/>
      </c>
      <c r="B99" s="9" t="str">
        <f aca="false">IF(担当者マスタ!A99="","",担当者マスタ!B99)</f>
        <v/>
      </c>
      <c r="C99" s="9" t="str">
        <f aca="false">IF(担当者マスタ!A99="","",担当者マスタ!C99)</f>
        <v/>
      </c>
      <c r="D99" s="22" t="str">
        <f aca="false">IF($A99="","",COUNTIF(全体!$C$2:$C$908,$A99))</f>
        <v/>
      </c>
      <c r="E99" s="11" t="str">
        <f aca="false">IF($A99="","",SUMIFS(全体!$M$2:$M$908,全体!$C$2:$C$908,$A99))</f>
        <v/>
      </c>
      <c r="F99" s="11" t="str">
        <f aca="false">IF($A99="","",SUMIFS(全体!$T$2:$T$908,全体!$C$2:$C$908,$A99))</f>
        <v/>
      </c>
      <c r="G99" s="11" t="str">
        <f aca="false">IF($A99="","",SUMIFS(全体!$AA$2:$AA$908,全体!$C$2:$C$908,$A99))</f>
        <v/>
      </c>
      <c r="H99" s="11" t="str">
        <f aca="false">IF($A99="","",SUMIFS(全体!$AH$2:$AH$908,全体!$C$2:$C$908,$A99))</f>
        <v/>
      </c>
      <c r="I99" s="22" t="str">
        <f aca="false">IF($A99="","",COUNTIF(全体!$E$2:$E$908,$A99))</f>
        <v/>
      </c>
      <c r="J99" s="11" t="str">
        <f aca="false">IF($A99="","",SUMIFS(全体!$M$2:$M$908,全体!$E$2:$E$908,$A99))</f>
        <v/>
      </c>
      <c r="K99" s="11" t="str">
        <f aca="false">IF($A99="","",SUMIFS(全体!$T$2:$T$908,全体!$E$2:$E$908,$A99))</f>
        <v/>
      </c>
      <c r="L99" s="11" t="str">
        <f aca="false">IF($A99="","",SUMIFS(全体!$AA$2:$AA$908,全体!$E$2:$E$908,$A99))</f>
        <v/>
      </c>
      <c r="M99" s="11" t="str">
        <f aca="false">IF($A99="","",SUMIFS(全体!$AH$2:$AH$908,全体!$E$2:$E$908,$A99))</f>
        <v/>
      </c>
    </row>
    <row r="100" customFormat="false" ht="15" hidden="false" customHeight="false" outlineLevel="0" collapsed="false">
      <c r="A100" s="8" t="str">
        <f aca="false">IF(担当者マスタ!A100="","",担当者マスタ!A100)</f>
        <v/>
      </c>
      <c r="B100" s="9" t="str">
        <f aca="false">IF(担当者マスタ!A100="","",担当者マスタ!B100)</f>
        <v/>
      </c>
      <c r="C100" s="9" t="str">
        <f aca="false">IF(担当者マスタ!A100="","",担当者マスタ!C100)</f>
        <v/>
      </c>
      <c r="D100" s="22" t="str">
        <f aca="false">IF($A100="","",COUNTIF(全体!$C$2:$C$908,$A100))</f>
        <v/>
      </c>
      <c r="E100" s="11" t="str">
        <f aca="false">IF($A100="","",SUMIFS(全体!$M$2:$M$908,全体!$C$2:$C$908,$A100))</f>
        <v/>
      </c>
      <c r="F100" s="11" t="str">
        <f aca="false">IF($A100="","",SUMIFS(全体!$T$2:$T$908,全体!$C$2:$C$908,$A100))</f>
        <v/>
      </c>
      <c r="G100" s="11" t="str">
        <f aca="false">IF($A100="","",SUMIFS(全体!$AA$2:$AA$908,全体!$C$2:$C$908,$A100))</f>
        <v/>
      </c>
      <c r="H100" s="11" t="str">
        <f aca="false">IF($A100="","",SUMIFS(全体!$AH$2:$AH$908,全体!$C$2:$C$908,$A100))</f>
        <v/>
      </c>
      <c r="I100" s="22" t="str">
        <f aca="false">IF($A100="","",COUNTIF(全体!$E$2:$E$908,$A100))</f>
        <v/>
      </c>
      <c r="J100" s="11" t="str">
        <f aca="false">IF($A100="","",SUMIFS(全体!$M$2:$M$908,全体!$E$2:$E$908,$A100))</f>
        <v/>
      </c>
      <c r="K100" s="11" t="str">
        <f aca="false">IF($A100="","",SUMIFS(全体!$T$2:$T$908,全体!$E$2:$E$908,$A100))</f>
        <v/>
      </c>
      <c r="L100" s="11" t="str">
        <f aca="false">IF($A100="","",SUMIFS(全体!$AA$2:$AA$908,全体!$E$2:$E$908,$A100))</f>
        <v/>
      </c>
      <c r="M100" s="11" t="str">
        <f aca="false">IF($A100="","",SUMIFS(全体!$AH$2:$AH$908,全体!$E$2:$E$908,$A100))</f>
        <v/>
      </c>
    </row>
    <row r="101" customFormat="false" ht="15" hidden="false" customHeight="false" outlineLevel="0" collapsed="false">
      <c r="A101" s="8" t="str">
        <f aca="false">IF(担当者マスタ!A101="","",担当者マスタ!A101)</f>
        <v/>
      </c>
      <c r="B101" s="9" t="str">
        <f aca="false">IF(担当者マスタ!A101="","",担当者マスタ!B101)</f>
        <v/>
      </c>
      <c r="C101" s="9" t="str">
        <f aca="false">IF(担当者マスタ!A101="","",担当者マスタ!C101)</f>
        <v/>
      </c>
      <c r="D101" s="22" t="str">
        <f aca="false">IF($A101="","",COUNTIF(全体!$C$2:$C$908,$A101))</f>
        <v/>
      </c>
      <c r="E101" s="11" t="str">
        <f aca="false">IF($A101="","",SUMIFS(全体!$M$2:$M$908,全体!$C$2:$C$908,$A101))</f>
        <v/>
      </c>
      <c r="F101" s="11" t="str">
        <f aca="false">IF($A101="","",SUMIFS(全体!$T$2:$T$908,全体!$C$2:$C$908,$A101))</f>
        <v/>
      </c>
      <c r="G101" s="11" t="str">
        <f aca="false">IF($A101="","",SUMIFS(全体!$AA$2:$AA$908,全体!$C$2:$C$908,$A101))</f>
        <v/>
      </c>
      <c r="H101" s="11" t="str">
        <f aca="false">IF($A101="","",SUMIFS(全体!$AH$2:$AH$908,全体!$C$2:$C$908,$A101))</f>
        <v/>
      </c>
      <c r="I101" s="22" t="str">
        <f aca="false">IF($A101="","",COUNTIF(全体!$E$2:$E$908,$A101))</f>
        <v/>
      </c>
      <c r="J101" s="11" t="str">
        <f aca="false">IF($A101="","",SUMIFS(全体!$M$2:$M$908,全体!$E$2:$E$908,$A101))</f>
        <v/>
      </c>
      <c r="K101" s="11" t="str">
        <f aca="false">IF($A101="","",SUMIFS(全体!$T$2:$T$908,全体!$E$2:$E$908,$A101))</f>
        <v/>
      </c>
      <c r="L101" s="11" t="str">
        <f aca="false">IF($A101="","",SUMIFS(全体!$AA$2:$AA$908,全体!$E$2:$E$908,$A101))</f>
        <v/>
      </c>
      <c r="M101" s="11" t="str">
        <f aca="false">IF($A101="","",SUMIFS(全体!$AH$2:$AH$908,全体!$E$2:$E$908,$A101))</f>
        <v/>
      </c>
    </row>
    <row r="102" customFormat="false" ht="15" hidden="false" customHeight="false" outlineLevel="0" collapsed="false">
      <c r="A102" s="23" t="s">
        <v>1984</v>
      </c>
      <c r="B102" s="23" t="s">
        <v>1985</v>
      </c>
      <c r="C102" s="23"/>
      <c r="D102" s="23"/>
      <c r="E102" s="23"/>
      <c r="F102" s="23"/>
      <c r="G102" s="23"/>
      <c r="H102" s="23"/>
      <c r="I102" s="23" t="n">
        <f aca="false">COUNTBLANK(全体!$E$2:$E$908)</f>
        <v>907</v>
      </c>
      <c r="J102" s="24" t="n">
        <f aca="false">SUMIFS(全体!$M$2:$M$908,全体!$E$2:$E$908,"")</f>
        <v>1700717.757</v>
      </c>
      <c r="K102" s="24" t="n">
        <f aca="false">SUMIFS(全体!$T$2:$T$908,全体!$E$2:$E$908,"")</f>
        <v>384728.0366</v>
      </c>
      <c r="L102" s="24" t="n">
        <f aca="false">SUMIFS(全体!$AA$2:$AA$908,全体!$E$2:$E$908,"")</f>
        <v>1812551.335</v>
      </c>
      <c r="M102" s="24" t="n">
        <f aca="false">SUMIFS(全体!$AH$2:$AH$908,全体!$E$2:$E$908,"")</f>
        <v>417183.7777</v>
      </c>
    </row>
    <row r="103" customFormat="false" ht="15" hidden="false" customHeight="false" outlineLevel="0" collapsed="false">
      <c r="A103" s="25" t="s">
        <v>1929</v>
      </c>
      <c r="B103" s="25"/>
      <c r="C103" s="25"/>
      <c r="D103" s="25" t="n">
        <f aca="false">SUM(D2:D101)</f>
        <v>907</v>
      </c>
      <c r="E103" s="15" t="n">
        <f aca="false">SUM(E2:E101)</f>
        <v>1700717.757</v>
      </c>
      <c r="F103" s="15" t="n">
        <f aca="false">SUM(F2:F101)</f>
        <v>384728.0366</v>
      </c>
      <c r="G103" s="15" t="n">
        <f aca="false">SUM(G2:G101)</f>
        <v>1812551.335</v>
      </c>
      <c r="H103" s="15" t="n">
        <f aca="false">SUM(H2:H101)</f>
        <v>417183.7777</v>
      </c>
      <c r="I103" s="25" t="n">
        <f aca="false">SUM(I2:I102)</f>
        <v>907</v>
      </c>
      <c r="J103" s="15" t="n">
        <f aca="false">SUM(J2:J102)</f>
        <v>1700717.757</v>
      </c>
      <c r="K103" s="15" t="n">
        <f aca="false">SUM(K2:K102)</f>
        <v>384728.0366</v>
      </c>
      <c r="L103" s="15" t="n">
        <f aca="false">SUM(L2:L102)</f>
        <v>1812551.335</v>
      </c>
      <c r="M103" s="15" t="n">
        <f aca="false">SUM(M2:M102)</f>
        <v>417183.7777</v>
      </c>
    </row>
    <row r="104" customFormat="false" ht="15" hidden="false" customHeight="false" outlineLevel="0" collapsed="false">
      <c r="A104" s="26" t="s">
        <v>1986</v>
      </c>
      <c r="B104" s="26"/>
      <c r="C104" s="26"/>
      <c r="D104" s="26"/>
      <c r="E104" s="27" t="n">
        <f aca="false">全体!M909</f>
        <v>1700717.757</v>
      </c>
      <c r="F104" s="27" t="n">
        <f aca="false">全体!T909</f>
        <v>384728.0366</v>
      </c>
      <c r="G104" s="27" t="n">
        <f aca="false">全体!AA909</f>
        <v>1812551.335</v>
      </c>
      <c r="H104" s="27" t="n">
        <f aca="false">全体!AH909</f>
        <v>417183.7777</v>
      </c>
      <c r="I104" s="26"/>
      <c r="J104" s="27" t="n">
        <f aca="false">全体!M909</f>
        <v>1700717.757</v>
      </c>
      <c r="K104" s="27" t="n">
        <f aca="false">全体!T909</f>
        <v>384728.0366</v>
      </c>
      <c r="L104" s="27" t="n">
        <f aca="false">全体!AA909</f>
        <v>1812551.335</v>
      </c>
      <c r="M104" s="27" t="n">
        <f aca="false">全体!AH909</f>
        <v>417183.7777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2026-09-05T04:44:47Z</dcterms:created>
  <dc:creator>openpyxl</dc:creator>
  <dc:description/>
  <dc:language>en-US</dc:language>
  <cp:lastModifiedBy/>
  <dcterms:modified xsi:type="dcterms:W3CDTF">2026-09-05T04:44:48Z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